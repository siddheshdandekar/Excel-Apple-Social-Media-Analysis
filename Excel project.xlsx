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7.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pivotTables/pivotTable1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SAMRAAT SIR DRIVE\EXCEL Project\Excel\"/>
    </mc:Choice>
  </mc:AlternateContent>
  <xr:revisionPtr revIDLastSave="0" documentId="13_ncr:1_{16786358-AD1E-480B-A6A7-4F08A26AB6A3}" xr6:coauthVersionLast="47" xr6:coauthVersionMax="47" xr10:uidLastSave="{00000000-0000-0000-0000-000000000000}"/>
  <bookViews>
    <workbookView xWindow="-120" yWindow="-120" windowWidth="29040" windowHeight="15720" firstSheet="5" activeTab="9" xr2:uid="{A9A50783-16EE-4F65-8E04-4F94582D3D6F}"/>
  </bookViews>
  <sheets>
    <sheet name="Posts" sheetId="2" r:id="rId1"/>
    <sheet name="Hashtags" sheetId="40" r:id="rId2"/>
    <sheet name="Campaign Metadata" sheetId="4" r:id="rId3"/>
    <sheet name="Engagement Summary" sheetId="49" r:id="rId4"/>
    <sheet name="Engagement Analysis" sheetId="1" r:id="rId5"/>
    <sheet name="Platform Analysis" sheetId="7" r:id="rId6"/>
    <sheet name="Content Strategy" sheetId="41" r:id="rId7"/>
    <sheet name="Campaign Effectiveness" sheetId="28" r:id="rId8"/>
    <sheet name="Follower Retention" sheetId="50" r:id="rId9"/>
    <sheet name="Correlation" sheetId="51" r:id="rId10"/>
    <sheet name="Video links" sheetId="54" r:id="rId11"/>
  </sheets>
  <definedNames>
    <definedName name="_16_09_2024">#REF!</definedName>
    <definedName name="_xlnm._FilterDatabase" localSheetId="4" hidden="1">'Engagement Analysis'!$N$2:$N$302</definedName>
    <definedName name="_xlnm._FilterDatabase" localSheetId="0" hidden="1">Posts!$A$1:$N$301</definedName>
    <definedName name="_xlcn.WorksheetConnection_Excelproject.xlsxTable1" hidden="1">Table1[]</definedName>
    <definedName name="_xlcn.WorksheetConnection_Excelproject.xlsxTable2" hidden="1">Table2[]</definedName>
    <definedName name="Campaign">Posts!$M$2:$M$301</definedName>
    <definedName name="Click_through_rate">Posts!#REF!</definedName>
    <definedName name="Clicks">Posts!$J$2:$J$301</definedName>
    <definedName name="Comments">Posts!$I$2:$I$301</definedName>
    <definedName name="ContentType">Posts!$D$2:$D$301</definedName>
    <definedName name="Date">Posts!$C$2:$C$301</definedName>
    <definedName name="Engagement_Rate">Posts!$N$2:$N$301</definedName>
    <definedName name="ExternalData_1" localSheetId="3" hidden="1">'Engagement Summary'!$A$1:$I$201</definedName>
    <definedName name="Hashtag">#REF!</definedName>
    <definedName name="Hashtags.1">Posts!$E$2:$E$301</definedName>
    <definedName name="Hashtags.2">Posts!$F$2:$F$301</definedName>
    <definedName name="Impressions">Posts!$L$2:$L$301</definedName>
    <definedName name="Likes">Posts!$G$2:$G$301</definedName>
    <definedName name="Performance">Posts!#REF!</definedName>
    <definedName name="Platform">Posts!$B$2:$B$301</definedName>
    <definedName name="PostID">Posts!$A$2:$A$301</definedName>
    <definedName name="Reach">Posts!$K$2:$K$301</definedName>
    <definedName name="Shares">Posts!$H$2:$H$301</definedName>
    <definedName name="YouTube">#REF!</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Excel project.xlsx!Table2"/>
          <x15:modelTable id="Table1" name="Table1" connection="WorksheetConnection_Excel project.xlsx!Table1"/>
        </x15:modelTables>
        <x15:modelRelationships>
          <x15:modelRelationship fromTable="Table2" fromColumn="Campaign" toTable="Table1" toColumn="Campaign_Name"/>
        </x15:modelRelationships>
        <x15:extLst>
          <ext xmlns:x16="http://schemas.microsoft.com/office/spreadsheetml/2014/11/main" uri="{9835A34E-60A6-4A7C-AAB8-D5F71C897F49}">
            <x16:modelTimeGroupings>
              <x16:modelTimeGrouping tableName="Table1" columnName="Start_Date" columnId="Start_Date">
                <x16:calculatedTimeColumn columnName="Start_Date (Year)" columnId="Start_Date (Year)" contentType="years" isSelected="1"/>
                <x16:calculatedTimeColumn columnName="Start_Date (Quarter)" columnId="Start_Date (Quarter)" contentType="quarters" isSelected="1"/>
                <x16:calculatedTimeColumn columnName="Start_Date (Month Index)" columnId="Start_Date (Month Index)" contentType="monthsindex" isSelected="1"/>
                <x16:calculatedTimeColumn columnName="Start_Date (Month)" columnId="Start_Date (Month)" contentType="months" isSelected="1"/>
              </x16:modelTimeGrouping>
              <x16:modelTimeGrouping tableName="Table1" columnName="End_Date" columnId="End_Date">
                <x16:calculatedTimeColumn columnName="End_Date (Year)" columnId="End_Date (Year)" contentType="years" isSelected="1"/>
                <x16:calculatedTimeColumn columnName="End_Date (Quarter)" columnId="End_Date (Quarter)" contentType="quarters" isSelected="1"/>
                <x16:calculatedTimeColumn columnName="End_Date (Month Index)" columnId="End_Date (Month Index)" contentType="monthsindex" isSelected="1"/>
                <x16:calculatedTimeColumn columnName="End_Date (Month)" columnId="End_Date (Month)" contentType="months" isSelected="1"/>
              </x16:modelTimeGrouping>
              <x16:modelTimeGrouping tableName="Table2"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4" i="28" l="1"/>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H2" i="4"/>
  <c r="H3" i="4"/>
  <c r="H4" i="4"/>
  <c r="H5" i="4"/>
  <c r="H6" i="4"/>
  <c r="O6" i="40"/>
  <c r="O8" i="40"/>
  <c r="O10" i="40"/>
  <c r="O18" i="40"/>
  <c r="O20" i="40"/>
  <c r="O22" i="40"/>
  <c r="O30" i="40"/>
  <c r="O32" i="40"/>
  <c r="O34" i="40"/>
  <c r="O42" i="40"/>
  <c r="O44" i="40"/>
  <c r="O46" i="40"/>
  <c r="O54" i="40"/>
  <c r="O56" i="40"/>
  <c r="O58" i="40"/>
  <c r="O66" i="40"/>
  <c r="O68" i="40"/>
  <c r="O70" i="40"/>
  <c r="O78" i="40"/>
  <c r="O80" i="40"/>
  <c r="O82" i="40"/>
  <c r="O90" i="40"/>
  <c r="O92" i="40"/>
  <c r="O94" i="40"/>
  <c r="O102" i="40"/>
  <c r="O104" i="40"/>
  <c r="O106" i="40"/>
  <c r="O114" i="40"/>
  <c r="O116" i="40"/>
  <c r="O118" i="40"/>
  <c r="O126" i="40"/>
  <c r="O128" i="40"/>
  <c r="O130" i="40"/>
  <c r="O138" i="40"/>
  <c r="O140" i="40"/>
  <c r="O142" i="40"/>
  <c r="O150" i="40"/>
  <c r="O152" i="40"/>
  <c r="O154" i="40"/>
  <c r="O162" i="40"/>
  <c r="O164" i="40"/>
  <c r="O166" i="40"/>
  <c r="O174" i="40"/>
  <c r="O176" i="40"/>
  <c r="O178" i="40"/>
  <c r="O186" i="40"/>
  <c r="O188" i="40"/>
  <c r="O190" i="40"/>
  <c r="O198" i="40"/>
  <c r="O200" i="40"/>
  <c r="O202" i="40"/>
  <c r="O210" i="40"/>
  <c r="O212" i="40"/>
  <c r="O214" i="40"/>
  <c r="O222" i="40"/>
  <c r="O224" i="40"/>
  <c r="O226" i="40"/>
  <c r="O234" i="40"/>
  <c r="O236" i="40"/>
  <c r="O238" i="40"/>
  <c r="O246" i="40"/>
  <c r="O248" i="40"/>
  <c r="O250" i="40"/>
  <c r="O258" i="40"/>
  <c r="O260" i="40"/>
  <c r="O262" i="40"/>
  <c r="O270" i="40"/>
  <c r="O272" i="40"/>
  <c r="O274" i="40"/>
  <c r="O282" i="40"/>
  <c r="O284" i="40"/>
  <c r="O286" i="40"/>
  <c r="O294" i="40"/>
  <c r="O296" i="40"/>
  <c r="O298" i="40"/>
  <c r="O306" i="40"/>
  <c r="O308" i="40"/>
  <c r="O310" i="40"/>
  <c r="O318" i="40"/>
  <c r="O320" i="40"/>
  <c r="O322" i="40"/>
  <c r="O330" i="40"/>
  <c r="O332" i="40"/>
  <c r="O334" i="40"/>
  <c r="O342" i="40"/>
  <c r="O344" i="40"/>
  <c r="O346" i="40"/>
  <c r="O354" i="40"/>
  <c r="O356" i="40"/>
  <c r="O358" i="40"/>
  <c r="O366" i="40"/>
  <c r="O368" i="40"/>
  <c r="O370" i="40"/>
  <c r="O378" i="40"/>
  <c r="O380" i="40"/>
  <c r="O382" i="40"/>
  <c r="O390" i="40"/>
  <c r="O392" i="40"/>
  <c r="O394" i="40"/>
  <c r="O402" i="40"/>
  <c r="O404" i="40"/>
  <c r="O406" i="40"/>
  <c r="O414" i="40"/>
  <c r="O416" i="40"/>
  <c r="O418" i="40"/>
  <c r="O426" i="40"/>
  <c r="O428" i="40"/>
  <c r="O430" i="40"/>
  <c r="O438" i="40"/>
  <c r="O440" i="40"/>
  <c r="O442" i="40"/>
  <c r="O450" i="40"/>
  <c r="O452" i="40"/>
  <c r="O454" i="40"/>
  <c r="O462" i="40"/>
  <c r="O464" i="40"/>
  <c r="O466" i="40"/>
  <c r="O474" i="40"/>
  <c r="O476" i="40"/>
  <c r="O478" i="40"/>
  <c r="O486" i="40"/>
  <c r="O488" i="40"/>
  <c r="O490" i="40"/>
  <c r="O498" i="40"/>
  <c r="O500" i="40"/>
  <c r="O502" i="40"/>
  <c r="O510" i="40"/>
  <c r="O512" i="40"/>
  <c r="O514" i="40"/>
  <c r="O522" i="40"/>
  <c r="O524" i="40"/>
  <c r="O526" i="40"/>
  <c r="O534" i="40"/>
  <c r="O536" i="40"/>
  <c r="O538" i="40"/>
  <c r="O546" i="40"/>
  <c r="O548" i="40"/>
  <c r="O550" i="40"/>
  <c r="O558" i="40"/>
  <c r="O560" i="40"/>
  <c r="O562" i="40"/>
  <c r="N2" i="40"/>
  <c r="O2" i="40" s="1"/>
  <c r="N3" i="40"/>
  <c r="O3" i="40" s="1"/>
  <c r="N4" i="40"/>
  <c r="O4" i="40" s="1"/>
  <c r="N5" i="40"/>
  <c r="O5" i="40" s="1"/>
  <c r="N6" i="40"/>
  <c r="N7" i="40"/>
  <c r="O7" i="40" s="1"/>
  <c r="N8" i="40"/>
  <c r="N9" i="40"/>
  <c r="O9" i="40" s="1"/>
  <c r="N10" i="40"/>
  <c r="N11" i="40"/>
  <c r="O11" i="40" s="1"/>
  <c r="N12" i="40"/>
  <c r="O12" i="40" s="1"/>
  <c r="N13" i="40"/>
  <c r="O13" i="40" s="1"/>
  <c r="N14" i="40"/>
  <c r="O14" i="40" s="1"/>
  <c r="N15" i="40"/>
  <c r="O15" i="40" s="1"/>
  <c r="N16" i="40"/>
  <c r="O16" i="40" s="1"/>
  <c r="N17" i="40"/>
  <c r="O17" i="40" s="1"/>
  <c r="N18" i="40"/>
  <c r="N19" i="40"/>
  <c r="O19" i="40" s="1"/>
  <c r="N20" i="40"/>
  <c r="N21" i="40"/>
  <c r="O21" i="40" s="1"/>
  <c r="N22" i="40"/>
  <c r="N23" i="40"/>
  <c r="O23" i="40" s="1"/>
  <c r="N24" i="40"/>
  <c r="O24" i="40" s="1"/>
  <c r="N25" i="40"/>
  <c r="O25" i="40" s="1"/>
  <c r="N26" i="40"/>
  <c r="O26" i="40" s="1"/>
  <c r="N27" i="40"/>
  <c r="O27" i="40" s="1"/>
  <c r="N28" i="40"/>
  <c r="O28" i="40" s="1"/>
  <c r="N29" i="40"/>
  <c r="O29" i="40" s="1"/>
  <c r="N30" i="40"/>
  <c r="N31" i="40"/>
  <c r="O31" i="40" s="1"/>
  <c r="N32" i="40"/>
  <c r="N33" i="40"/>
  <c r="O33" i="40" s="1"/>
  <c r="N34" i="40"/>
  <c r="N35" i="40"/>
  <c r="O35" i="40" s="1"/>
  <c r="N36" i="40"/>
  <c r="O36" i="40" s="1"/>
  <c r="N37" i="40"/>
  <c r="O37" i="40" s="1"/>
  <c r="N38" i="40"/>
  <c r="O38" i="40" s="1"/>
  <c r="N39" i="40"/>
  <c r="O39" i="40" s="1"/>
  <c r="N40" i="40"/>
  <c r="O40" i="40" s="1"/>
  <c r="N41" i="40"/>
  <c r="O41" i="40" s="1"/>
  <c r="N42" i="40"/>
  <c r="N43" i="40"/>
  <c r="O43" i="40" s="1"/>
  <c r="N44" i="40"/>
  <c r="N45" i="40"/>
  <c r="O45" i="40" s="1"/>
  <c r="N46" i="40"/>
  <c r="N47" i="40"/>
  <c r="O47" i="40" s="1"/>
  <c r="N48" i="40"/>
  <c r="O48" i="40" s="1"/>
  <c r="N49" i="40"/>
  <c r="O49" i="40" s="1"/>
  <c r="N50" i="40"/>
  <c r="O50" i="40" s="1"/>
  <c r="N51" i="40"/>
  <c r="O51" i="40" s="1"/>
  <c r="N52" i="40"/>
  <c r="O52" i="40" s="1"/>
  <c r="N53" i="40"/>
  <c r="O53" i="40" s="1"/>
  <c r="N54" i="40"/>
  <c r="N55" i="40"/>
  <c r="O55" i="40" s="1"/>
  <c r="N56" i="40"/>
  <c r="N57" i="40"/>
  <c r="O57" i="40" s="1"/>
  <c r="N58" i="40"/>
  <c r="N59" i="40"/>
  <c r="O59" i="40" s="1"/>
  <c r="N60" i="40"/>
  <c r="O60" i="40" s="1"/>
  <c r="N61" i="40"/>
  <c r="O61" i="40" s="1"/>
  <c r="N62" i="40"/>
  <c r="O62" i="40" s="1"/>
  <c r="N63" i="40"/>
  <c r="O63" i="40" s="1"/>
  <c r="N64" i="40"/>
  <c r="O64" i="40" s="1"/>
  <c r="N65" i="40"/>
  <c r="O65" i="40" s="1"/>
  <c r="N66" i="40"/>
  <c r="N67" i="40"/>
  <c r="O67" i="40" s="1"/>
  <c r="N68" i="40"/>
  <c r="N69" i="40"/>
  <c r="O69" i="40" s="1"/>
  <c r="N70" i="40"/>
  <c r="N71" i="40"/>
  <c r="O71" i="40" s="1"/>
  <c r="N72" i="40"/>
  <c r="O72" i="40" s="1"/>
  <c r="N73" i="40"/>
  <c r="O73" i="40" s="1"/>
  <c r="N74" i="40"/>
  <c r="O74" i="40" s="1"/>
  <c r="N75" i="40"/>
  <c r="O75" i="40" s="1"/>
  <c r="N76" i="40"/>
  <c r="O76" i="40" s="1"/>
  <c r="N77" i="40"/>
  <c r="O77" i="40" s="1"/>
  <c r="N78" i="40"/>
  <c r="N79" i="40"/>
  <c r="O79" i="40" s="1"/>
  <c r="N80" i="40"/>
  <c r="N81" i="40"/>
  <c r="O81" i="40" s="1"/>
  <c r="N82" i="40"/>
  <c r="N83" i="40"/>
  <c r="O83" i="40" s="1"/>
  <c r="N84" i="40"/>
  <c r="O84" i="40" s="1"/>
  <c r="N85" i="40"/>
  <c r="O85" i="40" s="1"/>
  <c r="N86" i="40"/>
  <c r="O86" i="40" s="1"/>
  <c r="N87" i="40"/>
  <c r="O87" i="40" s="1"/>
  <c r="N88" i="40"/>
  <c r="O88" i="40" s="1"/>
  <c r="N89" i="40"/>
  <c r="O89" i="40" s="1"/>
  <c r="N90" i="40"/>
  <c r="N91" i="40"/>
  <c r="O91" i="40" s="1"/>
  <c r="N92" i="40"/>
  <c r="N93" i="40"/>
  <c r="O93" i="40" s="1"/>
  <c r="N94" i="40"/>
  <c r="N95" i="40"/>
  <c r="O95" i="40" s="1"/>
  <c r="N96" i="40"/>
  <c r="O96" i="40" s="1"/>
  <c r="N97" i="40"/>
  <c r="O97" i="40" s="1"/>
  <c r="N98" i="40"/>
  <c r="O98" i="40" s="1"/>
  <c r="N99" i="40"/>
  <c r="O99" i="40" s="1"/>
  <c r="N100" i="40"/>
  <c r="O100" i="40" s="1"/>
  <c r="N101" i="40"/>
  <c r="O101" i="40" s="1"/>
  <c r="N102" i="40"/>
  <c r="N103" i="40"/>
  <c r="O103" i="40" s="1"/>
  <c r="N104" i="40"/>
  <c r="N105" i="40"/>
  <c r="O105" i="40" s="1"/>
  <c r="N106" i="40"/>
  <c r="N107" i="40"/>
  <c r="O107" i="40" s="1"/>
  <c r="N108" i="40"/>
  <c r="O108" i="40" s="1"/>
  <c r="N109" i="40"/>
  <c r="O109" i="40" s="1"/>
  <c r="N110" i="40"/>
  <c r="O110" i="40" s="1"/>
  <c r="N111" i="40"/>
  <c r="O111" i="40" s="1"/>
  <c r="N112" i="40"/>
  <c r="O112" i="40" s="1"/>
  <c r="N113" i="40"/>
  <c r="O113" i="40" s="1"/>
  <c r="N114" i="40"/>
  <c r="N115" i="40"/>
  <c r="O115" i="40" s="1"/>
  <c r="N116" i="40"/>
  <c r="N117" i="40"/>
  <c r="O117" i="40" s="1"/>
  <c r="N118" i="40"/>
  <c r="N119" i="40"/>
  <c r="O119" i="40" s="1"/>
  <c r="N120" i="40"/>
  <c r="O120" i="40" s="1"/>
  <c r="N121" i="40"/>
  <c r="O121" i="40" s="1"/>
  <c r="N122" i="40"/>
  <c r="O122" i="40" s="1"/>
  <c r="N123" i="40"/>
  <c r="O123" i="40" s="1"/>
  <c r="N124" i="40"/>
  <c r="O124" i="40" s="1"/>
  <c r="N125" i="40"/>
  <c r="O125" i="40" s="1"/>
  <c r="N126" i="40"/>
  <c r="N127" i="40"/>
  <c r="O127" i="40" s="1"/>
  <c r="N128" i="40"/>
  <c r="N129" i="40"/>
  <c r="O129" i="40" s="1"/>
  <c r="N130" i="40"/>
  <c r="N131" i="40"/>
  <c r="O131" i="40" s="1"/>
  <c r="N132" i="40"/>
  <c r="O132" i="40" s="1"/>
  <c r="N133" i="40"/>
  <c r="O133" i="40" s="1"/>
  <c r="N134" i="40"/>
  <c r="O134" i="40" s="1"/>
  <c r="N135" i="40"/>
  <c r="O135" i="40" s="1"/>
  <c r="N136" i="40"/>
  <c r="O136" i="40" s="1"/>
  <c r="N137" i="40"/>
  <c r="O137" i="40" s="1"/>
  <c r="N138" i="40"/>
  <c r="N139" i="40"/>
  <c r="O139" i="40" s="1"/>
  <c r="N140" i="40"/>
  <c r="N141" i="40"/>
  <c r="O141" i="40" s="1"/>
  <c r="N142" i="40"/>
  <c r="N143" i="40"/>
  <c r="O143" i="40" s="1"/>
  <c r="N144" i="40"/>
  <c r="O144" i="40" s="1"/>
  <c r="N145" i="40"/>
  <c r="O145" i="40" s="1"/>
  <c r="N146" i="40"/>
  <c r="O146" i="40" s="1"/>
  <c r="N147" i="40"/>
  <c r="O147" i="40" s="1"/>
  <c r="N148" i="40"/>
  <c r="O148" i="40" s="1"/>
  <c r="N149" i="40"/>
  <c r="O149" i="40" s="1"/>
  <c r="N150" i="40"/>
  <c r="N151" i="40"/>
  <c r="O151" i="40" s="1"/>
  <c r="N152" i="40"/>
  <c r="N153" i="40"/>
  <c r="O153" i="40" s="1"/>
  <c r="N154" i="40"/>
  <c r="N155" i="40"/>
  <c r="O155" i="40" s="1"/>
  <c r="N156" i="40"/>
  <c r="O156" i="40" s="1"/>
  <c r="N157" i="40"/>
  <c r="O157" i="40" s="1"/>
  <c r="N158" i="40"/>
  <c r="O158" i="40" s="1"/>
  <c r="N159" i="40"/>
  <c r="O159" i="40" s="1"/>
  <c r="N160" i="40"/>
  <c r="O160" i="40" s="1"/>
  <c r="N161" i="40"/>
  <c r="O161" i="40" s="1"/>
  <c r="N162" i="40"/>
  <c r="N163" i="40"/>
  <c r="O163" i="40" s="1"/>
  <c r="N164" i="40"/>
  <c r="N165" i="40"/>
  <c r="O165" i="40" s="1"/>
  <c r="N166" i="40"/>
  <c r="N167" i="40"/>
  <c r="O167" i="40" s="1"/>
  <c r="N168" i="40"/>
  <c r="O168" i="40" s="1"/>
  <c r="N169" i="40"/>
  <c r="O169" i="40" s="1"/>
  <c r="N170" i="40"/>
  <c r="O170" i="40" s="1"/>
  <c r="N171" i="40"/>
  <c r="O171" i="40" s="1"/>
  <c r="N172" i="40"/>
  <c r="O172" i="40" s="1"/>
  <c r="N173" i="40"/>
  <c r="O173" i="40" s="1"/>
  <c r="N174" i="40"/>
  <c r="N175" i="40"/>
  <c r="O175" i="40" s="1"/>
  <c r="N176" i="40"/>
  <c r="N177" i="40"/>
  <c r="O177" i="40" s="1"/>
  <c r="N178" i="40"/>
  <c r="N179" i="40"/>
  <c r="O179" i="40" s="1"/>
  <c r="N180" i="40"/>
  <c r="O180" i="40" s="1"/>
  <c r="N181" i="40"/>
  <c r="O181" i="40" s="1"/>
  <c r="N182" i="40"/>
  <c r="O182" i="40" s="1"/>
  <c r="N183" i="40"/>
  <c r="O183" i="40" s="1"/>
  <c r="N184" i="40"/>
  <c r="O184" i="40" s="1"/>
  <c r="N185" i="40"/>
  <c r="O185" i="40" s="1"/>
  <c r="N186" i="40"/>
  <c r="N187" i="40"/>
  <c r="O187" i="40" s="1"/>
  <c r="N188" i="40"/>
  <c r="N189" i="40"/>
  <c r="O189" i="40" s="1"/>
  <c r="N190" i="40"/>
  <c r="N191" i="40"/>
  <c r="O191" i="40" s="1"/>
  <c r="N192" i="40"/>
  <c r="O192" i="40" s="1"/>
  <c r="N193" i="40"/>
  <c r="O193" i="40" s="1"/>
  <c r="N194" i="40"/>
  <c r="O194" i="40" s="1"/>
  <c r="N195" i="40"/>
  <c r="O195" i="40" s="1"/>
  <c r="N196" i="40"/>
  <c r="O196" i="40" s="1"/>
  <c r="N197" i="40"/>
  <c r="O197" i="40" s="1"/>
  <c r="N198" i="40"/>
  <c r="N199" i="40"/>
  <c r="O199" i="40" s="1"/>
  <c r="N200" i="40"/>
  <c r="N201" i="40"/>
  <c r="O201" i="40" s="1"/>
  <c r="N202" i="40"/>
  <c r="N203" i="40"/>
  <c r="O203" i="40" s="1"/>
  <c r="N204" i="40"/>
  <c r="O204" i="40" s="1"/>
  <c r="N205" i="40"/>
  <c r="O205" i="40" s="1"/>
  <c r="N206" i="40"/>
  <c r="O206" i="40" s="1"/>
  <c r="N207" i="40"/>
  <c r="O207" i="40" s="1"/>
  <c r="N208" i="40"/>
  <c r="O208" i="40" s="1"/>
  <c r="N209" i="40"/>
  <c r="O209" i="40" s="1"/>
  <c r="N210" i="40"/>
  <c r="N211" i="40"/>
  <c r="O211" i="40" s="1"/>
  <c r="N212" i="40"/>
  <c r="N213" i="40"/>
  <c r="O213" i="40" s="1"/>
  <c r="N214" i="40"/>
  <c r="N215" i="40"/>
  <c r="O215" i="40" s="1"/>
  <c r="N216" i="40"/>
  <c r="O216" i="40" s="1"/>
  <c r="N217" i="40"/>
  <c r="O217" i="40" s="1"/>
  <c r="N218" i="40"/>
  <c r="O218" i="40" s="1"/>
  <c r="N219" i="40"/>
  <c r="O219" i="40" s="1"/>
  <c r="N220" i="40"/>
  <c r="O220" i="40" s="1"/>
  <c r="N221" i="40"/>
  <c r="O221" i="40" s="1"/>
  <c r="N222" i="40"/>
  <c r="N223" i="40"/>
  <c r="O223" i="40" s="1"/>
  <c r="N224" i="40"/>
  <c r="N225" i="40"/>
  <c r="O225" i="40" s="1"/>
  <c r="N226" i="40"/>
  <c r="N227" i="40"/>
  <c r="O227" i="40" s="1"/>
  <c r="N228" i="40"/>
  <c r="O228" i="40" s="1"/>
  <c r="N229" i="40"/>
  <c r="O229" i="40" s="1"/>
  <c r="N230" i="40"/>
  <c r="O230" i="40" s="1"/>
  <c r="N231" i="40"/>
  <c r="O231" i="40" s="1"/>
  <c r="N232" i="40"/>
  <c r="O232" i="40" s="1"/>
  <c r="N233" i="40"/>
  <c r="O233" i="40" s="1"/>
  <c r="N234" i="40"/>
  <c r="N235" i="40"/>
  <c r="O235" i="40" s="1"/>
  <c r="N236" i="40"/>
  <c r="N237" i="40"/>
  <c r="O237" i="40" s="1"/>
  <c r="N238" i="40"/>
  <c r="N239" i="40"/>
  <c r="O239" i="40" s="1"/>
  <c r="N240" i="40"/>
  <c r="O240" i="40" s="1"/>
  <c r="N241" i="40"/>
  <c r="O241" i="40" s="1"/>
  <c r="N242" i="40"/>
  <c r="O242" i="40" s="1"/>
  <c r="N243" i="40"/>
  <c r="O243" i="40" s="1"/>
  <c r="N244" i="40"/>
  <c r="O244" i="40" s="1"/>
  <c r="N245" i="40"/>
  <c r="O245" i="40" s="1"/>
  <c r="N246" i="40"/>
  <c r="N247" i="40"/>
  <c r="O247" i="40" s="1"/>
  <c r="N248" i="40"/>
  <c r="N249" i="40"/>
  <c r="O249" i="40" s="1"/>
  <c r="N250" i="40"/>
  <c r="N251" i="40"/>
  <c r="O251" i="40" s="1"/>
  <c r="N252" i="40"/>
  <c r="O252" i="40" s="1"/>
  <c r="N253" i="40"/>
  <c r="O253" i="40" s="1"/>
  <c r="N254" i="40"/>
  <c r="O254" i="40" s="1"/>
  <c r="N255" i="40"/>
  <c r="O255" i="40" s="1"/>
  <c r="N256" i="40"/>
  <c r="O256" i="40" s="1"/>
  <c r="N257" i="40"/>
  <c r="O257" i="40" s="1"/>
  <c r="N258" i="40"/>
  <c r="N259" i="40"/>
  <c r="O259" i="40" s="1"/>
  <c r="N260" i="40"/>
  <c r="N261" i="40"/>
  <c r="O261" i="40" s="1"/>
  <c r="N262" i="40"/>
  <c r="N263" i="40"/>
  <c r="O263" i="40" s="1"/>
  <c r="N264" i="40"/>
  <c r="O264" i="40" s="1"/>
  <c r="N265" i="40"/>
  <c r="O265" i="40" s="1"/>
  <c r="N266" i="40"/>
  <c r="O266" i="40" s="1"/>
  <c r="N267" i="40"/>
  <c r="O267" i="40" s="1"/>
  <c r="N268" i="40"/>
  <c r="O268" i="40" s="1"/>
  <c r="N269" i="40"/>
  <c r="O269" i="40" s="1"/>
  <c r="N270" i="40"/>
  <c r="N271" i="40"/>
  <c r="O271" i="40" s="1"/>
  <c r="N272" i="40"/>
  <c r="N273" i="40"/>
  <c r="O273" i="40" s="1"/>
  <c r="N274" i="40"/>
  <c r="N275" i="40"/>
  <c r="O275" i="40" s="1"/>
  <c r="N276" i="40"/>
  <c r="O276" i="40" s="1"/>
  <c r="N277" i="40"/>
  <c r="O277" i="40" s="1"/>
  <c r="N278" i="40"/>
  <c r="O278" i="40" s="1"/>
  <c r="N279" i="40"/>
  <c r="O279" i="40" s="1"/>
  <c r="N280" i="40"/>
  <c r="O280" i="40" s="1"/>
  <c r="N281" i="40"/>
  <c r="O281" i="40" s="1"/>
  <c r="N282" i="40"/>
  <c r="N283" i="40"/>
  <c r="O283" i="40" s="1"/>
  <c r="N284" i="40"/>
  <c r="N285" i="40"/>
  <c r="O285" i="40" s="1"/>
  <c r="N286" i="40"/>
  <c r="N287" i="40"/>
  <c r="O287" i="40" s="1"/>
  <c r="N288" i="40"/>
  <c r="O288" i="40" s="1"/>
  <c r="N289" i="40"/>
  <c r="O289" i="40" s="1"/>
  <c r="N290" i="40"/>
  <c r="O290" i="40" s="1"/>
  <c r="N291" i="40"/>
  <c r="O291" i="40" s="1"/>
  <c r="N292" i="40"/>
  <c r="O292" i="40" s="1"/>
  <c r="N293" i="40"/>
  <c r="O293" i="40" s="1"/>
  <c r="N294" i="40"/>
  <c r="N295" i="40"/>
  <c r="O295" i="40" s="1"/>
  <c r="N296" i="40"/>
  <c r="N297" i="40"/>
  <c r="O297" i="40" s="1"/>
  <c r="N298" i="40"/>
  <c r="N299" i="40"/>
  <c r="O299" i="40" s="1"/>
  <c r="N300" i="40"/>
  <c r="O300" i="40" s="1"/>
  <c r="N301" i="40"/>
  <c r="O301" i="40" s="1"/>
  <c r="N302" i="40"/>
  <c r="O302" i="40" s="1"/>
  <c r="N303" i="40"/>
  <c r="O303" i="40" s="1"/>
  <c r="N304" i="40"/>
  <c r="O304" i="40" s="1"/>
  <c r="N305" i="40"/>
  <c r="O305" i="40" s="1"/>
  <c r="N306" i="40"/>
  <c r="N307" i="40"/>
  <c r="O307" i="40" s="1"/>
  <c r="N308" i="40"/>
  <c r="N309" i="40"/>
  <c r="O309" i="40" s="1"/>
  <c r="N310" i="40"/>
  <c r="N311" i="40"/>
  <c r="O311" i="40" s="1"/>
  <c r="N312" i="40"/>
  <c r="O312" i="40" s="1"/>
  <c r="N313" i="40"/>
  <c r="O313" i="40" s="1"/>
  <c r="N314" i="40"/>
  <c r="O314" i="40" s="1"/>
  <c r="N315" i="40"/>
  <c r="O315" i="40" s="1"/>
  <c r="N316" i="40"/>
  <c r="O316" i="40" s="1"/>
  <c r="N317" i="40"/>
  <c r="O317" i="40" s="1"/>
  <c r="N318" i="40"/>
  <c r="N319" i="40"/>
  <c r="O319" i="40" s="1"/>
  <c r="N320" i="40"/>
  <c r="N321" i="40"/>
  <c r="O321" i="40" s="1"/>
  <c r="N322" i="40"/>
  <c r="N323" i="40"/>
  <c r="O323" i="40" s="1"/>
  <c r="N324" i="40"/>
  <c r="O324" i="40" s="1"/>
  <c r="N325" i="40"/>
  <c r="O325" i="40" s="1"/>
  <c r="N326" i="40"/>
  <c r="O326" i="40" s="1"/>
  <c r="N327" i="40"/>
  <c r="O327" i="40" s="1"/>
  <c r="N328" i="40"/>
  <c r="O328" i="40" s="1"/>
  <c r="N329" i="40"/>
  <c r="O329" i="40" s="1"/>
  <c r="N330" i="40"/>
  <c r="N331" i="40"/>
  <c r="O331" i="40" s="1"/>
  <c r="N332" i="40"/>
  <c r="N333" i="40"/>
  <c r="O333" i="40" s="1"/>
  <c r="N334" i="40"/>
  <c r="N335" i="40"/>
  <c r="O335" i="40" s="1"/>
  <c r="N336" i="40"/>
  <c r="O336" i="40" s="1"/>
  <c r="N337" i="40"/>
  <c r="O337" i="40" s="1"/>
  <c r="N338" i="40"/>
  <c r="O338" i="40" s="1"/>
  <c r="N339" i="40"/>
  <c r="O339" i="40" s="1"/>
  <c r="N340" i="40"/>
  <c r="O340" i="40" s="1"/>
  <c r="N341" i="40"/>
  <c r="O341" i="40" s="1"/>
  <c r="N342" i="40"/>
  <c r="N343" i="40"/>
  <c r="O343" i="40" s="1"/>
  <c r="N344" i="40"/>
  <c r="N345" i="40"/>
  <c r="O345" i="40" s="1"/>
  <c r="N346" i="40"/>
  <c r="N347" i="40"/>
  <c r="O347" i="40" s="1"/>
  <c r="N348" i="40"/>
  <c r="O348" i="40" s="1"/>
  <c r="N349" i="40"/>
  <c r="O349" i="40" s="1"/>
  <c r="N350" i="40"/>
  <c r="O350" i="40" s="1"/>
  <c r="N351" i="40"/>
  <c r="O351" i="40" s="1"/>
  <c r="N352" i="40"/>
  <c r="O352" i="40" s="1"/>
  <c r="N353" i="40"/>
  <c r="O353" i="40" s="1"/>
  <c r="N354" i="40"/>
  <c r="N355" i="40"/>
  <c r="O355" i="40" s="1"/>
  <c r="N356" i="40"/>
  <c r="N357" i="40"/>
  <c r="O357" i="40" s="1"/>
  <c r="N358" i="40"/>
  <c r="N359" i="40"/>
  <c r="O359" i="40" s="1"/>
  <c r="N360" i="40"/>
  <c r="O360" i="40" s="1"/>
  <c r="N361" i="40"/>
  <c r="O361" i="40" s="1"/>
  <c r="N362" i="40"/>
  <c r="O362" i="40" s="1"/>
  <c r="N363" i="40"/>
  <c r="O363" i="40" s="1"/>
  <c r="N364" i="40"/>
  <c r="O364" i="40" s="1"/>
  <c r="N365" i="40"/>
  <c r="O365" i="40" s="1"/>
  <c r="N366" i="40"/>
  <c r="N367" i="40"/>
  <c r="O367" i="40" s="1"/>
  <c r="N368" i="40"/>
  <c r="N369" i="40"/>
  <c r="O369" i="40" s="1"/>
  <c r="N370" i="40"/>
  <c r="N371" i="40"/>
  <c r="O371" i="40" s="1"/>
  <c r="N372" i="40"/>
  <c r="O372" i="40" s="1"/>
  <c r="N373" i="40"/>
  <c r="O373" i="40" s="1"/>
  <c r="N374" i="40"/>
  <c r="O374" i="40" s="1"/>
  <c r="N375" i="40"/>
  <c r="O375" i="40" s="1"/>
  <c r="N376" i="40"/>
  <c r="O376" i="40" s="1"/>
  <c r="N377" i="40"/>
  <c r="O377" i="40" s="1"/>
  <c r="N378" i="40"/>
  <c r="N379" i="40"/>
  <c r="O379" i="40" s="1"/>
  <c r="N380" i="40"/>
  <c r="N381" i="40"/>
  <c r="O381" i="40" s="1"/>
  <c r="N382" i="40"/>
  <c r="N383" i="40"/>
  <c r="O383" i="40" s="1"/>
  <c r="N384" i="40"/>
  <c r="O384" i="40" s="1"/>
  <c r="N385" i="40"/>
  <c r="O385" i="40" s="1"/>
  <c r="N386" i="40"/>
  <c r="O386" i="40" s="1"/>
  <c r="N387" i="40"/>
  <c r="O387" i="40" s="1"/>
  <c r="N388" i="40"/>
  <c r="O388" i="40" s="1"/>
  <c r="N389" i="40"/>
  <c r="O389" i="40" s="1"/>
  <c r="N390" i="40"/>
  <c r="N391" i="40"/>
  <c r="O391" i="40" s="1"/>
  <c r="N392" i="40"/>
  <c r="N393" i="40"/>
  <c r="O393" i="40" s="1"/>
  <c r="N394" i="40"/>
  <c r="N395" i="40"/>
  <c r="O395" i="40" s="1"/>
  <c r="N396" i="40"/>
  <c r="O396" i="40" s="1"/>
  <c r="N397" i="40"/>
  <c r="O397" i="40" s="1"/>
  <c r="N398" i="40"/>
  <c r="O398" i="40" s="1"/>
  <c r="N399" i="40"/>
  <c r="O399" i="40" s="1"/>
  <c r="N400" i="40"/>
  <c r="O400" i="40" s="1"/>
  <c r="N401" i="40"/>
  <c r="O401" i="40" s="1"/>
  <c r="N402" i="40"/>
  <c r="N403" i="40"/>
  <c r="O403" i="40" s="1"/>
  <c r="N404" i="40"/>
  <c r="N405" i="40"/>
  <c r="O405" i="40" s="1"/>
  <c r="N406" i="40"/>
  <c r="N407" i="40"/>
  <c r="O407" i="40" s="1"/>
  <c r="N408" i="40"/>
  <c r="O408" i="40" s="1"/>
  <c r="N409" i="40"/>
  <c r="O409" i="40" s="1"/>
  <c r="N410" i="40"/>
  <c r="O410" i="40" s="1"/>
  <c r="N411" i="40"/>
  <c r="O411" i="40" s="1"/>
  <c r="N412" i="40"/>
  <c r="O412" i="40" s="1"/>
  <c r="N413" i="40"/>
  <c r="O413" i="40" s="1"/>
  <c r="N414" i="40"/>
  <c r="N415" i="40"/>
  <c r="O415" i="40" s="1"/>
  <c r="N416" i="40"/>
  <c r="N417" i="40"/>
  <c r="O417" i="40" s="1"/>
  <c r="N418" i="40"/>
  <c r="N419" i="40"/>
  <c r="O419" i="40" s="1"/>
  <c r="N420" i="40"/>
  <c r="O420" i="40" s="1"/>
  <c r="N421" i="40"/>
  <c r="O421" i="40" s="1"/>
  <c r="N422" i="40"/>
  <c r="O422" i="40" s="1"/>
  <c r="N423" i="40"/>
  <c r="O423" i="40" s="1"/>
  <c r="N424" i="40"/>
  <c r="O424" i="40" s="1"/>
  <c r="N425" i="40"/>
  <c r="O425" i="40" s="1"/>
  <c r="N426" i="40"/>
  <c r="N427" i="40"/>
  <c r="O427" i="40" s="1"/>
  <c r="N428" i="40"/>
  <c r="N429" i="40"/>
  <c r="O429" i="40" s="1"/>
  <c r="N430" i="40"/>
  <c r="N431" i="40"/>
  <c r="O431" i="40" s="1"/>
  <c r="N432" i="40"/>
  <c r="O432" i="40" s="1"/>
  <c r="N433" i="40"/>
  <c r="O433" i="40" s="1"/>
  <c r="N434" i="40"/>
  <c r="O434" i="40" s="1"/>
  <c r="N435" i="40"/>
  <c r="O435" i="40" s="1"/>
  <c r="N436" i="40"/>
  <c r="O436" i="40" s="1"/>
  <c r="N437" i="40"/>
  <c r="O437" i="40" s="1"/>
  <c r="N438" i="40"/>
  <c r="N439" i="40"/>
  <c r="O439" i="40" s="1"/>
  <c r="N440" i="40"/>
  <c r="N441" i="40"/>
  <c r="O441" i="40" s="1"/>
  <c r="N442" i="40"/>
  <c r="N443" i="40"/>
  <c r="O443" i="40" s="1"/>
  <c r="N444" i="40"/>
  <c r="O444" i="40" s="1"/>
  <c r="N445" i="40"/>
  <c r="O445" i="40" s="1"/>
  <c r="N446" i="40"/>
  <c r="O446" i="40" s="1"/>
  <c r="N447" i="40"/>
  <c r="O447" i="40" s="1"/>
  <c r="N448" i="40"/>
  <c r="O448" i="40" s="1"/>
  <c r="N449" i="40"/>
  <c r="O449" i="40" s="1"/>
  <c r="N450" i="40"/>
  <c r="N451" i="40"/>
  <c r="O451" i="40" s="1"/>
  <c r="N452" i="40"/>
  <c r="N453" i="40"/>
  <c r="O453" i="40" s="1"/>
  <c r="N454" i="40"/>
  <c r="N455" i="40"/>
  <c r="O455" i="40" s="1"/>
  <c r="N456" i="40"/>
  <c r="O456" i="40" s="1"/>
  <c r="N457" i="40"/>
  <c r="O457" i="40" s="1"/>
  <c r="N458" i="40"/>
  <c r="O458" i="40" s="1"/>
  <c r="N459" i="40"/>
  <c r="O459" i="40" s="1"/>
  <c r="N460" i="40"/>
  <c r="O460" i="40" s="1"/>
  <c r="N461" i="40"/>
  <c r="O461" i="40" s="1"/>
  <c r="N462" i="40"/>
  <c r="N463" i="40"/>
  <c r="O463" i="40" s="1"/>
  <c r="N464" i="40"/>
  <c r="N465" i="40"/>
  <c r="O465" i="40" s="1"/>
  <c r="N466" i="40"/>
  <c r="N467" i="40"/>
  <c r="O467" i="40" s="1"/>
  <c r="N468" i="40"/>
  <c r="O468" i="40" s="1"/>
  <c r="N469" i="40"/>
  <c r="O469" i="40" s="1"/>
  <c r="N470" i="40"/>
  <c r="O470" i="40" s="1"/>
  <c r="N471" i="40"/>
  <c r="O471" i="40" s="1"/>
  <c r="N472" i="40"/>
  <c r="O472" i="40" s="1"/>
  <c r="N473" i="40"/>
  <c r="O473" i="40" s="1"/>
  <c r="N474" i="40"/>
  <c r="N475" i="40"/>
  <c r="O475" i="40" s="1"/>
  <c r="N476" i="40"/>
  <c r="N477" i="40"/>
  <c r="O477" i="40" s="1"/>
  <c r="N478" i="40"/>
  <c r="N479" i="40"/>
  <c r="O479" i="40" s="1"/>
  <c r="N480" i="40"/>
  <c r="O480" i="40" s="1"/>
  <c r="N481" i="40"/>
  <c r="O481" i="40" s="1"/>
  <c r="N482" i="40"/>
  <c r="O482" i="40" s="1"/>
  <c r="N483" i="40"/>
  <c r="O483" i="40" s="1"/>
  <c r="N484" i="40"/>
  <c r="O484" i="40" s="1"/>
  <c r="N485" i="40"/>
  <c r="O485" i="40" s="1"/>
  <c r="N486" i="40"/>
  <c r="N487" i="40"/>
  <c r="O487" i="40" s="1"/>
  <c r="N488" i="40"/>
  <c r="N489" i="40"/>
  <c r="O489" i="40" s="1"/>
  <c r="N490" i="40"/>
  <c r="N491" i="40"/>
  <c r="O491" i="40" s="1"/>
  <c r="N492" i="40"/>
  <c r="O492" i="40" s="1"/>
  <c r="N493" i="40"/>
  <c r="O493" i="40" s="1"/>
  <c r="N494" i="40"/>
  <c r="O494" i="40" s="1"/>
  <c r="N495" i="40"/>
  <c r="O495" i="40" s="1"/>
  <c r="N496" i="40"/>
  <c r="O496" i="40" s="1"/>
  <c r="N497" i="40"/>
  <c r="O497" i="40" s="1"/>
  <c r="N498" i="40"/>
  <c r="N499" i="40"/>
  <c r="O499" i="40" s="1"/>
  <c r="N500" i="40"/>
  <c r="N501" i="40"/>
  <c r="O501" i="40" s="1"/>
  <c r="N502" i="40"/>
  <c r="N503" i="40"/>
  <c r="O503" i="40" s="1"/>
  <c r="N504" i="40"/>
  <c r="O504" i="40" s="1"/>
  <c r="N505" i="40"/>
  <c r="O505" i="40" s="1"/>
  <c r="N506" i="40"/>
  <c r="O506" i="40" s="1"/>
  <c r="N507" i="40"/>
  <c r="O507" i="40" s="1"/>
  <c r="N508" i="40"/>
  <c r="O508" i="40" s="1"/>
  <c r="N509" i="40"/>
  <c r="O509" i="40" s="1"/>
  <c r="N510" i="40"/>
  <c r="N511" i="40"/>
  <c r="O511" i="40" s="1"/>
  <c r="N512" i="40"/>
  <c r="N513" i="40"/>
  <c r="O513" i="40" s="1"/>
  <c r="N514" i="40"/>
  <c r="N515" i="40"/>
  <c r="O515" i="40" s="1"/>
  <c r="N516" i="40"/>
  <c r="O516" i="40" s="1"/>
  <c r="N517" i="40"/>
  <c r="O517" i="40" s="1"/>
  <c r="N518" i="40"/>
  <c r="O518" i="40" s="1"/>
  <c r="N519" i="40"/>
  <c r="O519" i="40" s="1"/>
  <c r="N520" i="40"/>
  <c r="O520" i="40" s="1"/>
  <c r="N521" i="40"/>
  <c r="O521" i="40" s="1"/>
  <c r="N522" i="40"/>
  <c r="N523" i="40"/>
  <c r="O523" i="40" s="1"/>
  <c r="N524" i="40"/>
  <c r="N525" i="40"/>
  <c r="O525" i="40" s="1"/>
  <c r="N526" i="40"/>
  <c r="N527" i="40"/>
  <c r="O527" i="40" s="1"/>
  <c r="N528" i="40"/>
  <c r="O528" i="40" s="1"/>
  <c r="N529" i="40"/>
  <c r="O529" i="40" s="1"/>
  <c r="N530" i="40"/>
  <c r="O530" i="40" s="1"/>
  <c r="N531" i="40"/>
  <c r="O531" i="40" s="1"/>
  <c r="N532" i="40"/>
  <c r="O532" i="40" s="1"/>
  <c r="N533" i="40"/>
  <c r="O533" i="40" s="1"/>
  <c r="N534" i="40"/>
  <c r="N535" i="40"/>
  <c r="O535" i="40" s="1"/>
  <c r="N536" i="40"/>
  <c r="N537" i="40"/>
  <c r="O537" i="40" s="1"/>
  <c r="N538" i="40"/>
  <c r="N539" i="40"/>
  <c r="O539" i="40" s="1"/>
  <c r="N540" i="40"/>
  <c r="O540" i="40" s="1"/>
  <c r="N541" i="40"/>
  <c r="O541" i="40" s="1"/>
  <c r="N542" i="40"/>
  <c r="O542" i="40" s="1"/>
  <c r="N543" i="40"/>
  <c r="O543" i="40" s="1"/>
  <c r="N544" i="40"/>
  <c r="O544" i="40" s="1"/>
  <c r="N545" i="40"/>
  <c r="O545" i="40" s="1"/>
  <c r="N546" i="40"/>
  <c r="N547" i="40"/>
  <c r="O547" i="40" s="1"/>
  <c r="N548" i="40"/>
  <c r="N549" i="40"/>
  <c r="O549" i="40" s="1"/>
  <c r="N550" i="40"/>
  <c r="N551" i="40"/>
  <c r="O551" i="40" s="1"/>
  <c r="N552" i="40"/>
  <c r="O552" i="40" s="1"/>
  <c r="N553" i="40"/>
  <c r="O553" i="40" s="1"/>
  <c r="N554" i="40"/>
  <c r="O554" i="40" s="1"/>
  <c r="N555" i="40"/>
  <c r="O555" i="40" s="1"/>
  <c r="N556" i="40"/>
  <c r="O556" i="40" s="1"/>
  <c r="N557" i="40"/>
  <c r="O557" i="40" s="1"/>
  <c r="N558" i="40"/>
  <c r="N559" i="40"/>
  <c r="O559" i="40" s="1"/>
  <c r="N560" i="40"/>
  <c r="N561" i="40"/>
  <c r="O561" i="40" s="1"/>
  <c r="N562" i="40"/>
  <c r="N563" i="40"/>
  <c r="O563" i="40" s="1"/>
  <c r="N564" i="40"/>
  <c r="O564" i="40" s="1"/>
  <c r="N565" i="40"/>
  <c r="O565" i="40" s="1"/>
  <c r="N566" i="40"/>
  <c r="O566" i="40" s="1"/>
  <c r="N567" i="40"/>
  <c r="O567" i="40" s="1"/>
  <c r="N568" i="40"/>
  <c r="O568" i="40" s="1"/>
  <c r="D33" i="28"/>
  <c r="D32" i="28"/>
  <c r="D34" i="28"/>
  <c r="D36" i="28"/>
  <c r="D35" i="28"/>
  <c r="F17" i="28"/>
  <c r="H17" i="28" s="1"/>
  <c r="F15" i="28"/>
  <c r="H15" i="28" s="1"/>
  <c r="F16" i="28"/>
  <c r="H16" i="28" s="1"/>
  <c r="F18" i="28"/>
  <c r="H18" i="28" s="1"/>
  <c r="F14" i="28"/>
  <c r="D14" i="28"/>
  <c r="E14" i="28" s="1"/>
  <c r="G14" i="28" s="1"/>
  <c r="I14" i="28" s="1"/>
  <c r="E15" i="28"/>
  <c r="G15" i="28" s="1"/>
  <c r="I15" i="28" s="1"/>
  <c r="E16" i="28"/>
  <c r="G16" i="28" s="1"/>
  <c r="I16" i="28" s="1"/>
  <c r="D15" i="28"/>
  <c r="D16" i="28"/>
  <c r="D17" i="28"/>
  <c r="E17" i="28" s="1"/>
  <c r="G17" i="28" s="1"/>
  <c r="I17" i="28" s="1"/>
  <c r="D18" i="28"/>
  <c r="E18" i="28" s="1"/>
  <c r="G18" i="28" s="1"/>
  <c r="I18" i="28" s="1"/>
  <c r="A2" i="41"/>
  <c r="N2" i="2"/>
  <c r="N302" i="1"/>
  <c r="N301" i="1"/>
  <c r="N300" i="1"/>
  <c r="N299" i="1"/>
  <c r="N298" i="1"/>
  <c r="N297" i="1"/>
  <c r="N296" i="1"/>
  <c r="N295" i="1"/>
  <c r="N294" i="1"/>
  <c r="N293" i="1"/>
  <c r="N292" i="1"/>
  <c r="N291" i="1"/>
  <c r="N290" i="1"/>
  <c r="N203"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84" i="1"/>
  <c r="N202" i="1"/>
  <c r="N201" i="1"/>
  <c r="N200" i="1"/>
  <c r="N199" i="1"/>
  <c r="N198" i="1"/>
  <c r="N197" i="1"/>
  <c r="N196" i="1"/>
  <c r="N195" i="1"/>
  <c r="N194" i="1"/>
  <c r="N193" i="1"/>
  <c r="N192" i="1"/>
  <c r="N191" i="1"/>
  <c r="N190" i="1"/>
  <c r="N189" i="1"/>
  <c r="N188" i="1"/>
  <c r="N289"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5" i="1"/>
  <c r="N128" i="1"/>
  <c r="N127" i="1"/>
  <c r="N126" i="1"/>
  <c r="N187"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15"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29" i="1"/>
  <c r="N14" i="1"/>
  <c r="N13" i="1"/>
  <c r="N12" i="1"/>
  <c r="N11" i="1"/>
  <c r="N10" i="1"/>
  <c r="N9" i="1"/>
  <c r="N8" i="1"/>
  <c r="N7" i="1"/>
  <c r="N6" i="1"/>
  <c r="N5" i="1"/>
  <c r="N4" i="1"/>
  <c r="N3" i="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J14" i="28" l="1"/>
  <c r="J18" i="28"/>
  <c r="J16" i="28"/>
  <c r="J15" i="28"/>
  <c r="J17" i="2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EFFA3A-1111-4EDC-AED2-E9570D777FBE}" keepAlive="1" name="Query - Campaign Metadata" description="Connection to the 'Campaign Metadata' query in the workbook." type="5" refreshedVersion="0" background="1">
    <dbPr connection="Provider=Microsoft.Mashup.OleDb.1;Data Source=$Workbook$;Location=&quot;Campaign Metadata&quot;;Extended Properties=&quot;&quot;" command="SELECT * FROM [Campaign Metadata]"/>
  </connection>
  <connection id="2" xr16:uid="{7A4F71D7-9031-4CD6-B062-6C3C485EB697}" keepAlive="1" name="Query - Engagement Summary" description="Connection to the 'Engagement Summary' query in the workbook." type="5" refreshedVersion="0" background="1">
    <dbPr connection="Provider=Microsoft.Mashup.OleDb.1;Data Source=$Workbook$;Location=&quot;Engagement Summary&quot;;Extended Properties=&quot;&quot;" command="SELECT * FROM [Engagement Summary]"/>
  </connection>
  <connection id="3" xr16:uid="{AC0CC818-A160-4E15-B44D-5347EC41B37B}" keepAlive="1" name="Query - Posts" description="Connection to the 'Posts' query in the workbook." type="5" refreshedVersion="0" background="1">
    <dbPr connection="Provider=Microsoft.Mashup.OleDb.1;Data Source=$Workbook$;Location=Posts;Extended Properties=&quot;&quot;" command="SELECT * FROM [Posts]"/>
  </connection>
  <connection id="4" xr16:uid="{C32A1AA3-7FE8-4137-A7B4-B3CFB6CB4F6C}"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5" xr16:uid="{8C7CED8C-8E68-4079-AC8D-2E411A0DB418}" keepAlive="1" name="Query - Table8" description="Connection to the 'Table8' query in the workbook." type="5" refreshedVersion="8" background="1" saveData="1">
    <dbPr connection="Provider=Microsoft.Mashup.OleDb.1;Data Source=$Workbook$;Location=Table8;Extended Properties=&quot;&quot;" command="SELECT * FROM [Table8]"/>
  </connection>
  <connection id="6" xr16:uid="{C7ECFD14-B77A-44A8-A3DF-24A021FCBDA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F4813BA9-18FB-436D-BFDE-7137AC59B7CA}" name="WorksheetConnection_Excel project.xlsx!Table1" type="102" refreshedVersion="8" minRefreshableVersion="5">
    <extLst>
      <ext xmlns:x15="http://schemas.microsoft.com/office/spreadsheetml/2010/11/main" uri="{DE250136-89BD-433C-8126-D09CA5730AF9}">
        <x15:connection id="Table1">
          <x15:rangePr sourceName="_xlcn.WorksheetConnection_Excelproject.xlsxTable1"/>
        </x15:connection>
      </ext>
    </extLst>
  </connection>
  <connection id="8" xr16:uid="{A3D54B8F-1381-45B1-9392-693601CB1F69}" name="WorksheetConnection_Excel project.xlsx!Table2" type="102" refreshedVersion="8" minRefreshableVersion="5">
    <extLst>
      <ext xmlns:x15="http://schemas.microsoft.com/office/spreadsheetml/2010/11/main" uri="{DE250136-89BD-433C-8126-D09CA5730AF9}">
        <x15:connection id="Table2">
          <x15:rangePr sourceName="_xlcn.WorksheetConnection_Excelproject.xlsxTable2"/>
        </x15:connection>
      </ext>
    </extLst>
  </connection>
</connections>
</file>

<file path=xl/sharedStrings.xml><?xml version="1.0" encoding="utf-8"?>
<sst xmlns="http://schemas.openxmlformats.org/spreadsheetml/2006/main" count="6951" uniqueCount="472">
  <si>
    <t>PostID</t>
  </si>
  <si>
    <t>Platform</t>
  </si>
  <si>
    <t>Date</t>
  </si>
  <si>
    <t>ContentType</t>
  </si>
  <si>
    <t>Hashtags.1</t>
  </si>
  <si>
    <t>Hashtags.2</t>
  </si>
  <si>
    <t>Likes</t>
  </si>
  <si>
    <t>Shares</t>
  </si>
  <si>
    <t>Comments</t>
  </si>
  <si>
    <t>Clicks</t>
  </si>
  <si>
    <t>Reach</t>
  </si>
  <si>
    <t>Impressions</t>
  </si>
  <si>
    <t>Campaign</t>
  </si>
  <si>
    <t>A1</t>
  </si>
  <si>
    <t>YouTube</t>
  </si>
  <si>
    <t>Image</t>
  </si>
  <si>
    <t>#AppleWatchUltra2</t>
  </si>
  <si>
    <t>#HealthTech</t>
  </si>
  <si>
    <t>Apple Watch Ultra 2 Launch</t>
  </si>
  <si>
    <t>A2</t>
  </si>
  <si>
    <t>LinkedIn</t>
  </si>
  <si>
    <t>#MacBookAirM3</t>
  </si>
  <si>
    <t>#AppleInnovation</t>
  </si>
  <si>
    <t>Apple Event September 2025</t>
  </si>
  <si>
    <t>A3</t>
  </si>
  <si>
    <t>Instagram</t>
  </si>
  <si>
    <t>Tweet</t>
  </si>
  <si>
    <t>#AppleDesign</t>
  </si>
  <si>
    <t>#Innovation</t>
  </si>
  <si>
    <t>Sustainability Awareness Drive</t>
  </si>
  <si>
    <t>A4</t>
  </si>
  <si>
    <t>Video</t>
  </si>
  <si>
    <t>#AppleEvent</t>
  </si>
  <si>
    <t>#iPadPro</t>
  </si>
  <si>
    <t>iPhone 16 Launch</t>
  </si>
  <si>
    <t>A5</t>
  </si>
  <si>
    <t>A6</t>
  </si>
  <si>
    <t>#ShotOniPhone</t>
  </si>
  <si>
    <t>A7</t>
  </si>
  <si>
    <t>Carousel</t>
  </si>
  <si>
    <t>#AppleMusic</t>
  </si>
  <si>
    <t>#AppleLifestyle</t>
  </si>
  <si>
    <t>A8</t>
  </si>
  <si>
    <t>#AppleWatch</t>
  </si>
  <si>
    <t>#Health</t>
  </si>
  <si>
    <t>A9</t>
  </si>
  <si>
    <t>A10</t>
  </si>
  <si>
    <t>Twitter</t>
  </si>
  <si>
    <t>#iPhone16Launch</t>
  </si>
  <si>
    <t>A11</t>
  </si>
  <si>
    <t>A12</t>
  </si>
  <si>
    <t>A13</t>
  </si>
  <si>
    <t>MacBook Air M3 Campaign</t>
  </si>
  <si>
    <t>A14</t>
  </si>
  <si>
    <t>A15</t>
  </si>
  <si>
    <t>A16</t>
  </si>
  <si>
    <t>A17</t>
  </si>
  <si>
    <t>#iPhone16</t>
  </si>
  <si>
    <t>A18</t>
  </si>
  <si>
    <t>A19</t>
  </si>
  <si>
    <t>A20</t>
  </si>
  <si>
    <t>A21</t>
  </si>
  <si>
    <t>#iPhonePhotography</t>
  </si>
  <si>
    <t>A22</t>
  </si>
  <si>
    <t>A23</t>
  </si>
  <si>
    <t>A24</t>
  </si>
  <si>
    <t>A25</t>
  </si>
  <si>
    <t>A26</t>
  </si>
  <si>
    <t>A27</t>
  </si>
  <si>
    <t>A28</t>
  </si>
  <si>
    <t>A29</t>
  </si>
  <si>
    <t>#MacBookProM3</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</si>
  <si>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</si>
  <si>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</si>
  <si>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</si>
  <si>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</si>
  <si>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</si>
  <si>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</si>
  <si>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</si>
  <si>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</si>
  <si>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</si>
  <si>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</si>
  <si>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</si>
  <si>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</si>
  <si>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</si>
  <si>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</si>
  <si>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</si>
  <si>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</si>
  <si>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</si>
  <si>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</si>
  <si>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</si>
  <si>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</si>
  <si>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</si>
  <si>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</si>
  <si>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</si>
  <si>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</si>
  <si>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</si>
  <si>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</si>
  <si>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</si>
  <si>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</si>
  <si>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</si>
  <si>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</si>
  <si>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</si>
  <si>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</si>
  <si>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</si>
  <si>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</si>
  <si>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</si>
  <si>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</si>
  <si>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</si>
  <si>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</si>
  <si>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</si>
  <si>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</si>
  <si>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</si>
  <si>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</si>
  <si>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</si>
  <si>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</si>
  <si>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</si>
  <si>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</si>
  <si>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</si>
  <si>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</si>
  <si>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</si>
  <si>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</si>
  <si>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#Sustainability</t>
  </si>
  <si>
    <t>#AppleEarth</t>
  </si>
  <si>
    <t>A80</t>
  </si>
  <si>
    <t>A81</t>
  </si>
  <si>
    <t>A82</t>
  </si>
  <si>
    <t>A83</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</si>
  <si>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</si>
  <si>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</si>
  <si>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</si>
  <si>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</si>
  <si>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</si>
  <si>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</si>
  <si>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</si>
  <si>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</si>
  <si>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</si>
  <si>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</si>
  <si>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</si>
  <si>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</si>
  <si>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</si>
  <si>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</si>
  <si>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</si>
  <si>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</si>
  <si>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</si>
  <si>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</si>
  <si>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</si>
  <si>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</si>
  <si>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</si>
  <si>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</si>
  <si>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</si>
  <si>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</si>
  <si>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</si>
  <si>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</si>
  <si>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</si>
  <si>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</si>
  <si>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</si>
  <si>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</si>
  <si>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</si>
  <si>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</si>
  <si>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</si>
  <si>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</si>
  <si>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</si>
  <si>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</si>
  <si>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</si>
  <si>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</si>
  <si>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</si>
  <si>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</si>
  <si>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</si>
  <si>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</si>
  <si>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</si>
  <si>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</si>
  <si>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</si>
  <si>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</si>
  <si>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</si>
  <si>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</si>
  <si>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</si>
  <si>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</si>
  <si>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</si>
  <si>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</si>
  <si>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</si>
  <si>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</si>
  <si>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</si>
  <si>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</si>
  <si>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</si>
  <si>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</si>
  <si>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</si>
  <si>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</si>
  <si>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</si>
  <si>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</si>
  <si>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</si>
  <si>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</si>
  <si>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</si>
  <si>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</si>
  <si>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</si>
  <si>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</si>
  <si>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</si>
  <si>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</si>
  <si>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</si>
  <si>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</si>
  <si>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</si>
  <si>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</si>
  <si>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</si>
  <si>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</si>
  <si>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</si>
  <si>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</si>
  <si>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</si>
  <si>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</si>
  <si>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</si>
  <si>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</si>
  <si>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</si>
  <si>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</si>
  <si>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</si>
  <si>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</si>
  <si>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</si>
  <si>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</si>
  <si>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</si>
  <si>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</si>
  <si>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</si>
  <si>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</si>
  <si>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</si>
  <si>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</si>
  <si>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</si>
  <si>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</si>
  <si>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</si>
  <si>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</si>
  <si>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</si>
  <si>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</si>
  <si>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</si>
  <si>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</si>
  <si>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</si>
  <si>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</si>
  <si>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</si>
  <si>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</si>
  <si>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</si>
  <si>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</si>
  <si>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</si>
  <si>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</si>
  <si>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</si>
  <si>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</si>
  <si>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</si>
  <si>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</si>
  <si>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</si>
  <si>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</si>
  <si>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</si>
  <si>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A201</t>
  </si>
  <si>
    <t>A202</t>
  </si>
  <si>
    <t>A203</t>
  </si>
  <si>
    <t>A204</t>
  </si>
  <si>
    <t>A205</t>
  </si>
  <si>
    <t>A206</t>
  </si>
  <si>
    <t>A207</t>
  </si>
  <si>
    <t>A208</t>
  </si>
  <si>
    <t>A209</t>
  </si>
  <si>
    <t>A210</t>
  </si>
  <si>
    <t>A211</t>
  </si>
  <si>
    <t>A212</t>
  </si>
  <si>
    <t>A213</t>
  </si>
  <si>
    <t>A214</t>
  </si>
  <si>
    <t>A215</t>
  </si>
  <si>
    <t>A216</t>
  </si>
  <si>
    <t>A217</t>
  </si>
  <si>
    <t>A218</t>
  </si>
  <si>
    <t>A219</t>
  </si>
  <si>
    <t>A220</t>
  </si>
  <si>
    <t>A221</t>
  </si>
  <si>
    <t>A222</t>
  </si>
  <si>
    <t>A223</t>
  </si>
  <si>
    <t>A224</t>
  </si>
  <si>
    <t>A225</t>
  </si>
  <si>
    <t>A226</t>
  </si>
  <si>
    <t>A227</t>
  </si>
  <si>
    <t>A228</t>
  </si>
  <si>
    <t>A229</t>
  </si>
  <si>
    <t>A230</t>
  </si>
  <si>
    <t>A231</t>
  </si>
  <si>
    <t>A232</t>
  </si>
  <si>
    <t>A233</t>
  </si>
  <si>
    <t>A234</t>
  </si>
  <si>
    <t>A235</t>
  </si>
  <si>
    <t>A236</t>
  </si>
  <si>
    <t>A237</t>
  </si>
  <si>
    <t>A238</t>
  </si>
  <si>
    <t>A239</t>
  </si>
  <si>
    <t>A240</t>
  </si>
  <si>
    <t>A241</t>
  </si>
  <si>
    <t>A242</t>
  </si>
  <si>
    <t>A243</t>
  </si>
  <si>
    <t>A244</t>
  </si>
  <si>
    <t>A245</t>
  </si>
  <si>
    <t>A246</t>
  </si>
  <si>
    <t>A247</t>
  </si>
  <si>
    <t>A248</t>
  </si>
  <si>
    <t>A249</t>
  </si>
  <si>
    <t>A250</t>
  </si>
  <si>
    <t>A251</t>
  </si>
  <si>
    <t>A252</t>
  </si>
  <si>
    <t>A253</t>
  </si>
  <si>
    <t>A254</t>
  </si>
  <si>
    <t>A255</t>
  </si>
  <si>
    <t>A256</t>
  </si>
  <si>
    <t>A257</t>
  </si>
  <si>
    <t>A258</t>
  </si>
  <si>
    <t>A259</t>
  </si>
  <si>
    <t>A260</t>
  </si>
  <si>
    <t>A261</t>
  </si>
  <si>
    <t>A262</t>
  </si>
  <si>
    <t>A263</t>
  </si>
  <si>
    <t>A264</t>
  </si>
  <si>
    <t>A265</t>
  </si>
  <si>
    <t>A266</t>
  </si>
  <si>
    <t>A267</t>
  </si>
  <si>
    <t>A268</t>
  </si>
  <si>
    <t>A269</t>
  </si>
  <si>
    <t>A270</t>
  </si>
  <si>
    <t>A271</t>
  </si>
  <si>
    <t>A272</t>
  </si>
  <si>
    <t>A273</t>
  </si>
  <si>
    <t>A274</t>
  </si>
  <si>
    <t>A275</t>
  </si>
  <si>
    <t>A276</t>
  </si>
  <si>
    <t>A277</t>
  </si>
  <si>
    <t>A278</t>
  </si>
  <si>
    <t>A279</t>
  </si>
  <si>
    <t>A280</t>
  </si>
  <si>
    <t>A281</t>
  </si>
  <si>
    <t>A282</t>
  </si>
  <si>
    <t>A283</t>
  </si>
  <si>
    <t>A284</t>
  </si>
  <si>
    <t>A285</t>
  </si>
  <si>
    <t>A286</t>
  </si>
  <si>
    <t>A287</t>
  </si>
  <si>
    <t>A288</t>
  </si>
  <si>
    <t>A289</t>
  </si>
  <si>
    <t>A290</t>
  </si>
  <si>
    <t>A291</t>
  </si>
  <si>
    <t>A292</t>
  </si>
  <si>
    <t>A293</t>
  </si>
  <si>
    <t>A294</t>
  </si>
  <si>
    <t>A295</t>
  </si>
  <si>
    <t>A296</t>
  </si>
  <si>
    <t>A297</t>
  </si>
  <si>
    <t>A298</t>
  </si>
  <si>
    <t>A299</t>
  </si>
  <si>
    <t>A300</t>
  </si>
  <si>
    <t>Week_Start_Date</t>
  </si>
  <si>
    <t>New_Followers</t>
  </si>
  <si>
    <t>Unfollows</t>
  </si>
  <si>
    <t>Total_Followers</t>
  </si>
  <si>
    <t>Engagement_Rate</t>
  </si>
  <si>
    <t>Ad_Spend</t>
  </si>
  <si>
    <t>Campaign_Name</t>
  </si>
  <si>
    <t>Start_Date</t>
  </si>
  <si>
    <t>End_Date</t>
  </si>
  <si>
    <t>Objective</t>
  </si>
  <si>
    <t>Engagement_Uplift</t>
  </si>
  <si>
    <t>Product Launch</t>
  </si>
  <si>
    <t>Product Promotion</t>
  </si>
  <si>
    <t>Health &amp; Fitness Awareness</t>
  </si>
  <si>
    <t>Sustainability Branding</t>
  </si>
  <si>
    <t>Brand Engagement</t>
  </si>
  <si>
    <t>Engagement Rate</t>
  </si>
  <si>
    <t>Row Labels</t>
  </si>
  <si>
    <t>Grand Total</t>
  </si>
  <si>
    <t>Total Likes</t>
  </si>
  <si>
    <t>Total Shares</t>
  </si>
  <si>
    <t>Total Comments</t>
  </si>
  <si>
    <t>Total Likes, Shares, Comments by Content Type &amp; Platform</t>
  </si>
  <si>
    <t>Average Clicks per post by Hashtag</t>
  </si>
  <si>
    <t>Sum of Growth rate</t>
  </si>
  <si>
    <t>Sum of Ad_Spend</t>
  </si>
  <si>
    <t>performance</t>
  </si>
  <si>
    <t>Sum of performance</t>
  </si>
  <si>
    <t>Sum of Impressions</t>
  </si>
  <si>
    <t>Sum of Likes</t>
  </si>
  <si>
    <t>Average of Impressions</t>
  </si>
  <si>
    <t>Average of Likes</t>
  </si>
  <si>
    <t>Sum of Clicks</t>
  </si>
  <si>
    <t>Average of Clicks</t>
  </si>
  <si>
    <t>06-Jan</t>
  </si>
  <si>
    <t>13-Jan</t>
  </si>
  <si>
    <t>20-Jan</t>
  </si>
  <si>
    <t>27-Jan</t>
  </si>
  <si>
    <t>03-Feb</t>
  </si>
  <si>
    <t>10-Feb</t>
  </si>
  <si>
    <t>17-Feb</t>
  </si>
  <si>
    <t>24-Feb</t>
  </si>
  <si>
    <t>03-Mar</t>
  </si>
  <si>
    <t>10-Mar</t>
  </si>
  <si>
    <t>17-Mar</t>
  </si>
  <si>
    <t>24-Mar</t>
  </si>
  <si>
    <t>31-Mar</t>
  </si>
  <si>
    <t>07-Apr</t>
  </si>
  <si>
    <t>14-Apr</t>
  </si>
  <si>
    <t>21-Apr</t>
  </si>
  <si>
    <t>28-Apr</t>
  </si>
  <si>
    <t>05-May</t>
  </si>
  <si>
    <t>12-May</t>
  </si>
  <si>
    <t>03-Jun</t>
  </si>
  <si>
    <t>10-Jun</t>
  </si>
  <si>
    <t>17-Jun</t>
  </si>
  <si>
    <t>24-Jun</t>
  </si>
  <si>
    <t>01-Jul</t>
  </si>
  <si>
    <t>08-Jul</t>
  </si>
  <si>
    <t>15-Jul</t>
  </si>
  <si>
    <t>22-Jul</t>
  </si>
  <si>
    <t>29-Jul</t>
  </si>
  <si>
    <t>05-Aug</t>
  </si>
  <si>
    <t>12-Aug</t>
  </si>
  <si>
    <t>19-Aug</t>
  </si>
  <si>
    <t>26-Aug</t>
  </si>
  <si>
    <t>02-Sep</t>
  </si>
  <si>
    <t>09-Sep</t>
  </si>
  <si>
    <t>16-Sep</t>
  </si>
  <si>
    <t>23-Sep</t>
  </si>
  <si>
    <t>30-Sep</t>
  </si>
  <si>
    <t>07-Oct</t>
  </si>
  <si>
    <t>14-Oct</t>
  </si>
  <si>
    <t>21-Oct</t>
  </si>
  <si>
    <t>28-Oct</t>
  </si>
  <si>
    <t>04-Nov</t>
  </si>
  <si>
    <t>11-Nov</t>
  </si>
  <si>
    <t>18-Nov</t>
  </si>
  <si>
    <t>25-Nov</t>
  </si>
  <si>
    <t>02-Dec</t>
  </si>
  <si>
    <t>09-Dec</t>
  </si>
  <si>
    <t>16-Dec</t>
  </si>
  <si>
    <t>23-Dec</t>
  </si>
  <si>
    <t>30-Dec</t>
  </si>
  <si>
    <t>Hashtags</t>
  </si>
  <si>
    <t>Top 5 hashtags</t>
  </si>
  <si>
    <t>Sum of Engagement</t>
  </si>
  <si>
    <t>Ad Spend</t>
  </si>
  <si>
    <t>Engagement</t>
  </si>
  <si>
    <t>Custom table to compare</t>
  </si>
  <si>
    <t>Count of Hashtags</t>
  </si>
  <si>
    <t>Follower growth rates across platforms</t>
  </si>
  <si>
    <t>Visualize Engagement vs. Ad Spend per platform.</t>
  </si>
  <si>
    <t>Average performance of posts</t>
  </si>
  <si>
    <t>Total &amp; Average Impressions, Likes, Clicks per Campaign.</t>
  </si>
  <si>
    <t>Platform with highest engagement</t>
  </si>
  <si>
    <t>Content performance</t>
  </si>
  <si>
    <t>Campaign Duration</t>
  </si>
  <si>
    <t>Before Date</t>
  </si>
  <si>
    <t>Engagement During</t>
  </si>
  <si>
    <t>Engagement Before</t>
  </si>
  <si>
    <t>Daily Engagement During</t>
  </si>
  <si>
    <t>Daily Engagement Before</t>
  </si>
  <si>
    <t>Engagement Uplift</t>
  </si>
  <si>
    <t xml:space="preserve">Engagement </t>
  </si>
  <si>
    <t>Engagement(Campaign)</t>
  </si>
  <si>
    <t>ROI</t>
  </si>
  <si>
    <t>Pivot Table to Calculate Engagement per Campaign</t>
  </si>
  <si>
    <t>Campaign with Highest ROI</t>
  </si>
  <si>
    <t>Follower Gain</t>
  </si>
  <si>
    <t>Campaign with Highest Follower Gain</t>
  </si>
  <si>
    <r>
      <rPr>
        <b/>
        <sz val="11"/>
        <color theme="1"/>
        <rFont val="Calibri"/>
        <family val="2"/>
        <scheme val="minor"/>
      </rPr>
      <t>LinkedIn</t>
    </r>
    <r>
      <rPr>
        <sz val="11"/>
        <color theme="1"/>
        <rFont val="Calibri"/>
        <family val="2"/>
        <scheme val="minor"/>
      </rPr>
      <t xml:space="preserve"> Has </t>
    </r>
    <r>
      <rPr>
        <b/>
        <sz val="11"/>
        <color theme="1"/>
        <rFont val="Calibri"/>
        <family val="2"/>
        <scheme val="minor"/>
      </rPr>
      <t>Highest Engagement</t>
    </r>
    <r>
      <rPr>
        <sz val="11"/>
        <color theme="1"/>
        <rFont val="Calibri"/>
        <family val="2"/>
        <scheme val="minor"/>
      </rPr>
      <t xml:space="preserve"> among all Platforms</t>
    </r>
  </si>
  <si>
    <r>
      <rPr>
        <b/>
        <sz val="11"/>
        <color theme="1"/>
        <rFont val="Calibri"/>
        <family val="2"/>
        <scheme val="minor"/>
      </rPr>
      <t>Instagram</t>
    </r>
    <r>
      <rPr>
        <sz val="11"/>
        <color theme="1"/>
        <rFont val="Calibri"/>
        <family val="2"/>
        <scheme val="minor"/>
      </rPr>
      <t xml:space="preserve"> has achieved 46% Follower Growth ,the </t>
    </r>
    <r>
      <rPr>
        <b/>
        <sz val="11"/>
        <color theme="1"/>
        <rFont val="Calibri"/>
        <family val="2"/>
        <scheme val="minor"/>
      </rPr>
      <t>Highest Among all platforms</t>
    </r>
  </si>
  <si>
    <t>Content type performance</t>
  </si>
  <si>
    <t>Recommendation according to content type</t>
  </si>
  <si>
    <t>2024</t>
  </si>
  <si>
    <t>2025</t>
  </si>
  <si>
    <t>Weekly follower growth per platform</t>
  </si>
  <si>
    <t>Key  findings and recommendation</t>
  </si>
  <si>
    <t>Performance</t>
  </si>
  <si>
    <t>Click through rate</t>
  </si>
  <si>
    <t>Average of Performance</t>
  </si>
  <si>
    <t>Growth Rate</t>
  </si>
  <si>
    <t>Sum of Follower Gain</t>
  </si>
  <si>
    <t>Top 10 Apple posts with highest engagement rate</t>
  </si>
  <si>
    <t>Findings</t>
  </si>
  <si>
    <t>https://drive.google.com/file/d/10Dxd6bVoLQNcY_ndxcAPbrI0I7FdMB1G/view?usp=sharing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</si>
</sst>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quot;₹&quot;\ #,##0"/>
  </numFmts>
  <fonts count="7" x14ac:knownFonts="1">
    <font>
      <sz val="11"/>
      <color theme="1"/>
      <name val="Calibri"/>
      <family val="2"/>
      <scheme val="minor"/>
    </font>
    <font>
      <b/>
      <sz val="11"/>
      <color theme="0"/>
      <name val="Calibri"/>
      <family val="2"/>
      <scheme val="minor"/>
    </font>
    <font>
      <sz val="11"/>
      <color theme="1"/>
      <name val="Calibri"/>
      <family val="2"/>
      <scheme val="minor"/>
    </font>
    <font>
      <sz val="12"/>
      <color theme="1"/>
      <name val="Calibri"/>
      <family val="2"/>
      <scheme val="minor"/>
    </font>
    <font>
      <sz val="10"/>
      <color theme="1"/>
      <name val="Calibri"/>
      <family val="2"/>
      <scheme val="minor"/>
    </font>
    <font>
      <b/>
      <sz val="11"/>
      <color theme="1"/>
      <name val="Calibri"/>
      <family val="2"/>
      <scheme val="minor"/>
    </font>
    <font>
      <u/>
      <sz val="11"/>
      <color theme="10"/>
      <name val="Calibri"/>
      <family val="2"/>
      <scheme val="minor"/>
    </font>
  </fonts>
  <fills count="1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0"/>
        <bgColor indexed="64"/>
      </patternFill>
    </fill>
    <fill>
      <patternFill patternType="solid">
        <fgColor theme="0"/>
        <bgColor theme="9" tint="0.79998168889431442"/>
      </patternFill>
    </fill>
    <fill>
      <patternFill patternType="solid">
        <fgColor theme="9" tint="0.59999389629810485"/>
        <bgColor indexed="64"/>
      </patternFill>
    </fill>
    <fill>
      <patternFill patternType="solid">
        <fgColor theme="7" tint="0.79998168889431442"/>
        <bgColor indexed="64"/>
      </patternFill>
    </fill>
    <fill>
      <patternFill patternType="solid">
        <fgColor theme="8" tint="0.39997558519241921"/>
        <bgColor indexed="65"/>
      </patternFill>
    </fill>
    <fill>
      <patternFill patternType="solid">
        <fgColor theme="4" tint="0.7999816888943144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7" tint="0.59999389629810485"/>
        <bgColor indexed="64"/>
      </patternFill>
    </fill>
  </fills>
  <borders count="19">
    <border>
      <left/>
      <right/>
      <top/>
      <bottom/>
      <diagonal/>
    </border>
    <border>
      <left style="thin">
        <color theme="9" tint="0.39997558519241921"/>
      </left>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style="thin">
        <color theme="9" tint="0.39997558519241921"/>
      </left>
      <right/>
      <top/>
      <bottom/>
      <diagonal/>
    </border>
    <border>
      <left style="thin">
        <color theme="9"/>
      </left>
      <right/>
      <top style="thin">
        <color theme="9" tint="0.39997558519241921"/>
      </top>
      <bottom/>
      <diagonal/>
    </border>
    <border>
      <left style="thin">
        <color theme="9" tint="0.39997558519241921"/>
      </left>
      <right style="thin">
        <color theme="9"/>
      </right>
      <top style="thin">
        <color theme="9"/>
      </top>
      <bottom/>
      <diagonal/>
    </border>
    <border>
      <left style="thin">
        <color theme="9"/>
      </left>
      <right/>
      <top style="thin">
        <color theme="9" tint="0.39997558519241921"/>
      </top>
      <bottom style="thin">
        <color theme="9" tint="0.39997558519241921"/>
      </bottom>
      <diagonal/>
    </border>
    <border>
      <left style="thin">
        <color theme="9" tint="0.39997558519241921"/>
      </left>
      <right style="thin">
        <color theme="9"/>
      </right>
      <top style="thin">
        <color theme="9"/>
      </top>
      <bottom style="thin">
        <color theme="9"/>
      </bottom>
      <diagonal/>
    </border>
    <border>
      <left style="thin">
        <color theme="9"/>
      </left>
      <right/>
      <top/>
      <bottom/>
      <diagonal/>
    </border>
    <border>
      <left style="thin">
        <color theme="9" tint="0.39997558519241921"/>
      </left>
      <right style="thin">
        <color theme="9"/>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
      <left/>
      <right/>
      <top style="thin">
        <color theme="9" tint="0.39997558519241921"/>
      </top>
      <bottom/>
      <diagonal/>
    </border>
  </borders>
  <cellStyleXfs count="3">
    <xf numFmtId="0" fontId="0" fillId="0" borderId="0"/>
    <xf numFmtId="0" fontId="2" fillId="8" borderId="0" applyNumberFormat="0" applyBorder="0" applyAlignment="0" applyProtection="0"/>
    <xf numFmtId="0" fontId="6" fillId="0" borderId="0" applyNumberFormat="0" applyFill="0" applyBorder="0" applyAlignment="0" applyProtection="0"/>
  </cellStyleXfs>
  <cellXfs count="82">
    <xf numFmtId="0" fontId="0" fillId="0" borderId="0" xfId="0"/>
    <xf numFmtId="0" fontId="0" fillId="3" borderId="2" xfId="0" applyFill="1" applyBorder="1"/>
    <xf numFmtId="0" fontId="0" fillId="0" borderId="2" xfId="0" applyBorder="1"/>
    <xf numFmtId="0" fontId="0" fillId="0" borderId="1" xfId="0" applyBorder="1"/>
    <xf numFmtId="0" fontId="0" fillId="3" borderId="4" xfId="0" applyFill="1" applyBorder="1"/>
    <xf numFmtId="14" fontId="0" fillId="3" borderId="4" xfId="0" applyNumberFormat="1" applyFill="1" applyBorder="1"/>
    <xf numFmtId="0" fontId="0" fillId="0" borderId="4" xfId="0" applyBorder="1"/>
    <xf numFmtId="14" fontId="0" fillId="0" borderId="4" xfId="0" applyNumberFormat="1" applyBorder="1"/>
    <xf numFmtId="164" fontId="0" fillId="0" borderId="5" xfId="0" applyNumberFormat="1" applyBorder="1"/>
    <xf numFmtId="164" fontId="0" fillId="3" borderId="5" xfId="0" applyNumberFormat="1" applyFill="1" applyBorder="1"/>
    <xf numFmtId="0" fontId="0" fillId="0" borderId="6" xfId="0" applyBorder="1"/>
    <xf numFmtId="14" fontId="0" fillId="0" borderId="6" xfId="0" applyNumberFormat="1" applyBorder="1"/>
    <xf numFmtId="164" fontId="0" fillId="0" borderId="7" xfId="0" applyNumberFormat="1" applyBorder="1"/>
    <xf numFmtId="0" fontId="0" fillId="3" borderId="3" xfId="0" applyFill="1" applyBorder="1"/>
    <xf numFmtId="0" fontId="0" fillId="3" borderId="8" xfId="0" applyFill="1" applyBorder="1"/>
    <xf numFmtId="14" fontId="0" fillId="3" borderId="8" xfId="0" applyNumberFormat="1" applyFill="1" applyBorder="1"/>
    <xf numFmtId="164" fontId="0" fillId="3" borderId="9" xfId="0" applyNumberFormat="1" applyFill="1" applyBorder="1"/>
    <xf numFmtId="0" fontId="0" fillId="0" borderId="3" xfId="0" applyBorder="1"/>
    <xf numFmtId="0" fontId="0" fillId="0" borderId="8" xfId="0" applyBorder="1"/>
    <xf numFmtId="14" fontId="0" fillId="0" borderId="8" xfId="0" applyNumberFormat="1" applyBorder="1"/>
    <xf numFmtId="164" fontId="0" fillId="0" borderId="9" xfId="0" applyNumberFormat="1" applyBorder="1"/>
    <xf numFmtId="0" fontId="1" fillId="2" borderId="10" xfId="0" applyFont="1" applyFill="1" applyBorder="1" applyAlignment="1">
      <alignment horizontal="left"/>
    </xf>
    <xf numFmtId="0" fontId="0" fillId="4" borderId="10" xfId="0" applyFill="1" applyBorder="1" applyAlignment="1">
      <alignment horizontal="left"/>
    </xf>
    <xf numFmtId="14" fontId="0" fillId="4" borderId="10" xfId="0" applyNumberFormat="1" applyFill="1" applyBorder="1" applyAlignment="1">
      <alignment horizontal="left"/>
    </xf>
    <xf numFmtId="0" fontId="0" fillId="5" borderId="10" xfId="0" applyFill="1" applyBorder="1" applyAlignment="1">
      <alignment horizontal="left"/>
    </xf>
    <xf numFmtId="14" fontId="0" fillId="5" borderId="10" xfId="0" applyNumberFormat="1" applyFill="1" applyBorder="1" applyAlignment="1">
      <alignment horizontal="left"/>
    </xf>
    <xf numFmtId="1" fontId="0" fillId="0" borderId="0" xfId="0" applyNumberFormat="1"/>
    <xf numFmtId="0" fontId="0" fillId="6" borderId="10" xfId="0" applyFill="1" applyBorder="1"/>
    <xf numFmtId="0" fontId="0" fillId="0" borderId="10" xfId="0" applyBorder="1" applyAlignment="1">
      <alignment horizontal="left"/>
    </xf>
    <xf numFmtId="0" fontId="0" fillId="0" borderId="10" xfId="0" applyBorder="1"/>
    <xf numFmtId="0" fontId="0" fillId="0" borderId="10" xfId="0" applyBorder="1" applyAlignment="1">
      <alignment horizontal="left" indent="1"/>
    </xf>
    <xf numFmtId="0" fontId="0" fillId="7" borderId="10" xfId="0" applyFill="1" applyBorder="1" applyAlignment="1">
      <alignment horizontal="left"/>
    </xf>
    <xf numFmtId="0" fontId="0" fillId="7" borderId="10" xfId="0" applyFill="1" applyBorder="1"/>
    <xf numFmtId="0" fontId="0" fillId="0" borderId="10" xfId="0" pivotButton="1" applyBorder="1"/>
    <xf numFmtId="0" fontId="0" fillId="0" borderId="12" xfId="0" applyBorder="1"/>
    <xf numFmtId="0" fontId="0" fillId="12" borderId="10" xfId="0" applyFill="1" applyBorder="1"/>
    <xf numFmtId="0" fontId="0" fillId="0" borderId="14" xfId="0" applyBorder="1"/>
    <xf numFmtId="0" fontId="0" fillId="11" borderId="15" xfId="0" applyFill="1" applyBorder="1"/>
    <xf numFmtId="0" fontId="0" fillId="11" borderId="13" xfId="0" applyFill="1" applyBorder="1"/>
    <xf numFmtId="0" fontId="0" fillId="0" borderId="16" xfId="0" applyBorder="1"/>
    <xf numFmtId="0" fontId="2" fillId="8" borderId="13" xfId="1" applyBorder="1"/>
    <xf numFmtId="14" fontId="0" fillId="0" borderId="10" xfId="0" applyNumberFormat="1" applyBorder="1"/>
    <xf numFmtId="14" fontId="0" fillId="0" borderId="12" xfId="0" applyNumberFormat="1" applyBorder="1"/>
    <xf numFmtId="14" fontId="0" fillId="0" borderId="0" xfId="0" applyNumberFormat="1"/>
    <xf numFmtId="10" fontId="0" fillId="0" borderId="0" xfId="0" applyNumberFormat="1"/>
    <xf numFmtId="10" fontId="0" fillId="0" borderId="10" xfId="0" applyNumberFormat="1" applyBorder="1"/>
    <xf numFmtId="1" fontId="0" fillId="0" borderId="10" xfId="0" applyNumberFormat="1" applyBorder="1"/>
    <xf numFmtId="10" fontId="0" fillId="4" borderId="10" xfId="0" applyNumberFormat="1" applyFill="1" applyBorder="1" applyAlignment="1">
      <alignment horizontal="left"/>
    </xf>
    <xf numFmtId="10" fontId="0" fillId="5" borderId="10" xfId="0" applyNumberFormat="1" applyFill="1" applyBorder="1" applyAlignment="1">
      <alignment horizontal="left"/>
    </xf>
    <xf numFmtId="165" fontId="0" fillId="0" borderId="10" xfId="0" applyNumberFormat="1" applyBorder="1"/>
    <xf numFmtId="0" fontId="0" fillId="0" borderId="13" xfId="0" pivotButton="1" applyBorder="1"/>
    <xf numFmtId="0" fontId="0" fillId="0" borderId="13" xfId="0" applyBorder="1"/>
    <xf numFmtId="0" fontId="0" fillId="6" borderId="10" xfId="0" pivotButton="1" applyFill="1" applyBorder="1"/>
    <xf numFmtId="2" fontId="0" fillId="0" borderId="10" xfId="0" applyNumberFormat="1" applyBorder="1"/>
    <xf numFmtId="0" fontId="1" fillId="11" borderId="10" xfId="0" applyFont="1" applyFill="1" applyBorder="1"/>
    <xf numFmtId="165" fontId="0" fillId="0" borderId="12" xfId="0" applyNumberFormat="1" applyBorder="1"/>
    <xf numFmtId="0" fontId="0" fillId="11" borderId="10" xfId="0" applyFill="1" applyBorder="1"/>
    <xf numFmtId="0" fontId="0" fillId="14" borderId="10" xfId="0" applyFill="1" applyBorder="1" applyAlignment="1">
      <alignment horizontal="left"/>
    </xf>
    <xf numFmtId="0" fontId="0" fillId="7" borderId="10" xfId="0" applyFill="1" applyBorder="1" applyAlignment="1">
      <alignment horizontal="center"/>
    </xf>
    <xf numFmtId="0" fontId="0" fillId="3" borderId="18" xfId="0" applyFill="1" applyBorder="1"/>
    <xf numFmtId="14" fontId="0" fillId="3" borderId="18" xfId="0" applyNumberFormat="1" applyFill="1" applyBorder="1"/>
    <xf numFmtId="10" fontId="0" fillId="3" borderId="18" xfId="0" applyNumberFormat="1" applyFill="1" applyBorder="1"/>
    <xf numFmtId="0" fontId="0" fillId="0" borderId="18" xfId="0" applyBorder="1"/>
    <xf numFmtId="14" fontId="0" fillId="0" borderId="18" xfId="0" applyNumberFormat="1" applyBorder="1"/>
    <xf numFmtId="10" fontId="0" fillId="0" borderId="18" xfId="0" applyNumberFormat="1" applyBorder="1"/>
    <xf numFmtId="2" fontId="0" fillId="3" borderId="18" xfId="0" applyNumberFormat="1" applyFill="1" applyBorder="1"/>
    <xf numFmtId="2" fontId="0" fillId="0" borderId="18" xfId="0" applyNumberFormat="1" applyBorder="1"/>
    <xf numFmtId="0" fontId="1" fillId="2" borderId="0" xfId="0" applyFont="1" applyFill="1"/>
    <xf numFmtId="0" fontId="3" fillId="6" borderId="0" xfId="0" applyFont="1" applyFill="1" applyAlignment="1">
      <alignment horizontal="center" vertical="center"/>
    </xf>
    <xf numFmtId="0" fontId="4" fillId="9" borderId="10" xfId="0" applyFont="1" applyFill="1" applyBorder="1" applyAlignment="1">
      <alignment horizontal="center" vertical="center"/>
    </xf>
    <xf numFmtId="0" fontId="0" fillId="10" borderId="10" xfId="0" applyFill="1" applyBorder="1" applyAlignment="1">
      <alignment horizontal="center" vertical="center"/>
    </xf>
    <xf numFmtId="0" fontId="3" fillId="12" borderId="10" xfId="0" applyFont="1" applyFill="1" applyBorder="1" applyAlignment="1">
      <alignment horizontal="center" vertical="center"/>
    </xf>
    <xf numFmtId="0" fontId="0" fillId="7" borderId="11" xfId="0" applyFill="1" applyBorder="1" applyAlignment="1">
      <alignment horizontal="center"/>
    </xf>
    <xf numFmtId="0" fontId="0" fillId="7" borderId="14" xfId="0" applyFill="1" applyBorder="1" applyAlignment="1">
      <alignment horizontal="center"/>
    </xf>
    <xf numFmtId="0" fontId="0" fillId="7" borderId="10" xfId="0" applyFill="1" applyBorder="1" applyAlignment="1">
      <alignment horizontal="center"/>
    </xf>
    <xf numFmtId="0" fontId="3" fillId="13" borderId="10" xfId="0" applyFont="1" applyFill="1" applyBorder="1" applyAlignment="1">
      <alignment horizontal="center"/>
    </xf>
    <xf numFmtId="0" fontId="3" fillId="7" borderId="10" xfId="0" applyFont="1" applyFill="1" applyBorder="1" applyAlignment="1">
      <alignment horizontal="center"/>
    </xf>
    <xf numFmtId="0" fontId="0" fillId="15" borderId="10" xfId="0" applyFill="1" applyBorder="1" applyAlignment="1">
      <alignment horizontal="center"/>
    </xf>
    <xf numFmtId="0" fontId="0" fillId="15" borderId="10" xfId="0" applyFill="1" applyBorder="1" applyAlignment="1">
      <alignment horizontal="left" vertical="center"/>
    </xf>
    <xf numFmtId="0" fontId="0" fillId="7" borderId="17" xfId="0" applyFill="1" applyBorder="1" applyAlignment="1">
      <alignment horizontal="center"/>
    </xf>
    <xf numFmtId="0" fontId="0" fillId="7" borderId="15" xfId="0" applyFill="1" applyBorder="1" applyAlignment="1">
      <alignment horizontal="center"/>
    </xf>
    <xf numFmtId="0" fontId="6" fillId="0" borderId="0" xfId="2" applyAlignment="1">
      <alignment horizontal="center"/>
    </xf>
  </cellXfs>
  <cellStyles count="3">
    <cellStyle name="60% - Accent5" xfId="1" builtinId="48"/>
    <cellStyle name="Hyperlink" xfId="2" builtinId="8"/>
    <cellStyle name="Normal" xfId="0" builtinId="0"/>
  </cellStyles>
  <dxfs count="15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59999389629810485"/>
        </patternFill>
      </fill>
    </dxf>
    <dxf>
      <fill>
        <patternFill patternType="solid">
          <bgColor theme="9" tint="0.59999389629810485"/>
        </patternFill>
      </fill>
    </dxf>
    <dxf>
      <numFmt numFmtId="14" formatCode="0.00%"/>
    </dxf>
    <dxf>
      <numFmt numFmtId="0" formatCode="General"/>
    </dxf>
    <dxf>
      <numFmt numFmtId="19" formatCode="dd/mm/yyyy"/>
    </dxf>
    <dxf>
      <numFmt numFmtId="0" formatCode="General"/>
    </dxf>
    <dxf>
      <numFmt numFmtId="1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numFmt numFmtId="165" formatCode="&quot;₹&quot;\ #,##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9" formatCode="dd/mm/yyyy"/>
      <border diagonalUp="0" diagonalDown="0" outline="0">
        <left style="thin">
          <color indexed="64"/>
        </left>
        <right style="thin">
          <color indexed="64"/>
        </right>
        <top style="thin">
          <color indexed="64"/>
        </top>
        <bottom style="thin">
          <color indexed="64"/>
        </bottom>
      </border>
    </dxf>
    <dxf>
      <numFmt numFmtId="19" formatCode="dd/mm/yyyy"/>
      <border diagonalUp="0" diagonalDown="0" outline="0">
        <left style="thin">
          <color indexed="64"/>
        </left>
        <right style="thin">
          <color indexed="64"/>
        </right>
        <top style="thin">
          <color indexed="64"/>
        </top>
        <bottom style="thin">
          <color indexed="64"/>
        </bottom>
      </border>
    </dxf>
    <dxf>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9" tint="0.3999755851924192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2" formatCode="0.0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14" formatCode="0.00%"/>
    </dxf>
    <dxf>
      <numFmt numFmtId="14" formatCode="0.00%"/>
    </dxf>
    <dxf>
      <numFmt numFmtId="19" formatCode="dd/mm/yyyy"/>
    </dxf>
    <dxf>
      <border outline="0">
        <top style="thin">
          <color indexed="64"/>
        </top>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colors>
    <mruColors>
      <color rgb="FFD632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9"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project.xlsx]Platform 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Platform with highest engagement</a:t>
            </a:r>
          </a:p>
        </c:rich>
      </c:tx>
      <c:layout>
        <c:manualLayout>
          <c:xMode val="edge"/>
          <c:yMode val="edge"/>
          <c:x val="0.21494022520451897"/>
          <c:y val="4.61538461538461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pivotFmt>
      <c:pivotFmt>
        <c:idx val="2"/>
        <c:spPr>
          <a:solidFill>
            <a:srgbClr val="C00000"/>
          </a:solidFill>
          <a:ln>
            <a:noFill/>
          </a:ln>
          <a:effectLst/>
        </c:spPr>
      </c:pivotFmt>
      <c:pivotFmt>
        <c:idx val="3"/>
        <c:spPr>
          <a:gradFill>
            <a:gsLst>
              <a:gs pos="0">
                <a:srgbClr val="D632BF"/>
              </a:gs>
              <a:gs pos="74000">
                <a:srgbClr val="FFC000"/>
              </a:gs>
              <a:gs pos="83000">
                <a:srgbClr val="FFC000"/>
              </a:gs>
              <a:gs pos="100000">
                <a:srgbClr val="FFFF00"/>
              </a:gs>
            </a:gsLst>
            <a:lin ang="5400000" scaled="1"/>
          </a:gradFill>
          <a:ln>
            <a:noFill/>
          </a:ln>
          <a:effectLst/>
        </c:spPr>
      </c:pivotFmt>
    </c:pivotFmts>
    <c:plotArea>
      <c:layout/>
      <c:barChart>
        <c:barDir val="col"/>
        <c:grouping val="clustered"/>
        <c:varyColors val="0"/>
        <c:ser>
          <c:idx val="0"/>
          <c:order val="0"/>
          <c:tx>
            <c:strRef>
              <c:f>'Platform Analysis'!$B$2</c:f>
              <c:strCache>
                <c:ptCount val="1"/>
                <c:pt idx="0">
                  <c:v>Total</c:v>
                </c:pt>
              </c:strCache>
            </c:strRef>
          </c:tx>
          <c:spPr>
            <a:solidFill>
              <a:schemeClr val="accent1"/>
            </a:solidFill>
            <a:ln>
              <a:noFill/>
            </a:ln>
            <a:effectLst/>
          </c:spPr>
          <c:invertIfNegative val="0"/>
          <c:dPt>
            <c:idx val="1"/>
            <c:invertIfNegative val="0"/>
            <c:bubble3D val="0"/>
            <c:spPr>
              <a:solidFill>
                <a:srgbClr val="00B0F0"/>
              </a:solidFill>
              <a:ln>
                <a:noFill/>
              </a:ln>
              <a:effectLst/>
            </c:spPr>
            <c:extLst>
              <c:ext xmlns:c16="http://schemas.microsoft.com/office/drawing/2014/chart" uri="{C3380CC4-5D6E-409C-BE32-E72D297353CC}">
                <c16:uniqueId val="{00000002-3522-4E22-87EA-AB42CEAD0B88}"/>
              </c:ext>
            </c:extLst>
          </c:dPt>
          <c:dPt>
            <c:idx val="2"/>
            <c:invertIfNegative val="0"/>
            <c:bubble3D val="0"/>
            <c:spPr>
              <a:solidFill>
                <a:srgbClr val="C00000"/>
              </a:solidFill>
              <a:ln>
                <a:noFill/>
              </a:ln>
              <a:effectLst/>
            </c:spPr>
            <c:extLst>
              <c:ext xmlns:c16="http://schemas.microsoft.com/office/drawing/2014/chart" uri="{C3380CC4-5D6E-409C-BE32-E72D297353CC}">
                <c16:uniqueId val="{00000003-3522-4E22-87EA-AB42CEAD0B88}"/>
              </c:ext>
            </c:extLst>
          </c:dPt>
          <c:dPt>
            <c:idx val="3"/>
            <c:invertIfNegative val="0"/>
            <c:bubble3D val="0"/>
            <c:spPr>
              <a:gradFill>
                <a:gsLst>
                  <a:gs pos="0">
                    <a:srgbClr val="D632BF"/>
                  </a:gs>
                  <a:gs pos="74000">
                    <a:srgbClr val="FFC000"/>
                  </a:gs>
                  <a:gs pos="83000">
                    <a:srgbClr val="FFC000"/>
                  </a:gs>
                  <a:gs pos="100000">
                    <a:srgbClr val="FFFF00"/>
                  </a:gs>
                </a:gsLst>
                <a:lin ang="5400000" scaled="1"/>
              </a:gradFill>
              <a:ln>
                <a:noFill/>
              </a:ln>
              <a:effectLst/>
            </c:spPr>
            <c:extLst>
              <c:ext xmlns:c16="http://schemas.microsoft.com/office/drawing/2014/chart" uri="{C3380CC4-5D6E-409C-BE32-E72D297353CC}">
                <c16:uniqueId val="{00000004-3522-4E22-87EA-AB42CEAD0B88}"/>
              </c:ext>
            </c:extLst>
          </c:dPt>
          <c:cat>
            <c:strRef>
              <c:f>'Platform Analysis'!$A$3:$A$6</c:f>
              <c:strCache>
                <c:ptCount val="4"/>
                <c:pt idx="0">
                  <c:v>LinkedIn</c:v>
                </c:pt>
                <c:pt idx="1">
                  <c:v>Twitter</c:v>
                </c:pt>
                <c:pt idx="2">
                  <c:v>YouTube</c:v>
                </c:pt>
                <c:pt idx="3">
                  <c:v>Instagram</c:v>
                </c:pt>
              </c:strCache>
            </c:strRef>
          </c:cat>
          <c:val>
            <c:numRef>
              <c:f>'Platform Analysis'!$B$3:$B$6</c:f>
              <c:numCache>
                <c:formatCode>General</c:formatCode>
                <c:ptCount val="4"/>
                <c:pt idx="0">
                  <c:v>1255026</c:v>
                </c:pt>
                <c:pt idx="1">
                  <c:v>1136557</c:v>
                </c:pt>
                <c:pt idx="2">
                  <c:v>1058347</c:v>
                </c:pt>
                <c:pt idx="3">
                  <c:v>1051187</c:v>
                </c:pt>
              </c:numCache>
            </c:numRef>
          </c:val>
          <c:extLst>
            <c:ext xmlns:c16="http://schemas.microsoft.com/office/drawing/2014/chart" uri="{C3380CC4-5D6E-409C-BE32-E72D297353CC}">
              <c16:uniqueId val="{00000000-3522-4E22-87EA-AB42CEAD0B88}"/>
            </c:ext>
          </c:extLst>
        </c:ser>
        <c:dLbls>
          <c:showLegendKey val="0"/>
          <c:showVal val="0"/>
          <c:showCatName val="0"/>
          <c:showSerName val="0"/>
          <c:showPercent val="0"/>
          <c:showBubbleSize val="0"/>
        </c:dLbls>
        <c:gapWidth val="219"/>
        <c:overlap val="-27"/>
        <c:axId val="1065264352"/>
        <c:axId val="1065263272"/>
      </c:barChart>
      <c:catAx>
        <c:axId val="106526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1400" b="0" i="0" u="none" strike="noStrike" kern="1200" baseline="0">
                <a:solidFill>
                  <a:schemeClr val="tx1"/>
                </a:solidFill>
                <a:latin typeface="+mn-lt"/>
                <a:ea typeface="+mn-ea"/>
                <a:cs typeface="+mn-cs"/>
              </a:defRPr>
            </a:pPr>
            <a:endParaRPr lang="en-US"/>
          </a:p>
        </c:txPr>
        <c:crossAx val="1065263272"/>
        <c:crosses val="autoZero"/>
        <c:auto val="1"/>
        <c:lblAlgn val="ctr"/>
        <c:lblOffset val="100"/>
        <c:noMultiLvlLbl val="0"/>
      </c:catAx>
      <c:valAx>
        <c:axId val="1065263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Engagement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26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Follower growth rates across platforms.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D632BF"/>
              </a:gs>
              <a:gs pos="74000">
                <a:srgbClr val="FFC000"/>
              </a:gs>
              <a:gs pos="83000">
                <a:srgbClr val="FFC000"/>
              </a:gs>
              <a:gs pos="100000">
                <a:srgbClr val="FFFF00"/>
              </a:gs>
            </a:gsLst>
            <a:lin ang="5400000" scaled="1"/>
          </a:gradFill>
          <a:ln>
            <a:noFill/>
          </a:ln>
          <a:effectLst/>
        </c:spPr>
      </c:pivotFmt>
      <c:pivotFmt>
        <c:idx val="2"/>
        <c:spPr>
          <a:solidFill>
            <a:srgbClr val="00B0F0"/>
          </a:solidFill>
          <a:ln>
            <a:noFill/>
          </a:ln>
          <a:effectLst/>
        </c:spPr>
      </c:pivotFmt>
      <c:pivotFmt>
        <c:idx val="3"/>
        <c:spPr>
          <a:solidFill>
            <a:srgbClr val="C00000"/>
          </a:solidFill>
          <a:ln>
            <a:noFill/>
          </a:ln>
          <a:effectLst/>
        </c:spPr>
      </c:pivotFmt>
      <c:pivotFmt>
        <c:idx val="4"/>
        <c:spPr>
          <a:solidFill>
            <a:srgbClr val="0070C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D632BF"/>
              </a:gs>
              <a:gs pos="74000">
                <a:srgbClr val="FFC000"/>
              </a:gs>
              <a:gs pos="83000">
                <a:srgbClr val="FFC000"/>
              </a:gs>
              <a:gs pos="100000">
                <a:srgbClr val="FFFF00"/>
              </a:gs>
            </a:gsLst>
            <a:lin ang="5400000" scaled="1"/>
          </a:gradFill>
          <a:ln>
            <a:noFill/>
          </a:ln>
          <a:effectLst/>
        </c:spPr>
      </c:pivotFmt>
      <c:pivotFmt>
        <c:idx val="7"/>
        <c:spPr>
          <a:solidFill>
            <a:srgbClr val="00B0F0"/>
          </a:solidFill>
          <a:ln>
            <a:noFill/>
          </a:ln>
          <a:effectLst/>
        </c:spPr>
      </c:pivotFmt>
      <c:pivotFmt>
        <c:idx val="8"/>
        <c:spPr>
          <a:solidFill>
            <a:srgbClr val="0070C0"/>
          </a:solidFill>
          <a:ln>
            <a:noFill/>
          </a:ln>
          <a:effectLst/>
        </c:spPr>
      </c:pivotFmt>
      <c:pivotFmt>
        <c:idx val="9"/>
        <c:spPr>
          <a:solidFill>
            <a:srgbClr val="C0000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rgbClr val="D632BF"/>
              </a:gs>
              <a:gs pos="74000">
                <a:srgbClr val="FFC000"/>
              </a:gs>
              <a:gs pos="83000">
                <a:srgbClr val="FFC000"/>
              </a:gs>
              <a:gs pos="100000">
                <a:srgbClr val="FFFF00"/>
              </a:gs>
            </a:gsLst>
            <a:lin ang="5400000" scaled="1"/>
          </a:gradFill>
          <a:ln>
            <a:noFill/>
          </a:ln>
          <a:effectLst/>
        </c:spPr>
      </c:pivotFmt>
      <c:pivotFmt>
        <c:idx val="12"/>
        <c:spPr>
          <a:solidFill>
            <a:srgbClr val="00B0F0"/>
          </a:solidFill>
          <a:ln>
            <a:noFill/>
          </a:ln>
          <a:effectLst/>
        </c:spPr>
      </c:pivotFmt>
      <c:pivotFmt>
        <c:idx val="13"/>
        <c:spPr>
          <a:solidFill>
            <a:srgbClr val="0070C0"/>
          </a:solidFill>
          <a:ln>
            <a:noFill/>
          </a:ln>
          <a:effectLst/>
        </c:spPr>
      </c:pivotFmt>
      <c:pivotFmt>
        <c:idx val="14"/>
        <c:spPr>
          <a:solidFill>
            <a:srgbClr val="C00000"/>
          </a:solidFill>
          <a:ln>
            <a:noFill/>
          </a:ln>
          <a:effectLst/>
        </c:spPr>
      </c:pivotFmt>
    </c:pivotFmts>
    <c:plotArea>
      <c:layout/>
      <c:pieChart>
        <c:varyColors val="1"/>
        <c:ser>
          <c:idx val="0"/>
          <c:order val="0"/>
          <c:tx>
            <c:v>Total</c:v>
          </c:tx>
          <c:dPt>
            <c:idx val="0"/>
            <c:bubble3D val="0"/>
            <c:spPr>
              <a:gradFill>
                <a:gsLst>
                  <a:gs pos="0">
                    <a:srgbClr val="D632BF"/>
                  </a:gs>
                  <a:gs pos="74000">
                    <a:srgbClr val="FFC000"/>
                  </a:gs>
                  <a:gs pos="83000">
                    <a:srgbClr val="FFC000"/>
                  </a:gs>
                  <a:gs pos="100000">
                    <a:srgbClr val="FFFF00"/>
                  </a:gs>
                </a:gsLst>
                <a:lin ang="5400000" scaled="1"/>
              </a:gradFill>
              <a:ln>
                <a:noFill/>
              </a:ln>
              <a:effectLst/>
            </c:spPr>
            <c:extLst>
              <c:ext xmlns:c16="http://schemas.microsoft.com/office/drawing/2014/chart" uri="{C3380CC4-5D6E-409C-BE32-E72D297353CC}">
                <c16:uniqueId val="{00000001-007F-494B-A137-20443AD95FD0}"/>
              </c:ext>
            </c:extLst>
          </c:dPt>
          <c:dPt>
            <c:idx val="1"/>
            <c:bubble3D val="0"/>
            <c:spPr>
              <a:solidFill>
                <a:srgbClr val="00B0F0"/>
              </a:solidFill>
              <a:ln>
                <a:noFill/>
              </a:ln>
              <a:effectLst/>
            </c:spPr>
            <c:extLst>
              <c:ext xmlns:c16="http://schemas.microsoft.com/office/drawing/2014/chart" uri="{C3380CC4-5D6E-409C-BE32-E72D297353CC}">
                <c16:uniqueId val="{00000003-007F-494B-A137-20443AD95FD0}"/>
              </c:ext>
            </c:extLst>
          </c:dPt>
          <c:dPt>
            <c:idx val="2"/>
            <c:bubble3D val="0"/>
            <c:spPr>
              <a:solidFill>
                <a:srgbClr val="0070C0"/>
              </a:solidFill>
              <a:ln>
                <a:noFill/>
              </a:ln>
              <a:effectLst/>
            </c:spPr>
            <c:extLst>
              <c:ext xmlns:c16="http://schemas.microsoft.com/office/drawing/2014/chart" uri="{C3380CC4-5D6E-409C-BE32-E72D297353CC}">
                <c16:uniqueId val="{00000005-007F-494B-A137-20443AD95FD0}"/>
              </c:ext>
            </c:extLst>
          </c:dPt>
          <c:dPt>
            <c:idx val="3"/>
            <c:bubble3D val="0"/>
            <c:spPr>
              <a:solidFill>
                <a:srgbClr val="C00000"/>
              </a:solidFill>
              <a:ln>
                <a:noFill/>
              </a:ln>
              <a:effectLst/>
            </c:spPr>
            <c:extLst>
              <c:ext xmlns:c16="http://schemas.microsoft.com/office/drawing/2014/chart" uri="{C3380CC4-5D6E-409C-BE32-E72D297353CC}">
                <c16:uniqueId val="{00000007-007F-494B-A137-20443AD95F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Instagram</c:v>
              </c:pt>
              <c:pt idx="1">
                <c:v>Twitter</c:v>
              </c:pt>
              <c:pt idx="2">
                <c:v>LinkedIn</c:v>
              </c:pt>
              <c:pt idx="3">
                <c:v>YouTube</c:v>
              </c:pt>
            </c:strLit>
          </c:cat>
          <c:val>
            <c:numLit>
              <c:formatCode>General</c:formatCode>
              <c:ptCount val="4"/>
              <c:pt idx="0">
                <c:v>0.2929823270905052</c:v>
              </c:pt>
              <c:pt idx="1">
                <c:v>0.16021217582869862</c:v>
              </c:pt>
              <c:pt idx="2">
                <c:v>0.14051571163913937</c:v>
              </c:pt>
              <c:pt idx="3">
                <c:v>4.4748617581897847E-2</c:v>
              </c:pt>
            </c:numLit>
          </c:val>
          <c:extLst>
            <c:ext xmlns:c16="http://schemas.microsoft.com/office/drawing/2014/chart" uri="{C3380CC4-5D6E-409C-BE32-E72D297353CC}">
              <c16:uniqueId val="{00000008-007F-494B-A137-20443AD95FD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Engagement vs Ad Spend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'Platform Analysis'!$F$21</c:f>
              <c:strCache>
                <c:ptCount val="1"/>
                <c:pt idx="0">
                  <c:v>Ad Spend</c:v>
                </c:pt>
              </c:strCache>
            </c:strRef>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dLbls>
            <c:dLbl>
              <c:idx val="0"/>
              <c:tx>
                <c:rich>
                  <a:bodyPr/>
                  <a:lstStyle/>
                  <a:p>
                    <a:fld id="{1290821C-D54E-4E48-AF4B-534591343193}"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B016-4AEF-A385-343FFE728B62}"/>
                </c:ext>
              </c:extLst>
            </c:dLbl>
            <c:dLbl>
              <c:idx val="1"/>
              <c:tx>
                <c:rich>
                  <a:bodyPr/>
                  <a:lstStyle/>
                  <a:p>
                    <a:fld id="{14E33C1D-2FEA-4D1C-86D2-38E83E25E17C}"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016-4AEF-A385-343FFE728B62}"/>
                </c:ext>
              </c:extLst>
            </c:dLbl>
            <c:dLbl>
              <c:idx val="2"/>
              <c:tx>
                <c:rich>
                  <a:bodyPr/>
                  <a:lstStyle/>
                  <a:p>
                    <a:fld id="{9B9F34C5-12CC-443A-87D7-BE72BC93746C}"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016-4AEF-A385-343FFE728B62}"/>
                </c:ext>
              </c:extLst>
            </c:dLbl>
            <c:dLbl>
              <c:idx val="3"/>
              <c:tx>
                <c:rich>
                  <a:bodyPr/>
                  <a:lstStyle/>
                  <a:p>
                    <a:fld id="{03234D0B-41C5-418F-A415-4A1A5028C54F}"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016-4AEF-A385-343FFE728B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2">
                          <a:lumMod val="35000"/>
                          <a:lumOff val="65000"/>
                        </a:schemeClr>
                      </a:solidFill>
                    </a:ln>
                    <a:effectLst/>
                  </c:spPr>
                </c15:leaderLines>
              </c:ext>
            </c:extLst>
          </c:dLbls>
          <c:xVal>
            <c:numRef>
              <c:f>'Platform Analysis'!$E$22:$E$25</c:f>
              <c:numCache>
                <c:formatCode>General</c:formatCode>
                <c:ptCount val="4"/>
                <c:pt idx="0">
                  <c:v>1058347</c:v>
                </c:pt>
                <c:pt idx="1">
                  <c:v>1136557</c:v>
                </c:pt>
                <c:pt idx="2">
                  <c:v>1255026</c:v>
                </c:pt>
                <c:pt idx="3">
                  <c:v>1051187</c:v>
                </c:pt>
              </c:numCache>
            </c:numRef>
          </c:xVal>
          <c:yVal>
            <c:numRef>
              <c:f>'Platform Analysis'!$F$22:$F$25</c:f>
              <c:numCache>
                <c:formatCode>"₹"\ #,##0</c:formatCode>
                <c:ptCount val="4"/>
                <c:pt idx="0">
                  <c:v>128749</c:v>
                </c:pt>
                <c:pt idx="1">
                  <c:v>349633</c:v>
                </c:pt>
                <c:pt idx="2">
                  <c:v>607249</c:v>
                </c:pt>
                <c:pt idx="3">
                  <c:v>596089</c:v>
                </c:pt>
              </c:numCache>
            </c:numRef>
          </c:yVal>
          <c:smooth val="0"/>
          <c:extLst>
            <c:ext xmlns:c15="http://schemas.microsoft.com/office/drawing/2012/chart" uri="{02D57815-91ED-43cb-92C2-25804820EDAC}">
              <c15:datalabelsRange>
                <c15:f>'Platform Analysis'!$D$22:$D$25</c15:f>
                <c15:dlblRangeCache>
                  <c:ptCount val="4"/>
                  <c:pt idx="0">
                    <c:v>YouTube</c:v>
                  </c:pt>
                  <c:pt idx="1">
                    <c:v>Twitter</c:v>
                  </c:pt>
                  <c:pt idx="2">
                    <c:v>LinkedIn</c:v>
                  </c:pt>
                  <c:pt idx="3">
                    <c:v>Instagram</c:v>
                  </c:pt>
                </c15:dlblRangeCache>
              </c15:datalabelsRange>
            </c:ext>
            <c:ext xmlns:c16="http://schemas.microsoft.com/office/drawing/2014/chart" uri="{C3380CC4-5D6E-409C-BE32-E72D297353CC}">
              <c16:uniqueId val="{00000000-BA51-4F09-9C02-598A29DB7D97}"/>
            </c:ext>
          </c:extLst>
        </c:ser>
        <c:dLbls>
          <c:showLegendKey val="0"/>
          <c:showVal val="0"/>
          <c:showCatName val="0"/>
          <c:showSerName val="0"/>
          <c:showPercent val="0"/>
          <c:showBubbleSize val="0"/>
        </c:dLbls>
        <c:axId val="952880104"/>
        <c:axId val="952880824"/>
      </c:scatterChart>
      <c:valAx>
        <c:axId val="952880104"/>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Engagement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52880824"/>
        <c:crosses val="autoZero"/>
        <c:crossBetween val="midCat"/>
      </c:valAx>
      <c:valAx>
        <c:axId val="95288082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 Ad</a:t>
                </a:r>
                <a:r>
                  <a:rPr lang="en-IN" baseline="0"/>
                  <a:t> spend</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quot;₹&quot;\ #,##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52880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project.xlsx]Follower Retention!PivotTable8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Follower</a:t>
            </a:r>
            <a:r>
              <a:rPr lang="en-IN" baseline="0"/>
              <a:t> Growth Per Platform Throughout week</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'Follower Retention'!$B$2:$B$3</c:f>
              <c:strCache>
                <c:ptCount val="1"/>
                <c:pt idx="0">
                  <c:v>Instagram</c:v>
                </c:pt>
              </c:strCache>
            </c:strRef>
          </c:tx>
          <c:spPr>
            <a:ln w="28575" cap="rnd">
              <a:solidFill>
                <a:schemeClr val="accent1"/>
              </a:solidFill>
              <a:round/>
            </a:ln>
            <a:effectLst/>
          </c:spPr>
          <c:marker>
            <c:symbol val="none"/>
          </c:marker>
          <c:cat>
            <c:multiLvlStrRef>
              <c:f>'Follower Retention'!$A$4:$A$55</c:f>
              <c:multiLvlStrCache>
                <c:ptCount val="50"/>
                <c:lvl>
                  <c:pt idx="0">
                    <c:v>03-Jun</c:v>
                  </c:pt>
                  <c:pt idx="1">
                    <c:v>10-Jun</c:v>
                  </c:pt>
                  <c:pt idx="2">
                    <c:v>17-Jun</c:v>
                  </c:pt>
                  <c:pt idx="3">
                    <c:v>24-Jun</c:v>
                  </c:pt>
                  <c:pt idx="4">
                    <c:v>01-Jul</c:v>
                  </c:pt>
                  <c:pt idx="5">
                    <c:v>08-Jul</c:v>
                  </c:pt>
                  <c:pt idx="6">
                    <c:v>15-Jul</c:v>
                  </c:pt>
                  <c:pt idx="7">
                    <c:v>22-Jul</c:v>
                  </c:pt>
                  <c:pt idx="8">
                    <c:v>29-Jul</c:v>
                  </c:pt>
                  <c:pt idx="9">
                    <c:v>05-Aug</c:v>
                  </c:pt>
                  <c:pt idx="10">
                    <c:v>12-Aug</c:v>
                  </c:pt>
                  <c:pt idx="11">
                    <c:v>19-Aug</c:v>
                  </c:pt>
                  <c:pt idx="12">
                    <c:v>26-Aug</c:v>
                  </c:pt>
                  <c:pt idx="13">
                    <c:v>02-Sep</c:v>
                  </c:pt>
                  <c:pt idx="14">
                    <c:v>09-Sep</c:v>
                  </c:pt>
                  <c:pt idx="15">
                    <c:v>16-Sep</c:v>
                  </c:pt>
                  <c:pt idx="16">
                    <c:v>23-Sep</c:v>
                  </c:pt>
                  <c:pt idx="17">
                    <c:v>30-Sep</c:v>
                  </c:pt>
                  <c:pt idx="18">
                    <c:v>07-Oct</c:v>
                  </c:pt>
                  <c:pt idx="19">
                    <c:v>14-Oct</c:v>
                  </c:pt>
                  <c:pt idx="20">
                    <c:v>21-Oct</c:v>
                  </c:pt>
                  <c:pt idx="21">
                    <c:v>28-Oct</c:v>
                  </c:pt>
                  <c:pt idx="22">
                    <c:v>04-Nov</c:v>
                  </c:pt>
                  <c:pt idx="23">
                    <c:v>11-Nov</c:v>
                  </c:pt>
                  <c:pt idx="24">
                    <c:v>18-Nov</c:v>
                  </c:pt>
                  <c:pt idx="25">
                    <c:v>25-Nov</c:v>
                  </c:pt>
                  <c:pt idx="26">
                    <c:v>02-Dec</c:v>
                  </c:pt>
                  <c:pt idx="27">
                    <c:v>09-Dec</c:v>
                  </c:pt>
                  <c:pt idx="28">
                    <c:v>16-Dec</c:v>
                  </c:pt>
                  <c:pt idx="29">
                    <c:v>23-Dec</c:v>
                  </c:pt>
                  <c:pt idx="30">
                    <c:v>30-Dec</c:v>
                  </c:pt>
                  <c:pt idx="31">
                    <c:v>06-Jan</c:v>
                  </c:pt>
                  <c:pt idx="32">
                    <c:v>13-Jan</c:v>
                  </c:pt>
                  <c:pt idx="33">
                    <c:v>20-Jan</c:v>
                  </c:pt>
                  <c:pt idx="34">
                    <c:v>27-Jan</c:v>
                  </c:pt>
                  <c:pt idx="35">
                    <c:v>03-Feb</c:v>
                  </c:pt>
                  <c:pt idx="36">
                    <c:v>10-Feb</c:v>
                  </c:pt>
                  <c:pt idx="37">
                    <c:v>17-Feb</c:v>
                  </c:pt>
                  <c:pt idx="38">
                    <c:v>24-Feb</c:v>
                  </c:pt>
                  <c:pt idx="39">
                    <c:v>03-Mar</c:v>
                  </c:pt>
                  <c:pt idx="40">
                    <c:v>10-Mar</c:v>
                  </c:pt>
                  <c:pt idx="41">
                    <c:v>17-Mar</c:v>
                  </c:pt>
                  <c:pt idx="42">
                    <c:v>24-Mar</c:v>
                  </c:pt>
                  <c:pt idx="43">
                    <c:v>31-Mar</c:v>
                  </c:pt>
                  <c:pt idx="44">
                    <c:v>07-Apr</c:v>
                  </c:pt>
                  <c:pt idx="45">
                    <c:v>14-Apr</c:v>
                  </c:pt>
                  <c:pt idx="46">
                    <c:v>21-Apr</c:v>
                  </c:pt>
                  <c:pt idx="47">
                    <c:v>28-Apr</c:v>
                  </c:pt>
                  <c:pt idx="48">
                    <c:v>05-May</c:v>
                  </c:pt>
                  <c:pt idx="49">
                    <c:v>12-May</c:v>
                  </c:pt>
                </c:lvl>
                <c:lvl>
                  <c:pt idx="0">
                    <c:v>2024</c:v>
                  </c:pt>
                  <c:pt idx="31">
                    <c:v>2025</c:v>
                  </c:pt>
                </c:lvl>
              </c:multiLvlStrCache>
            </c:multiLvlStrRef>
          </c:cat>
          <c:val>
            <c:numRef>
              <c:f>'Follower Retention'!$B$4:$B$55</c:f>
              <c:numCache>
                <c:formatCode>General</c:formatCode>
                <c:ptCount val="50"/>
                <c:pt idx="0">
                  <c:v>3777</c:v>
                </c:pt>
                <c:pt idx="1">
                  <c:v>7215</c:v>
                </c:pt>
                <c:pt idx="2">
                  <c:v>13130</c:v>
                </c:pt>
                <c:pt idx="3">
                  <c:v>4885</c:v>
                </c:pt>
                <c:pt idx="4">
                  <c:v>5928</c:v>
                </c:pt>
                <c:pt idx="5">
                  <c:v>0</c:v>
                </c:pt>
                <c:pt idx="6">
                  <c:v>4967</c:v>
                </c:pt>
                <c:pt idx="7">
                  <c:v>0</c:v>
                </c:pt>
                <c:pt idx="8">
                  <c:v>0</c:v>
                </c:pt>
                <c:pt idx="9">
                  <c:v>3213</c:v>
                </c:pt>
                <c:pt idx="10">
                  <c:v>6853</c:v>
                </c:pt>
                <c:pt idx="11">
                  <c:v>13835</c:v>
                </c:pt>
                <c:pt idx="12">
                  <c:v>8231</c:v>
                </c:pt>
                <c:pt idx="13">
                  <c:v>7396</c:v>
                </c:pt>
                <c:pt idx="14">
                  <c:v>7442</c:v>
                </c:pt>
                <c:pt idx="15">
                  <c:v>0</c:v>
                </c:pt>
                <c:pt idx="16">
                  <c:v>13040</c:v>
                </c:pt>
                <c:pt idx="17">
                  <c:v>9904</c:v>
                </c:pt>
                <c:pt idx="18">
                  <c:v>4808</c:v>
                </c:pt>
                <c:pt idx="19">
                  <c:v>0</c:v>
                </c:pt>
                <c:pt idx="20">
                  <c:v>23973</c:v>
                </c:pt>
                <c:pt idx="21">
                  <c:v>0</c:v>
                </c:pt>
                <c:pt idx="22">
                  <c:v>0</c:v>
                </c:pt>
                <c:pt idx="23">
                  <c:v>0</c:v>
                </c:pt>
                <c:pt idx="24">
                  <c:v>5206</c:v>
                </c:pt>
                <c:pt idx="25">
                  <c:v>14537</c:v>
                </c:pt>
                <c:pt idx="26">
                  <c:v>8999</c:v>
                </c:pt>
                <c:pt idx="27">
                  <c:v>3461</c:v>
                </c:pt>
                <c:pt idx="28">
                  <c:v>4802</c:v>
                </c:pt>
                <c:pt idx="29">
                  <c:v>4314</c:v>
                </c:pt>
                <c:pt idx="30">
                  <c:v>4214</c:v>
                </c:pt>
                <c:pt idx="31">
                  <c:v>0</c:v>
                </c:pt>
                <c:pt idx="32">
                  <c:v>2919</c:v>
                </c:pt>
                <c:pt idx="33">
                  <c:v>0</c:v>
                </c:pt>
                <c:pt idx="34">
                  <c:v>3643</c:v>
                </c:pt>
                <c:pt idx="35">
                  <c:v>0</c:v>
                </c:pt>
                <c:pt idx="36">
                  <c:v>0</c:v>
                </c:pt>
                <c:pt idx="37">
                  <c:v>11468</c:v>
                </c:pt>
                <c:pt idx="38">
                  <c:v>15087</c:v>
                </c:pt>
                <c:pt idx="39">
                  <c:v>0</c:v>
                </c:pt>
                <c:pt idx="40">
                  <c:v>2994</c:v>
                </c:pt>
                <c:pt idx="41">
                  <c:v>8292</c:v>
                </c:pt>
                <c:pt idx="42">
                  <c:v>0</c:v>
                </c:pt>
                <c:pt idx="43">
                  <c:v>6128</c:v>
                </c:pt>
                <c:pt idx="44">
                  <c:v>1425</c:v>
                </c:pt>
                <c:pt idx="45">
                  <c:v>0</c:v>
                </c:pt>
                <c:pt idx="46">
                  <c:v>15012</c:v>
                </c:pt>
                <c:pt idx="47">
                  <c:v>0</c:v>
                </c:pt>
                <c:pt idx="48">
                  <c:v>7959</c:v>
                </c:pt>
                <c:pt idx="49">
                  <c:v>2805</c:v>
                </c:pt>
              </c:numCache>
            </c:numRef>
          </c:val>
          <c:smooth val="0"/>
          <c:extLst>
            <c:ext xmlns:c16="http://schemas.microsoft.com/office/drawing/2014/chart" uri="{C3380CC4-5D6E-409C-BE32-E72D297353CC}">
              <c16:uniqueId val="{00000000-14DC-42AB-9FD8-0C9EF521E677}"/>
            </c:ext>
          </c:extLst>
        </c:ser>
        <c:ser>
          <c:idx val="1"/>
          <c:order val="1"/>
          <c:tx>
            <c:strRef>
              <c:f>'Follower Retention'!$C$2:$C$3</c:f>
              <c:strCache>
                <c:ptCount val="1"/>
                <c:pt idx="0">
                  <c:v>LinkedIn</c:v>
                </c:pt>
              </c:strCache>
            </c:strRef>
          </c:tx>
          <c:spPr>
            <a:ln w="28575" cap="rnd">
              <a:solidFill>
                <a:schemeClr val="accent2"/>
              </a:solidFill>
              <a:round/>
            </a:ln>
            <a:effectLst/>
          </c:spPr>
          <c:marker>
            <c:symbol val="none"/>
          </c:marker>
          <c:cat>
            <c:multiLvlStrRef>
              <c:f>'Follower Retention'!$A$4:$A$55</c:f>
              <c:multiLvlStrCache>
                <c:ptCount val="50"/>
                <c:lvl>
                  <c:pt idx="0">
                    <c:v>03-Jun</c:v>
                  </c:pt>
                  <c:pt idx="1">
                    <c:v>10-Jun</c:v>
                  </c:pt>
                  <c:pt idx="2">
                    <c:v>17-Jun</c:v>
                  </c:pt>
                  <c:pt idx="3">
                    <c:v>24-Jun</c:v>
                  </c:pt>
                  <c:pt idx="4">
                    <c:v>01-Jul</c:v>
                  </c:pt>
                  <c:pt idx="5">
                    <c:v>08-Jul</c:v>
                  </c:pt>
                  <c:pt idx="6">
                    <c:v>15-Jul</c:v>
                  </c:pt>
                  <c:pt idx="7">
                    <c:v>22-Jul</c:v>
                  </c:pt>
                  <c:pt idx="8">
                    <c:v>29-Jul</c:v>
                  </c:pt>
                  <c:pt idx="9">
                    <c:v>05-Aug</c:v>
                  </c:pt>
                  <c:pt idx="10">
                    <c:v>12-Aug</c:v>
                  </c:pt>
                  <c:pt idx="11">
                    <c:v>19-Aug</c:v>
                  </c:pt>
                  <c:pt idx="12">
                    <c:v>26-Aug</c:v>
                  </c:pt>
                  <c:pt idx="13">
                    <c:v>02-Sep</c:v>
                  </c:pt>
                  <c:pt idx="14">
                    <c:v>09-Sep</c:v>
                  </c:pt>
                  <c:pt idx="15">
                    <c:v>16-Sep</c:v>
                  </c:pt>
                  <c:pt idx="16">
                    <c:v>23-Sep</c:v>
                  </c:pt>
                  <c:pt idx="17">
                    <c:v>30-Sep</c:v>
                  </c:pt>
                  <c:pt idx="18">
                    <c:v>07-Oct</c:v>
                  </c:pt>
                  <c:pt idx="19">
                    <c:v>14-Oct</c:v>
                  </c:pt>
                  <c:pt idx="20">
                    <c:v>21-Oct</c:v>
                  </c:pt>
                  <c:pt idx="21">
                    <c:v>28-Oct</c:v>
                  </c:pt>
                  <c:pt idx="22">
                    <c:v>04-Nov</c:v>
                  </c:pt>
                  <c:pt idx="23">
                    <c:v>11-Nov</c:v>
                  </c:pt>
                  <c:pt idx="24">
                    <c:v>18-Nov</c:v>
                  </c:pt>
                  <c:pt idx="25">
                    <c:v>25-Nov</c:v>
                  </c:pt>
                  <c:pt idx="26">
                    <c:v>02-Dec</c:v>
                  </c:pt>
                  <c:pt idx="27">
                    <c:v>09-Dec</c:v>
                  </c:pt>
                  <c:pt idx="28">
                    <c:v>16-Dec</c:v>
                  </c:pt>
                  <c:pt idx="29">
                    <c:v>23-Dec</c:v>
                  </c:pt>
                  <c:pt idx="30">
                    <c:v>30-Dec</c:v>
                  </c:pt>
                  <c:pt idx="31">
                    <c:v>06-Jan</c:v>
                  </c:pt>
                  <c:pt idx="32">
                    <c:v>13-Jan</c:v>
                  </c:pt>
                  <c:pt idx="33">
                    <c:v>20-Jan</c:v>
                  </c:pt>
                  <c:pt idx="34">
                    <c:v>27-Jan</c:v>
                  </c:pt>
                  <c:pt idx="35">
                    <c:v>03-Feb</c:v>
                  </c:pt>
                  <c:pt idx="36">
                    <c:v>10-Feb</c:v>
                  </c:pt>
                  <c:pt idx="37">
                    <c:v>17-Feb</c:v>
                  </c:pt>
                  <c:pt idx="38">
                    <c:v>24-Feb</c:v>
                  </c:pt>
                  <c:pt idx="39">
                    <c:v>03-Mar</c:v>
                  </c:pt>
                  <c:pt idx="40">
                    <c:v>10-Mar</c:v>
                  </c:pt>
                  <c:pt idx="41">
                    <c:v>17-Mar</c:v>
                  </c:pt>
                  <c:pt idx="42">
                    <c:v>24-Mar</c:v>
                  </c:pt>
                  <c:pt idx="43">
                    <c:v>31-Mar</c:v>
                  </c:pt>
                  <c:pt idx="44">
                    <c:v>07-Apr</c:v>
                  </c:pt>
                  <c:pt idx="45">
                    <c:v>14-Apr</c:v>
                  </c:pt>
                  <c:pt idx="46">
                    <c:v>21-Apr</c:v>
                  </c:pt>
                  <c:pt idx="47">
                    <c:v>28-Apr</c:v>
                  </c:pt>
                  <c:pt idx="48">
                    <c:v>05-May</c:v>
                  </c:pt>
                  <c:pt idx="49">
                    <c:v>12-May</c:v>
                  </c:pt>
                </c:lvl>
                <c:lvl>
                  <c:pt idx="0">
                    <c:v>2024</c:v>
                  </c:pt>
                  <c:pt idx="31">
                    <c:v>2025</c:v>
                  </c:pt>
                </c:lvl>
              </c:multiLvlStrCache>
            </c:multiLvlStrRef>
          </c:cat>
          <c:val>
            <c:numRef>
              <c:f>'Follower Retention'!$C$4:$C$55</c:f>
              <c:numCache>
                <c:formatCode>General</c:formatCode>
                <c:ptCount val="50"/>
                <c:pt idx="0">
                  <c:v>0</c:v>
                </c:pt>
                <c:pt idx="1">
                  <c:v>0</c:v>
                </c:pt>
                <c:pt idx="2">
                  <c:v>6728</c:v>
                </c:pt>
                <c:pt idx="3">
                  <c:v>0</c:v>
                </c:pt>
                <c:pt idx="4">
                  <c:v>5442</c:v>
                </c:pt>
                <c:pt idx="5">
                  <c:v>11378</c:v>
                </c:pt>
                <c:pt idx="6">
                  <c:v>0</c:v>
                </c:pt>
                <c:pt idx="7">
                  <c:v>15403</c:v>
                </c:pt>
                <c:pt idx="8">
                  <c:v>7537</c:v>
                </c:pt>
                <c:pt idx="9">
                  <c:v>4847</c:v>
                </c:pt>
                <c:pt idx="10">
                  <c:v>0</c:v>
                </c:pt>
                <c:pt idx="11">
                  <c:v>0</c:v>
                </c:pt>
                <c:pt idx="12">
                  <c:v>1513</c:v>
                </c:pt>
                <c:pt idx="13">
                  <c:v>8228</c:v>
                </c:pt>
                <c:pt idx="14">
                  <c:v>6121</c:v>
                </c:pt>
                <c:pt idx="15">
                  <c:v>2199</c:v>
                </c:pt>
                <c:pt idx="16">
                  <c:v>0</c:v>
                </c:pt>
                <c:pt idx="17">
                  <c:v>0</c:v>
                </c:pt>
                <c:pt idx="18">
                  <c:v>2421</c:v>
                </c:pt>
                <c:pt idx="19">
                  <c:v>0</c:v>
                </c:pt>
                <c:pt idx="20">
                  <c:v>0</c:v>
                </c:pt>
                <c:pt idx="21">
                  <c:v>14812</c:v>
                </c:pt>
                <c:pt idx="22">
                  <c:v>4942</c:v>
                </c:pt>
                <c:pt idx="23">
                  <c:v>4882</c:v>
                </c:pt>
                <c:pt idx="24">
                  <c:v>9648</c:v>
                </c:pt>
                <c:pt idx="25">
                  <c:v>8945</c:v>
                </c:pt>
                <c:pt idx="26">
                  <c:v>5402</c:v>
                </c:pt>
                <c:pt idx="27">
                  <c:v>949</c:v>
                </c:pt>
                <c:pt idx="28">
                  <c:v>8527</c:v>
                </c:pt>
                <c:pt idx="29">
                  <c:v>7541</c:v>
                </c:pt>
                <c:pt idx="30">
                  <c:v>16577</c:v>
                </c:pt>
                <c:pt idx="31">
                  <c:v>9254</c:v>
                </c:pt>
                <c:pt idx="32">
                  <c:v>7471</c:v>
                </c:pt>
                <c:pt idx="33">
                  <c:v>0</c:v>
                </c:pt>
                <c:pt idx="34">
                  <c:v>7260</c:v>
                </c:pt>
                <c:pt idx="35">
                  <c:v>0</c:v>
                </c:pt>
                <c:pt idx="36">
                  <c:v>12622</c:v>
                </c:pt>
                <c:pt idx="37">
                  <c:v>5101</c:v>
                </c:pt>
                <c:pt idx="38">
                  <c:v>0</c:v>
                </c:pt>
                <c:pt idx="39">
                  <c:v>7432</c:v>
                </c:pt>
                <c:pt idx="40">
                  <c:v>2535</c:v>
                </c:pt>
                <c:pt idx="41">
                  <c:v>19728</c:v>
                </c:pt>
                <c:pt idx="42">
                  <c:v>21227</c:v>
                </c:pt>
                <c:pt idx="43">
                  <c:v>1660</c:v>
                </c:pt>
                <c:pt idx="44">
                  <c:v>4542</c:v>
                </c:pt>
                <c:pt idx="45">
                  <c:v>24995</c:v>
                </c:pt>
                <c:pt idx="46">
                  <c:v>0</c:v>
                </c:pt>
                <c:pt idx="47">
                  <c:v>1512</c:v>
                </c:pt>
                <c:pt idx="48">
                  <c:v>2960</c:v>
                </c:pt>
                <c:pt idx="49">
                  <c:v>8146</c:v>
                </c:pt>
              </c:numCache>
            </c:numRef>
          </c:val>
          <c:smooth val="0"/>
          <c:extLst>
            <c:ext xmlns:c16="http://schemas.microsoft.com/office/drawing/2014/chart" uri="{C3380CC4-5D6E-409C-BE32-E72D297353CC}">
              <c16:uniqueId val="{00000001-14DC-42AB-9FD8-0C9EF521E677}"/>
            </c:ext>
          </c:extLst>
        </c:ser>
        <c:ser>
          <c:idx val="2"/>
          <c:order val="2"/>
          <c:tx>
            <c:strRef>
              <c:f>'Follower Retention'!$D$2:$D$3</c:f>
              <c:strCache>
                <c:ptCount val="1"/>
                <c:pt idx="0">
                  <c:v>Twitter</c:v>
                </c:pt>
              </c:strCache>
            </c:strRef>
          </c:tx>
          <c:spPr>
            <a:ln w="28575" cap="rnd">
              <a:solidFill>
                <a:schemeClr val="accent3"/>
              </a:solidFill>
              <a:round/>
            </a:ln>
            <a:effectLst/>
          </c:spPr>
          <c:marker>
            <c:symbol val="none"/>
          </c:marker>
          <c:cat>
            <c:multiLvlStrRef>
              <c:f>'Follower Retention'!$A$4:$A$55</c:f>
              <c:multiLvlStrCache>
                <c:ptCount val="50"/>
                <c:lvl>
                  <c:pt idx="0">
                    <c:v>03-Jun</c:v>
                  </c:pt>
                  <c:pt idx="1">
                    <c:v>10-Jun</c:v>
                  </c:pt>
                  <c:pt idx="2">
                    <c:v>17-Jun</c:v>
                  </c:pt>
                  <c:pt idx="3">
                    <c:v>24-Jun</c:v>
                  </c:pt>
                  <c:pt idx="4">
                    <c:v>01-Jul</c:v>
                  </c:pt>
                  <c:pt idx="5">
                    <c:v>08-Jul</c:v>
                  </c:pt>
                  <c:pt idx="6">
                    <c:v>15-Jul</c:v>
                  </c:pt>
                  <c:pt idx="7">
                    <c:v>22-Jul</c:v>
                  </c:pt>
                  <c:pt idx="8">
                    <c:v>29-Jul</c:v>
                  </c:pt>
                  <c:pt idx="9">
                    <c:v>05-Aug</c:v>
                  </c:pt>
                  <c:pt idx="10">
                    <c:v>12-Aug</c:v>
                  </c:pt>
                  <c:pt idx="11">
                    <c:v>19-Aug</c:v>
                  </c:pt>
                  <c:pt idx="12">
                    <c:v>26-Aug</c:v>
                  </c:pt>
                  <c:pt idx="13">
                    <c:v>02-Sep</c:v>
                  </c:pt>
                  <c:pt idx="14">
                    <c:v>09-Sep</c:v>
                  </c:pt>
                  <c:pt idx="15">
                    <c:v>16-Sep</c:v>
                  </c:pt>
                  <c:pt idx="16">
                    <c:v>23-Sep</c:v>
                  </c:pt>
                  <c:pt idx="17">
                    <c:v>30-Sep</c:v>
                  </c:pt>
                  <c:pt idx="18">
                    <c:v>07-Oct</c:v>
                  </c:pt>
                  <c:pt idx="19">
                    <c:v>14-Oct</c:v>
                  </c:pt>
                  <c:pt idx="20">
                    <c:v>21-Oct</c:v>
                  </c:pt>
                  <c:pt idx="21">
                    <c:v>28-Oct</c:v>
                  </c:pt>
                  <c:pt idx="22">
                    <c:v>04-Nov</c:v>
                  </c:pt>
                  <c:pt idx="23">
                    <c:v>11-Nov</c:v>
                  </c:pt>
                  <c:pt idx="24">
                    <c:v>18-Nov</c:v>
                  </c:pt>
                  <c:pt idx="25">
                    <c:v>25-Nov</c:v>
                  </c:pt>
                  <c:pt idx="26">
                    <c:v>02-Dec</c:v>
                  </c:pt>
                  <c:pt idx="27">
                    <c:v>09-Dec</c:v>
                  </c:pt>
                  <c:pt idx="28">
                    <c:v>16-Dec</c:v>
                  </c:pt>
                  <c:pt idx="29">
                    <c:v>23-Dec</c:v>
                  </c:pt>
                  <c:pt idx="30">
                    <c:v>30-Dec</c:v>
                  </c:pt>
                  <c:pt idx="31">
                    <c:v>06-Jan</c:v>
                  </c:pt>
                  <c:pt idx="32">
                    <c:v>13-Jan</c:v>
                  </c:pt>
                  <c:pt idx="33">
                    <c:v>20-Jan</c:v>
                  </c:pt>
                  <c:pt idx="34">
                    <c:v>27-Jan</c:v>
                  </c:pt>
                  <c:pt idx="35">
                    <c:v>03-Feb</c:v>
                  </c:pt>
                  <c:pt idx="36">
                    <c:v>10-Feb</c:v>
                  </c:pt>
                  <c:pt idx="37">
                    <c:v>17-Feb</c:v>
                  </c:pt>
                  <c:pt idx="38">
                    <c:v>24-Feb</c:v>
                  </c:pt>
                  <c:pt idx="39">
                    <c:v>03-Mar</c:v>
                  </c:pt>
                  <c:pt idx="40">
                    <c:v>10-Mar</c:v>
                  </c:pt>
                  <c:pt idx="41">
                    <c:v>17-Mar</c:v>
                  </c:pt>
                  <c:pt idx="42">
                    <c:v>24-Mar</c:v>
                  </c:pt>
                  <c:pt idx="43">
                    <c:v>31-Mar</c:v>
                  </c:pt>
                  <c:pt idx="44">
                    <c:v>07-Apr</c:v>
                  </c:pt>
                  <c:pt idx="45">
                    <c:v>14-Apr</c:v>
                  </c:pt>
                  <c:pt idx="46">
                    <c:v>21-Apr</c:v>
                  </c:pt>
                  <c:pt idx="47">
                    <c:v>28-Apr</c:v>
                  </c:pt>
                  <c:pt idx="48">
                    <c:v>05-May</c:v>
                  </c:pt>
                  <c:pt idx="49">
                    <c:v>12-May</c:v>
                  </c:pt>
                </c:lvl>
                <c:lvl>
                  <c:pt idx="0">
                    <c:v>2024</c:v>
                  </c:pt>
                  <c:pt idx="31">
                    <c:v>2025</c:v>
                  </c:pt>
                </c:lvl>
              </c:multiLvlStrCache>
            </c:multiLvlStrRef>
          </c:cat>
          <c:val>
            <c:numRef>
              <c:f>'Follower Retention'!$D$4:$D$55</c:f>
              <c:numCache>
                <c:formatCode>General</c:formatCode>
                <c:ptCount val="50"/>
                <c:pt idx="0">
                  <c:v>7432</c:v>
                </c:pt>
                <c:pt idx="1">
                  <c:v>8369</c:v>
                </c:pt>
                <c:pt idx="2">
                  <c:v>6073</c:v>
                </c:pt>
                <c:pt idx="3">
                  <c:v>15084</c:v>
                </c:pt>
                <c:pt idx="4">
                  <c:v>8463</c:v>
                </c:pt>
                <c:pt idx="5">
                  <c:v>7151</c:v>
                </c:pt>
                <c:pt idx="6">
                  <c:v>7092</c:v>
                </c:pt>
                <c:pt idx="7">
                  <c:v>7733</c:v>
                </c:pt>
                <c:pt idx="8">
                  <c:v>6039</c:v>
                </c:pt>
                <c:pt idx="9">
                  <c:v>3497</c:v>
                </c:pt>
                <c:pt idx="10">
                  <c:v>12800</c:v>
                </c:pt>
                <c:pt idx="11">
                  <c:v>0</c:v>
                </c:pt>
                <c:pt idx="12">
                  <c:v>5753</c:v>
                </c:pt>
                <c:pt idx="13">
                  <c:v>6593</c:v>
                </c:pt>
                <c:pt idx="14">
                  <c:v>0</c:v>
                </c:pt>
                <c:pt idx="15">
                  <c:v>3925</c:v>
                </c:pt>
                <c:pt idx="16">
                  <c:v>4942</c:v>
                </c:pt>
                <c:pt idx="17">
                  <c:v>8530</c:v>
                </c:pt>
                <c:pt idx="18">
                  <c:v>0</c:v>
                </c:pt>
                <c:pt idx="19">
                  <c:v>16256</c:v>
                </c:pt>
                <c:pt idx="20">
                  <c:v>0</c:v>
                </c:pt>
                <c:pt idx="21">
                  <c:v>0</c:v>
                </c:pt>
                <c:pt idx="22">
                  <c:v>8687</c:v>
                </c:pt>
                <c:pt idx="23">
                  <c:v>9649</c:v>
                </c:pt>
                <c:pt idx="24">
                  <c:v>6384</c:v>
                </c:pt>
                <c:pt idx="25">
                  <c:v>0</c:v>
                </c:pt>
                <c:pt idx="26">
                  <c:v>0</c:v>
                </c:pt>
                <c:pt idx="27">
                  <c:v>6642</c:v>
                </c:pt>
                <c:pt idx="28">
                  <c:v>6275</c:v>
                </c:pt>
                <c:pt idx="29">
                  <c:v>0</c:v>
                </c:pt>
                <c:pt idx="30">
                  <c:v>3079</c:v>
                </c:pt>
                <c:pt idx="31">
                  <c:v>9202</c:v>
                </c:pt>
                <c:pt idx="32">
                  <c:v>7346</c:v>
                </c:pt>
                <c:pt idx="33">
                  <c:v>20155</c:v>
                </c:pt>
                <c:pt idx="34">
                  <c:v>11789</c:v>
                </c:pt>
                <c:pt idx="35">
                  <c:v>16086</c:v>
                </c:pt>
                <c:pt idx="36">
                  <c:v>1020</c:v>
                </c:pt>
                <c:pt idx="37">
                  <c:v>1290</c:v>
                </c:pt>
                <c:pt idx="38">
                  <c:v>0</c:v>
                </c:pt>
                <c:pt idx="39">
                  <c:v>6326</c:v>
                </c:pt>
                <c:pt idx="40">
                  <c:v>8723</c:v>
                </c:pt>
                <c:pt idx="41">
                  <c:v>0</c:v>
                </c:pt>
                <c:pt idx="42">
                  <c:v>0</c:v>
                </c:pt>
                <c:pt idx="43">
                  <c:v>6272</c:v>
                </c:pt>
                <c:pt idx="44">
                  <c:v>8319</c:v>
                </c:pt>
                <c:pt idx="45">
                  <c:v>0</c:v>
                </c:pt>
                <c:pt idx="46">
                  <c:v>7058</c:v>
                </c:pt>
                <c:pt idx="47">
                  <c:v>15937</c:v>
                </c:pt>
                <c:pt idx="48">
                  <c:v>0</c:v>
                </c:pt>
                <c:pt idx="49">
                  <c:v>7436</c:v>
                </c:pt>
              </c:numCache>
            </c:numRef>
          </c:val>
          <c:smooth val="0"/>
          <c:extLst>
            <c:ext xmlns:c16="http://schemas.microsoft.com/office/drawing/2014/chart" uri="{C3380CC4-5D6E-409C-BE32-E72D297353CC}">
              <c16:uniqueId val="{00000002-14DC-42AB-9FD8-0C9EF521E677}"/>
            </c:ext>
          </c:extLst>
        </c:ser>
        <c:ser>
          <c:idx val="3"/>
          <c:order val="3"/>
          <c:tx>
            <c:strRef>
              <c:f>'Follower Retention'!$E$2:$E$3</c:f>
              <c:strCache>
                <c:ptCount val="1"/>
                <c:pt idx="0">
                  <c:v>YouTube</c:v>
                </c:pt>
              </c:strCache>
            </c:strRef>
          </c:tx>
          <c:spPr>
            <a:ln w="28575" cap="rnd">
              <a:solidFill>
                <a:schemeClr val="accent4"/>
              </a:solidFill>
              <a:round/>
            </a:ln>
            <a:effectLst/>
          </c:spPr>
          <c:marker>
            <c:symbol val="none"/>
          </c:marker>
          <c:cat>
            <c:multiLvlStrRef>
              <c:f>'Follower Retention'!$A$4:$A$55</c:f>
              <c:multiLvlStrCache>
                <c:ptCount val="50"/>
                <c:lvl>
                  <c:pt idx="0">
                    <c:v>03-Jun</c:v>
                  </c:pt>
                  <c:pt idx="1">
                    <c:v>10-Jun</c:v>
                  </c:pt>
                  <c:pt idx="2">
                    <c:v>17-Jun</c:v>
                  </c:pt>
                  <c:pt idx="3">
                    <c:v>24-Jun</c:v>
                  </c:pt>
                  <c:pt idx="4">
                    <c:v>01-Jul</c:v>
                  </c:pt>
                  <c:pt idx="5">
                    <c:v>08-Jul</c:v>
                  </c:pt>
                  <c:pt idx="6">
                    <c:v>15-Jul</c:v>
                  </c:pt>
                  <c:pt idx="7">
                    <c:v>22-Jul</c:v>
                  </c:pt>
                  <c:pt idx="8">
                    <c:v>29-Jul</c:v>
                  </c:pt>
                  <c:pt idx="9">
                    <c:v>05-Aug</c:v>
                  </c:pt>
                  <c:pt idx="10">
                    <c:v>12-Aug</c:v>
                  </c:pt>
                  <c:pt idx="11">
                    <c:v>19-Aug</c:v>
                  </c:pt>
                  <c:pt idx="12">
                    <c:v>26-Aug</c:v>
                  </c:pt>
                  <c:pt idx="13">
                    <c:v>02-Sep</c:v>
                  </c:pt>
                  <c:pt idx="14">
                    <c:v>09-Sep</c:v>
                  </c:pt>
                  <c:pt idx="15">
                    <c:v>16-Sep</c:v>
                  </c:pt>
                  <c:pt idx="16">
                    <c:v>23-Sep</c:v>
                  </c:pt>
                  <c:pt idx="17">
                    <c:v>30-Sep</c:v>
                  </c:pt>
                  <c:pt idx="18">
                    <c:v>07-Oct</c:v>
                  </c:pt>
                  <c:pt idx="19">
                    <c:v>14-Oct</c:v>
                  </c:pt>
                  <c:pt idx="20">
                    <c:v>21-Oct</c:v>
                  </c:pt>
                  <c:pt idx="21">
                    <c:v>28-Oct</c:v>
                  </c:pt>
                  <c:pt idx="22">
                    <c:v>04-Nov</c:v>
                  </c:pt>
                  <c:pt idx="23">
                    <c:v>11-Nov</c:v>
                  </c:pt>
                  <c:pt idx="24">
                    <c:v>18-Nov</c:v>
                  </c:pt>
                  <c:pt idx="25">
                    <c:v>25-Nov</c:v>
                  </c:pt>
                  <c:pt idx="26">
                    <c:v>02-Dec</c:v>
                  </c:pt>
                  <c:pt idx="27">
                    <c:v>09-Dec</c:v>
                  </c:pt>
                  <c:pt idx="28">
                    <c:v>16-Dec</c:v>
                  </c:pt>
                  <c:pt idx="29">
                    <c:v>23-Dec</c:v>
                  </c:pt>
                  <c:pt idx="30">
                    <c:v>30-Dec</c:v>
                  </c:pt>
                  <c:pt idx="31">
                    <c:v>06-Jan</c:v>
                  </c:pt>
                  <c:pt idx="32">
                    <c:v>13-Jan</c:v>
                  </c:pt>
                  <c:pt idx="33">
                    <c:v>20-Jan</c:v>
                  </c:pt>
                  <c:pt idx="34">
                    <c:v>27-Jan</c:v>
                  </c:pt>
                  <c:pt idx="35">
                    <c:v>03-Feb</c:v>
                  </c:pt>
                  <c:pt idx="36">
                    <c:v>10-Feb</c:v>
                  </c:pt>
                  <c:pt idx="37">
                    <c:v>17-Feb</c:v>
                  </c:pt>
                  <c:pt idx="38">
                    <c:v>24-Feb</c:v>
                  </c:pt>
                  <c:pt idx="39">
                    <c:v>03-Mar</c:v>
                  </c:pt>
                  <c:pt idx="40">
                    <c:v>10-Mar</c:v>
                  </c:pt>
                  <c:pt idx="41">
                    <c:v>17-Mar</c:v>
                  </c:pt>
                  <c:pt idx="42">
                    <c:v>24-Mar</c:v>
                  </c:pt>
                  <c:pt idx="43">
                    <c:v>31-Mar</c:v>
                  </c:pt>
                  <c:pt idx="44">
                    <c:v>07-Apr</c:v>
                  </c:pt>
                  <c:pt idx="45">
                    <c:v>14-Apr</c:v>
                  </c:pt>
                  <c:pt idx="46">
                    <c:v>21-Apr</c:v>
                  </c:pt>
                  <c:pt idx="47">
                    <c:v>28-Apr</c:v>
                  </c:pt>
                  <c:pt idx="48">
                    <c:v>05-May</c:v>
                  </c:pt>
                  <c:pt idx="49">
                    <c:v>12-May</c:v>
                  </c:pt>
                </c:lvl>
                <c:lvl>
                  <c:pt idx="0">
                    <c:v>2024</c:v>
                  </c:pt>
                  <c:pt idx="31">
                    <c:v>2025</c:v>
                  </c:pt>
                </c:lvl>
              </c:multiLvlStrCache>
            </c:multiLvlStrRef>
          </c:cat>
          <c:val>
            <c:numRef>
              <c:f>'Follower Retention'!$E$4:$E$55</c:f>
              <c:numCache>
                <c:formatCode>General</c:formatCode>
                <c:ptCount val="50"/>
                <c:pt idx="0">
                  <c:v>15994</c:v>
                </c:pt>
                <c:pt idx="1">
                  <c:v>7478</c:v>
                </c:pt>
                <c:pt idx="2">
                  <c:v>0</c:v>
                </c:pt>
                <c:pt idx="3">
                  <c:v>8653</c:v>
                </c:pt>
                <c:pt idx="4">
                  <c:v>0</c:v>
                </c:pt>
                <c:pt idx="5">
                  <c:v>0</c:v>
                </c:pt>
                <c:pt idx="6">
                  <c:v>1826</c:v>
                </c:pt>
                <c:pt idx="7">
                  <c:v>9082</c:v>
                </c:pt>
                <c:pt idx="8">
                  <c:v>3445</c:v>
                </c:pt>
                <c:pt idx="9">
                  <c:v>2543</c:v>
                </c:pt>
                <c:pt idx="10">
                  <c:v>7033</c:v>
                </c:pt>
                <c:pt idx="11">
                  <c:v>9427</c:v>
                </c:pt>
                <c:pt idx="12">
                  <c:v>5303</c:v>
                </c:pt>
                <c:pt idx="13">
                  <c:v>0</c:v>
                </c:pt>
                <c:pt idx="14">
                  <c:v>11613</c:v>
                </c:pt>
                <c:pt idx="15">
                  <c:v>9308</c:v>
                </c:pt>
                <c:pt idx="16">
                  <c:v>0</c:v>
                </c:pt>
                <c:pt idx="17">
                  <c:v>0</c:v>
                </c:pt>
                <c:pt idx="18">
                  <c:v>10348</c:v>
                </c:pt>
                <c:pt idx="19">
                  <c:v>7115</c:v>
                </c:pt>
                <c:pt idx="20">
                  <c:v>6918</c:v>
                </c:pt>
                <c:pt idx="21">
                  <c:v>12442</c:v>
                </c:pt>
                <c:pt idx="22">
                  <c:v>3056</c:v>
                </c:pt>
                <c:pt idx="23">
                  <c:v>5220</c:v>
                </c:pt>
                <c:pt idx="24">
                  <c:v>0</c:v>
                </c:pt>
                <c:pt idx="25">
                  <c:v>5143</c:v>
                </c:pt>
                <c:pt idx="26">
                  <c:v>3929</c:v>
                </c:pt>
                <c:pt idx="27">
                  <c:v>4790</c:v>
                </c:pt>
                <c:pt idx="28">
                  <c:v>0</c:v>
                </c:pt>
                <c:pt idx="29">
                  <c:v>7328</c:v>
                </c:pt>
                <c:pt idx="30">
                  <c:v>0</c:v>
                </c:pt>
                <c:pt idx="31">
                  <c:v>8601</c:v>
                </c:pt>
                <c:pt idx="32">
                  <c:v>1001</c:v>
                </c:pt>
                <c:pt idx="33">
                  <c:v>7654</c:v>
                </c:pt>
                <c:pt idx="34">
                  <c:v>0</c:v>
                </c:pt>
                <c:pt idx="35">
                  <c:v>12447</c:v>
                </c:pt>
                <c:pt idx="36">
                  <c:v>0</c:v>
                </c:pt>
                <c:pt idx="37">
                  <c:v>0</c:v>
                </c:pt>
                <c:pt idx="38">
                  <c:v>15359</c:v>
                </c:pt>
                <c:pt idx="39">
                  <c:v>6631</c:v>
                </c:pt>
                <c:pt idx="40">
                  <c:v>3555</c:v>
                </c:pt>
                <c:pt idx="41">
                  <c:v>0</c:v>
                </c:pt>
                <c:pt idx="42">
                  <c:v>4189</c:v>
                </c:pt>
                <c:pt idx="43">
                  <c:v>1567</c:v>
                </c:pt>
                <c:pt idx="44">
                  <c:v>6434</c:v>
                </c:pt>
                <c:pt idx="45">
                  <c:v>0</c:v>
                </c:pt>
                <c:pt idx="46">
                  <c:v>0</c:v>
                </c:pt>
                <c:pt idx="47">
                  <c:v>0</c:v>
                </c:pt>
                <c:pt idx="48">
                  <c:v>5210</c:v>
                </c:pt>
                <c:pt idx="49">
                  <c:v>0</c:v>
                </c:pt>
              </c:numCache>
            </c:numRef>
          </c:val>
          <c:smooth val="0"/>
          <c:extLst>
            <c:ext xmlns:c16="http://schemas.microsoft.com/office/drawing/2014/chart" uri="{C3380CC4-5D6E-409C-BE32-E72D297353CC}">
              <c16:uniqueId val="{00000003-14DC-42AB-9FD8-0C9EF521E677}"/>
            </c:ext>
          </c:extLst>
        </c:ser>
        <c:dLbls>
          <c:showLegendKey val="0"/>
          <c:showVal val="0"/>
          <c:showCatName val="0"/>
          <c:showSerName val="0"/>
          <c:showPercent val="0"/>
          <c:showBubbleSize val="0"/>
        </c:dLbls>
        <c:smooth val="0"/>
        <c:axId val="1201956336"/>
        <c:axId val="1201959576"/>
      </c:lineChart>
      <c:catAx>
        <c:axId val="1201956336"/>
        <c:scaling>
          <c:orientation val="minMax"/>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a:t> </a:t>
                </a:r>
                <a:r>
                  <a:rPr lang="en-IN" sz="1000" b="0" i="0" u="none" strike="noStrike" kern="1200" baseline="0">
                    <a:solidFill>
                      <a:sysClr val="windowText" lastClr="000000">
                        <a:lumMod val="65000"/>
                        <a:lumOff val="35000"/>
                      </a:sysClr>
                    </a:solidFill>
                  </a:rPr>
                  <a:t>Week Start dates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959576"/>
        <c:crosses val="autoZero"/>
        <c:auto val="1"/>
        <c:lblAlgn val="ctr"/>
        <c:lblOffset val="100"/>
        <c:noMultiLvlLbl val="0"/>
      </c:catAx>
      <c:valAx>
        <c:axId val="1201959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ysClr val="windowText" lastClr="000000">
                        <a:lumMod val="65000"/>
                        <a:lumOff val="35000"/>
                      </a:sysClr>
                    </a:solidFill>
                  </a:rPr>
                  <a:t>Follower Growth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95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project.xlsx]Follower Retention!PivotTable8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Moving Average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'Follower Retention'!$B$2:$B$3</c:f>
              <c:strCache>
                <c:ptCount val="1"/>
                <c:pt idx="0">
                  <c:v>Instagram</c:v>
                </c:pt>
              </c:strCache>
            </c:strRef>
          </c:tx>
          <c:spPr>
            <a:ln w="28575" cap="rnd">
              <a:noFill/>
              <a:round/>
            </a:ln>
            <a:effectLst/>
          </c:spPr>
          <c:marker>
            <c:symbol val="none"/>
          </c:marker>
          <c:trendline>
            <c:spPr>
              <a:ln w="19050" cap="rnd">
                <a:solidFill>
                  <a:schemeClr val="accent1"/>
                </a:solidFill>
                <a:prstDash val="solid"/>
              </a:ln>
              <a:effectLst/>
            </c:spPr>
            <c:trendlineType val="movingAvg"/>
            <c:period val="3"/>
            <c:dispRSqr val="0"/>
            <c:dispEq val="0"/>
          </c:trendline>
          <c:cat>
            <c:multiLvlStrRef>
              <c:f>'Follower Retention'!$A$4:$A$55</c:f>
              <c:multiLvlStrCache>
                <c:ptCount val="50"/>
                <c:lvl>
                  <c:pt idx="0">
                    <c:v>03-Jun</c:v>
                  </c:pt>
                  <c:pt idx="1">
                    <c:v>10-Jun</c:v>
                  </c:pt>
                  <c:pt idx="2">
                    <c:v>17-Jun</c:v>
                  </c:pt>
                  <c:pt idx="3">
                    <c:v>24-Jun</c:v>
                  </c:pt>
                  <c:pt idx="4">
                    <c:v>01-Jul</c:v>
                  </c:pt>
                  <c:pt idx="5">
                    <c:v>08-Jul</c:v>
                  </c:pt>
                  <c:pt idx="6">
                    <c:v>15-Jul</c:v>
                  </c:pt>
                  <c:pt idx="7">
                    <c:v>22-Jul</c:v>
                  </c:pt>
                  <c:pt idx="8">
                    <c:v>29-Jul</c:v>
                  </c:pt>
                  <c:pt idx="9">
                    <c:v>05-Aug</c:v>
                  </c:pt>
                  <c:pt idx="10">
                    <c:v>12-Aug</c:v>
                  </c:pt>
                  <c:pt idx="11">
                    <c:v>19-Aug</c:v>
                  </c:pt>
                  <c:pt idx="12">
                    <c:v>26-Aug</c:v>
                  </c:pt>
                  <c:pt idx="13">
                    <c:v>02-Sep</c:v>
                  </c:pt>
                  <c:pt idx="14">
                    <c:v>09-Sep</c:v>
                  </c:pt>
                  <c:pt idx="15">
                    <c:v>16-Sep</c:v>
                  </c:pt>
                  <c:pt idx="16">
                    <c:v>23-Sep</c:v>
                  </c:pt>
                  <c:pt idx="17">
                    <c:v>30-Sep</c:v>
                  </c:pt>
                  <c:pt idx="18">
                    <c:v>07-Oct</c:v>
                  </c:pt>
                  <c:pt idx="19">
                    <c:v>14-Oct</c:v>
                  </c:pt>
                  <c:pt idx="20">
                    <c:v>21-Oct</c:v>
                  </c:pt>
                  <c:pt idx="21">
                    <c:v>28-Oct</c:v>
                  </c:pt>
                  <c:pt idx="22">
                    <c:v>04-Nov</c:v>
                  </c:pt>
                  <c:pt idx="23">
                    <c:v>11-Nov</c:v>
                  </c:pt>
                  <c:pt idx="24">
                    <c:v>18-Nov</c:v>
                  </c:pt>
                  <c:pt idx="25">
                    <c:v>25-Nov</c:v>
                  </c:pt>
                  <c:pt idx="26">
                    <c:v>02-Dec</c:v>
                  </c:pt>
                  <c:pt idx="27">
                    <c:v>09-Dec</c:v>
                  </c:pt>
                  <c:pt idx="28">
                    <c:v>16-Dec</c:v>
                  </c:pt>
                  <c:pt idx="29">
                    <c:v>23-Dec</c:v>
                  </c:pt>
                  <c:pt idx="30">
                    <c:v>30-Dec</c:v>
                  </c:pt>
                  <c:pt idx="31">
                    <c:v>06-Jan</c:v>
                  </c:pt>
                  <c:pt idx="32">
                    <c:v>13-Jan</c:v>
                  </c:pt>
                  <c:pt idx="33">
                    <c:v>20-Jan</c:v>
                  </c:pt>
                  <c:pt idx="34">
                    <c:v>27-Jan</c:v>
                  </c:pt>
                  <c:pt idx="35">
                    <c:v>03-Feb</c:v>
                  </c:pt>
                  <c:pt idx="36">
                    <c:v>10-Feb</c:v>
                  </c:pt>
                  <c:pt idx="37">
                    <c:v>17-Feb</c:v>
                  </c:pt>
                  <c:pt idx="38">
                    <c:v>24-Feb</c:v>
                  </c:pt>
                  <c:pt idx="39">
                    <c:v>03-Mar</c:v>
                  </c:pt>
                  <c:pt idx="40">
                    <c:v>10-Mar</c:v>
                  </c:pt>
                  <c:pt idx="41">
                    <c:v>17-Mar</c:v>
                  </c:pt>
                  <c:pt idx="42">
                    <c:v>24-Mar</c:v>
                  </c:pt>
                  <c:pt idx="43">
                    <c:v>31-Mar</c:v>
                  </c:pt>
                  <c:pt idx="44">
                    <c:v>07-Apr</c:v>
                  </c:pt>
                  <c:pt idx="45">
                    <c:v>14-Apr</c:v>
                  </c:pt>
                  <c:pt idx="46">
                    <c:v>21-Apr</c:v>
                  </c:pt>
                  <c:pt idx="47">
                    <c:v>28-Apr</c:v>
                  </c:pt>
                  <c:pt idx="48">
                    <c:v>05-May</c:v>
                  </c:pt>
                  <c:pt idx="49">
                    <c:v>12-May</c:v>
                  </c:pt>
                </c:lvl>
                <c:lvl>
                  <c:pt idx="0">
                    <c:v>2024</c:v>
                  </c:pt>
                  <c:pt idx="31">
                    <c:v>2025</c:v>
                  </c:pt>
                </c:lvl>
              </c:multiLvlStrCache>
            </c:multiLvlStrRef>
          </c:cat>
          <c:val>
            <c:numRef>
              <c:f>'Follower Retention'!$B$4:$B$55</c:f>
              <c:numCache>
                <c:formatCode>General</c:formatCode>
                <c:ptCount val="50"/>
                <c:pt idx="0">
                  <c:v>3777</c:v>
                </c:pt>
                <c:pt idx="1">
                  <c:v>7215</c:v>
                </c:pt>
                <c:pt idx="2">
                  <c:v>13130</c:v>
                </c:pt>
                <c:pt idx="3">
                  <c:v>4885</c:v>
                </c:pt>
                <c:pt idx="4">
                  <c:v>5928</c:v>
                </c:pt>
                <c:pt idx="5">
                  <c:v>0</c:v>
                </c:pt>
                <c:pt idx="6">
                  <c:v>4967</c:v>
                </c:pt>
                <c:pt idx="7">
                  <c:v>0</c:v>
                </c:pt>
                <c:pt idx="8">
                  <c:v>0</c:v>
                </c:pt>
                <c:pt idx="9">
                  <c:v>3213</c:v>
                </c:pt>
                <c:pt idx="10">
                  <c:v>6853</c:v>
                </c:pt>
                <c:pt idx="11">
                  <c:v>13835</c:v>
                </c:pt>
                <c:pt idx="12">
                  <c:v>8231</c:v>
                </c:pt>
                <c:pt idx="13">
                  <c:v>7396</c:v>
                </c:pt>
                <c:pt idx="14">
                  <c:v>7442</c:v>
                </c:pt>
                <c:pt idx="15">
                  <c:v>0</c:v>
                </c:pt>
                <c:pt idx="16">
                  <c:v>13040</c:v>
                </c:pt>
                <c:pt idx="17">
                  <c:v>9904</c:v>
                </c:pt>
                <c:pt idx="18">
                  <c:v>4808</c:v>
                </c:pt>
                <c:pt idx="19">
                  <c:v>0</c:v>
                </c:pt>
                <c:pt idx="20">
                  <c:v>23973</c:v>
                </c:pt>
                <c:pt idx="21">
                  <c:v>0</c:v>
                </c:pt>
                <c:pt idx="22">
                  <c:v>0</c:v>
                </c:pt>
                <c:pt idx="23">
                  <c:v>0</c:v>
                </c:pt>
                <c:pt idx="24">
                  <c:v>5206</c:v>
                </c:pt>
                <c:pt idx="25">
                  <c:v>14537</c:v>
                </c:pt>
                <c:pt idx="26">
                  <c:v>8999</c:v>
                </c:pt>
                <c:pt idx="27">
                  <c:v>3461</c:v>
                </c:pt>
                <c:pt idx="28">
                  <c:v>4802</c:v>
                </c:pt>
                <c:pt idx="29">
                  <c:v>4314</c:v>
                </c:pt>
                <c:pt idx="30">
                  <c:v>4214</c:v>
                </c:pt>
                <c:pt idx="31">
                  <c:v>0</c:v>
                </c:pt>
                <c:pt idx="32">
                  <c:v>2919</c:v>
                </c:pt>
                <c:pt idx="33">
                  <c:v>0</c:v>
                </c:pt>
                <c:pt idx="34">
                  <c:v>3643</c:v>
                </c:pt>
                <c:pt idx="35">
                  <c:v>0</c:v>
                </c:pt>
                <c:pt idx="36">
                  <c:v>0</c:v>
                </c:pt>
                <c:pt idx="37">
                  <c:v>11468</c:v>
                </c:pt>
                <c:pt idx="38">
                  <c:v>15087</c:v>
                </c:pt>
                <c:pt idx="39">
                  <c:v>0</c:v>
                </c:pt>
                <c:pt idx="40">
                  <c:v>2994</c:v>
                </c:pt>
                <c:pt idx="41">
                  <c:v>8292</c:v>
                </c:pt>
                <c:pt idx="42">
                  <c:v>0</c:v>
                </c:pt>
                <c:pt idx="43">
                  <c:v>6128</c:v>
                </c:pt>
                <c:pt idx="44">
                  <c:v>1425</c:v>
                </c:pt>
                <c:pt idx="45">
                  <c:v>0</c:v>
                </c:pt>
                <c:pt idx="46">
                  <c:v>15012</c:v>
                </c:pt>
                <c:pt idx="47">
                  <c:v>0</c:v>
                </c:pt>
                <c:pt idx="48">
                  <c:v>7959</c:v>
                </c:pt>
                <c:pt idx="49">
                  <c:v>2805</c:v>
                </c:pt>
              </c:numCache>
            </c:numRef>
          </c:val>
          <c:smooth val="0"/>
          <c:extLst>
            <c:ext xmlns:c16="http://schemas.microsoft.com/office/drawing/2014/chart" uri="{C3380CC4-5D6E-409C-BE32-E72D297353CC}">
              <c16:uniqueId val="{00000000-1969-4384-8DFC-B0261D2C1D85}"/>
            </c:ext>
          </c:extLst>
        </c:ser>
        <c:ser>
          <c:idx val="1"/>
          <c:order val="1"/>
          <c:tx>
            <c:strRef>
              <c:f>'Follower Retention'!$C$2:$C$3</c:f>
              <c:strCache>
                <c:ptCount val="1"/>
                <c:pt idx="0">
                  <c:v>LinkedIn</c:v>
                </c:pt>
              </c:strCache>
            </c:strRef>
          </c:tx>
          <c:spPr>
            <a:ln w="28575" cap="rnd">
              <a:noFill/>
              <a:round/>
            </a:ln>
            <a:effectLst/>
          </c:spPr>
          <c:marker>
            <c:symbol val="none"/>
          </c:marker>
          <c:trendline>
            <c:spPr>
              <a:ln w="19050" cap="rnd">
                <a:solidFill>
                  <a:schemeClr val="accent2"/>
                </a:solidFill>
                <a:prstDash val="solid"/>
              </a:ln>
              <a:effectLst/>
            </c:spPr>
            <c:trendlineType val="movingAvg"/>
            <c:period val="3"/>
            <c:dispRSqr val="0"/>
            <c:dispEq val="0"/>
          </c:trendline>
          <c:cat>
            <c:multiLvlStrRef>
              <c:f>'Follower Retention'!$A$4:$A$55</c:f>
              <c:multiLvlStrCache>
                <c:ptCount val="50"/>
                <c:lvl>
                  <c:pt idx="0">
                    <c:v>03-Jun</c:v>
                  </c:pt>
                  <c:pt idx="1">
                    <c:v>10-Jun</c:v>
                  </c:pt>
                  <c:pt idx="2">
                    <c:v>17-Jun</c:v>
                  </c:pt>
                  <c:pt idx="3">
                    <c:v>24-Jun</c:v>
                  </c:pt>
                  <c:pt idx="4">
                    <c:v>01-Jul</c:v>
                  </c:pt>
                  <c:pt idx="5">
                    <c:v>08-Jul</c:v>
                  </c:pt>
                  <c:pt idx="6">
                    <c:v>15-Jul</c:v>
                  </c:pt>
                  <c:pt idx="7">
                    <c:v>22-Jul</c:v>
                  </c:pt>
                  <c:pt idx="8">
                    <c:v>29-Jul</c:v>
                  </c:pt>
                  <c:pt idx="9">
                    <c:v>05-Aug</c:v>
                  </c:pt>
                  <c:pt idx="10">
                    <c:v>12-Aug</c:v>
                  </c:pt>
                  <c:pt idx="11">
                    <c:v>19-Aug</c:v>
                  </c:pt>
                  <c:pt idx="12">
                    <c:v>26-Aug</c:v>
                  </c:pt>
                  <c:pt idx="13">
                    <c:v>02-Sep</c:v>
                  </c:pt>
                  <c:pt idx="14">
                    <c:v>09-Sep</c:v>
                  </c:pt>
                  <c:pt idx="15">
                    <c:v>16-Sep</c:v>
                  </c:pt>
                  <c:pt idx="16">
                    <c:v>23-Sep</c:v>
                  </c:pt>
                  <c:pt idx="17">
                    <c:v>30-Sep</c:v>
                  </c:pt>
                  <c:pt idx="18">
                    <c:v>07-Oct</c:v>
                  </c:pt>
                  <c:pt idx="19">
                    <c:v>14-Oct</c:v>
                  </c:pt>
                  <c:pt idx="20">
                    <c:v>21-Oct</c:v>
                  </c:pt>
                  <c:pt idx="21">
                    <c:v>28-Oct</c:v>
                  </c:pt>
                  <c:pt idx="22">
                    <c:v>04-Nov</c:v>
                  </c:pt>
                  <c:pt idx="23">
                    <c:v>11-Nov</c:v>
                  </c:pt>
                  <c:pt idx="24">
                    <c:v>18-Nov</c:v>
                  </c:pt>
                  <c:pt idx="25">
                    <c:v>25-Nov</c:v>
                  </c:pt>
                  <c:pt idx="26">
                    <c:v>02-Dec</c:v>
                  </c:pt>
                  <c:pt idx="27">
                    <c:v>09-Dec</c:v>
                  </c:pt>
                  <c:pt idx="28">
                    <c:v>16-Dec</c:v>
                  </c:pt>
                  <c:pt idx="29">
                    <c:v>23-Dec</c:v>
                  </c:pt>
                  <c:pt idx="30">
                    <c:v>30-Dec</c:v>
                  </c:pt>
                  <c:pt idx="31">
                    <c:v>06-Jan</c:v>
                  </c:pt>
                  <c:pt idx="32">
                    <c:v>13-Jan</c:v>
                  </c:pt>
                  <c:pt idx="33">
                    <c:v>20-Jan</c:v>
                  </c:pt>
                  <c:pt idx="34">
                    <c:v>27-Jan</c:v>
                  </c:pt>
                  <c:pt idx="35">
                    <c:v>03-Feb</c:v>
                  </c:pt>
                  <c:pt idx="36">
                    <c:v>10-Feb</c:v>
                  </c:pt>
                  <c:pt idx="37">
                    <c:v>17-Feb</c:v>
                  </c:pt>
                  <c:pt idx="38">
                    <c:v>24-Feb</c:v>
                  </c:pt>
                  <c:pt idx="39">
                    <c:v>03-Mar</c:v>
                  </c:pt>
                  <c:pt idx="40">
                    <c:v>10-Mar</c:v>
                  </c:pt>
                  <c:pt idx="41">
                    <c:v>17-Mar</c:v>
                  </c:pt>
                  <c:pt idx="42">
                    <c:v>24-Mar</c:v>
                  </c:pt>
                  <c:pt idx="43">
                    <c:v>31-Mar</c:v>
                  </c:pt>
                  <c:pt idx="44">
                    <c:v>07-Apr</c:v>
                  </c:pt>
                  <c:pt idx="45">
                    <c:v>14-Apr</c:v>
                  </c:pt>
                  <c:pt idx="46">
                    <c:v>21-Apr</c:v>
                  </c:pt>
                  <c:pt idx="47">
                    <c:v>28-Apr</c:v>
                  </c:pt>
                  <c:pt idx="48">
                    <c:v>05-May</c:v>
                  </c:pt>
                  <c:pt idx="49">
                    <c:v>12-May</c:v>
                  </c:pt>
                </c:lvl>
                <c:lvl>
                  <c:pt idx="0">
                    <c:v>2024</c:v>
                  </c:pt>
                  <c:pt idx="31">
                    <c:v>2025</c:v>
                  </c:pt>
                </c:lvl>
              </c:multiLvlStrCache>
            </c:multiLvlStrRef>
          </c:cat>
          <c:val>
            <c:numRef>
              <c:f>'Follower Retention'!$C$4:$C$55</c:f>
              <c:numCache>
                <c:formatCode>General</c:formatCode>
                <c:ptCount val="50"/>
                <c:pt idx="0">
                  <c:v>0</c:v>
                </c:pt>
                <c:pt idx="1">
                  <c:v>0</c:v>
                </c:pt>
                <c:pt idx="2">
                  <c:v>6728</c:v>
                </c:pt>
                <c:pt idx="3">
                  <c:v>0</c:v>
                </c:pt>
                <c:pt idx="4">
                  <c:v>5442</c:v>
                </c:pt>
                <c:pt idx="5">
                  <c:v>11378</c:v>
                </c:pt>
                <c:pt idx="6">
                  <c:v>0</c:v>
                </c:pt>
                <c:pt idx="7">
                  <c:v>15403</c:v>
                </c:pt>
                <c:pt idx="8">
                  <c:v>7537</c:v>
                </c:pt>
                <c:pt idx="9">
                  <c:v>4847</c:v>
                </c:pt>
                <c:pt idx="10">
                  <c:v>0</c:v>
                </c:pt>
                <c:pt idx="11">
                  <c:v>0</c:v>
                </c:pt>
                <c:pt idx="12">
                  <c:v>1513</c:v>
                </c:pt>
                <c:pt idx="13">
                  <c:v>8228</c:v>
                </c:pt>
                <c:pt idx="14">
                  <c:v>6121</c:v>
                </c:pt>
                <c:pt idx="15">
                  <c:v>2199</c:v>
                </c:pt>
                <c:pt idx="16">
                  <c:v>0</c:v>
                </c:pt>
                <c:pt idx="17">
                  <c:v>0</c:v>
                </c:pt>
                <c:pt idx="18">
                  <c:v>2421</c:v>
                </c:pt>
                <c:pt idx="19">
                  <c:v>0</c:v>
                </c:pt>
                <c:pt idx="20">
                  <c:v>0</c:v>
                </c:pt>
                <c:pt idx="21">
                  <c:v>14812</c:v>
                </c:pt>
                <c:pt idx="22">
                  <c:v>4942</c:v>
                </c:pt>
                <c:pt idx="23">
                  <c:v>4882</c:v>
                </c:pt>
                <c:pt idx="24">
                  <c:v>9648</c:v>
                </c:pt>
                <c:pt idx="25">
                  <c:v>8945</c:v>
                </c:pt>
                <c:pt idx="26">
                  <c:v>5402</c:v>
                </c:pt>
                <c:pt idx="27">
                  <c:v>949</c:v>
                </c:pt>
                <c:pt idx="28">
                  <c:v>8527</c:v>
                </c:pt>
                <c:pt idx="29">
                  <c:v>7541</c:v>
                </c:pt>
                <c:pt idx="30">
                  <c:v>16577</c:v>
                </c:pt>
                <c:pt idx="31">
                  <c:v>9254</c:v>
                </c:pt>
                <c:pt idx="32">
                  <c:v>7471</c:v>
                </c:pt>
                <c:pt idx="33">
                  <c:v>0</c:v>
                </c:pt>
                <c:pt idx="34">
                  <c:v>7260</c:v>
                </c:pt>
                <c:pt idx="35">
                  <c:v>0</c:v>
                </c:pt>
                <c:pt idx="36">
                  <c:v>12622</c:v>
                </c:pt>
                <c:pt idx="37">
                  <c:v>5101</c:v>
                </c:pt>
                <c:pt idx="38">
                  <c:v>0</c:v>
                </c:pt>
                <c:pt idx="39">
                  <c:v>7432</c:v>
                </c:pt>
                <c:pt idx="40">
                  <c:v>2535</c:v>
                </c:pt>
                <c:pt idx="41">
                  <c:v>19728</c:v>
                </c:pt>
                <c:pt idx="42">
                  <c:v>21227</c:v>
                </c:pt>
                <c:pt idx="43">
                  <c:v>1660</c:v>
                </c:pt>
                <c:pt idx="44">
                  <c:v>4542</c:v>
                </c:pt>
                <c:pt idx="45">
                  <c:v>24995</c:v>
                </c:pt>
                <c:pt idx="46">
                  <c:v>0</c:v>
                </c:pt>
                <c:pt idx="47">
                  <c:v>1512</c:v>
                </c:pt>
                <c:pt idx="48">
                  <c:v>2960</c:v>
                </c:pt>
                <c:pt idx="49">
                  <c:v>8146</c:v>
                </c:pt>
              </c:numCache>
            </c:numRef>
          </c:val>
          <c:smooth val="0"/>
          <c:extLst>
            <c:ext xmlns:c16="http://schemas.microsoft.com/office/drawing/2014/chart" uri="{C3380CC4-5D6E-409C-BE32-E72D297353CC}">
              <c16:uniqueId val="{00000001-1969-4384-8DFC-B0261D2C1D85}"/>
            </c:ext>
          </c:extLst>
        </c:ser>
        <c:ser>
          <c:idx val="2"/>
          <c:order val="2"/>
          <c:tx>
            <c:strRef>
              <c:f>'Follower Retention'!$D$2:$D$3</c:f>
              <c:strCache>
                <c:ptCount val="1"/>
                <c:pt idx="0">
                  <c:v>Twitter</c:v>
                </c:pt>
              </c:strCache>
            </c:strRef>
          </c:tx>
          <c:spPr>
            <a:ln w="28575" cap="rnd">
              <a:noFill/>
              <a:round/>
            </a:ln>
            <a:effectLst/>
          </c:spPr>
          <c:marker>
            <c:symbol val="none"/>
          </c:marker>
          <c:trendline>
            <c:spPr>
              <a:ln w="19050" cap="rnd">
                <a:solidFill>
                  <a:schemeClr val="accent3"/>
                </a:solidFill>
                <a:prstDash val="solid"/>
              </a:ln>
              <a:effectLst/>
            </c:spPr>
            <c:trendlineType val="movingAvg"/>
            <c:period val="3"/>
            <c:dispRSqr val="0"/>
            <c:dispEq val="0"/>
          </c:trendline>
          <c:cat>
            <c:multiLvlStrRef>
              <c:f>'Follower Retention'!$A$4:$A$55</c:f>
              <c:multiLvlStrCache>
                <c:ptCount val="50"/>
                <c:lvl>
                  <c:pt idx="0">
                    <c:v>03-Jun</c:v>
                  </c:pt>
                  <c:pt idx="1">
                    <c:v>10-Jun</c:v>
                  </c:pt>
                  <c:pt idx="2">
                    <c:v>17-Jun</c:v>
                  </c:pt>
                  <c:pt idx="3">
                    <c:v>24-Jun</c:v>
                  </c:pt>
                  <c:pt idx="4">
                    <c:v>01-Jul</c:v>
                  </c:pt>
                  <c:pt idx="5">
                    <c:v>08-Jul</c:v>
                  </c:pt>
                  <c:pt idx="6">
                    <c:v>15-Jul</c:v>
                  </c:pt>
                  <c:pt idx="7">
                    <c:v>22-Jul</c:v>
                  </c:pt>
                  <c:pt idx="8">
                    <c:v>29-Jul</c:v>
                  </c:pt>
                  <c:pt idx="9">
                    <c:v>05-Aug</c:v>
                  </c:pt>
                  <c:pt idx="10">
                    <c:v>12-Aug</c:v>
                  </c:pt>
                  <c:pt idx="11">
                    <c:v>19-Aug</c:v>
                  </c:pt>
                  <c:pt idx="12">
                    <c:v>26-Aug</c:v>
                  </c:pt>
                  <c:pt idx="13">
                    <c:v>02-Sep</c:v>
                  </c:pt>
                  <c:pt idx="14">
                    <c:v>09-Sep</c:v>
                  </c:pt>
                  <c:pt idx="15">
                    <c:v>16-Sep</c:v>
                  </c:pt>
                  <c:pt idx="16">
                    <c:v>23-Sep</c:v>
                  </c:pt>
                  <c:pt idx="17">
                    <c:v>30-Sep</c:v>
                  </c:pt>
                  <c:pt idx="18">
                    <c:v>07-Oct</c:v>
                  </c:pt>
                  <c:pt idx="19">
                    <c:v>14-Oct</c:v>
                  </c:pt>
                  <c:pt idx="20">
                    <c:v>21-Oct</c:v>
                  </c:pt>
                  <c:pt idx="21">
                    <c:v>28-Oct</c:v>
                  </c:pt>
                  <c:pt idx="22">
                    <c:v>04-Nov</c:v>
                  </c:pt>
                  <c:pt idx="23">
                    <c:v>11-Nov</c:v>
                  </c:pt>
                  <c:pt idx="24">
                    <c:v>18-Nov</c:v>
                  </c:pt>
                  <c:pt idx="25">
                    <c:v>25-Nov</c:v>
                  </c:pt>
                  <c:pt idx="26">
                    <c:v>02-Dec</c:v>
                  </c:pt>
                  <c:pt idx="27">
                    <c:v>09-Dec</c:v>
                  </c:pt>
                  <c:pt idx="28">
                    <c:v>16-Dec</c:v>
                  </c:pt>
                  <c:pt idx="29">
                    <c:v>23-Dec</c:v>
                  </c:pt>
                  <c:pt idx="30">
                    <c:v>30-Dec</c:v>
                  </c:pt>
                  <c:pt idx="31">
                    <c:v>06-Jan</c:v>
                  </c:pt>
                  <c:pt idx="32">
                    <c:v>13-Jan</c:v>
                  </c:pt>
                  <c:pt idx="33">
                    <c:v>20-Jan</c:v>
                  </c:pt>
                  <c:pt idx="34">
                    <c:v>27-Jan</c:v>
                  </c:pt>
                  <c:pt idx="35">
                    <c:v>03-Feb</c:v>
                  </c:pt>
                  <c:pt idx="36">
                    <c:v>10-Feb</c:v>
                  </c:pt>
                  <c:pt idx="37">
                    <c:v>17-Feb</c:v>
                  </c:pt>
                  <c:pt idx="38">
                    <c:v>24-Feb</c:v>
                  </c:pt>
                  <c:pt idx="39">
                    <c:v>03-Mar</c:v>
                  </c:pt>
                  <c:pt idx="40">
                    <c:v>10-Mar</c:v>
                  </c:pt>
                  <c:pt idx="41">
                    <c:v>17-Mar</c:v>
                  </c:pt>
                  <c:pt idx="42">
                    <c:v>24-Mar</c:v>
                  </c:pt>
                  <c:pt idx="43">
                    <c:v>31-Mar</c:v>
                  </c:pt>
                  <c:pt idx="44">
                    <c:v>07-Apr</c:v>
                  </c:pt>
                  <c:pt idx="45">
                    <c:v>14-Apr</c:v>
                  </c:pt>
                  <c:pt idx="46">
                    <c:v>21-Apr</c:v>
                  </c:pt>
                  <c:pt idx="47">
                    <c:v>28-Apr</c:v>
                  </c:pt>
                  <c:pt idx="48">
                    <c:v>05-May</c:v>
                  </c:pt>
                  <c:pt idx="49">
                    <c:v>12-May</c:v>
                  </c:pt>
                </c:lvl>
                <c:lvl>
                  <c:pt idx="0">
                    <c:v>2024</c:v>
                  </c:pt>
                  <c:pt idx="31">
                    <c:v>2025</c:v>
                  </c:pt>
                </c:lvl>
              </c:multiLvlStrCache>
            </c:multiLvlStrRef>
          </c:cat>
          <c:val>
            <c:numRef>
              <c:f>'Follower Retention'!$D$4:$D$55</c:f>
              <c:numCache>
                <c:formatCode>General</c:formatCode>
                <c:ptCount val="50"/>
                <c:pt idx="0">
                  <c:v>7432</c:v>
                </c:pt>
                <c:pt idx="1">
                  <c:v>8369</c:v>
                </c:pt>
                <c:pt idx="2">
                  <c:v>6073</c:v>
                </c:pt>
                <c:pt idx="3">
                  <c:v>15084</c:v>
                </c:pt>
                <c:pt idx="4">
                  <c:v>8463</c:v>
                </c:pt>
                <c:pt idx="5">
                  <c:v>7151</c:v>
                </c:pt>
                <c:pt idx="6">
                  <c:v>7092</c:v>
                </c:pt>
                <c:pt idx="7">
                  <c:v>7733</c:v>
                </c:pt>
                <c:pt idx="8">
                  <c:v>6039</c:v>
                </c:pt>
                <c:pt idx="9">
                  <c:v>3497</c:v>
                </c:pt>
                <c:pt idx="10">
                  <c:v>12800</c:v>
                </c:pt>
                <c:pt idx="11">
                  <c:v>0</c:v>
                </c:pt>
                <c:pt idx="12">
                  <c:v>5753</c:v>
                </c:pt>
                <c:pt idx="13">
                  <c:v>6593</c:v>
                </c:pt>
                <c:pt idx="14">
                  <c:v>0</c:v>
                </c:pt>
                <c:pt idx="15">
                  <c:v>3925</c:v>
                </c:pt>
                <c:pt idx="16">
                  <c:v>4942</c:v>
                </c:pt>
                <c:pt idx="17">
                  <c:v>8530</c:v>
                </c:pt>
                <c:pt idx="18">
                  <c:v>0</c:v>
                </c:pt>
                <c:pt idx="19">
                  <c:v>16256</c:v>
                </c:pt>
                <c:pt idx="20">
                  <c:v>0</c:v>
                </c:pt>
                <c:pt idx="21">
                  <c:v>0</c:v>
                </c:pt>
                <c:pt idx="22">
                  <c:v>8687</c:v>
                </c:pt>
                <c:pt idx="23">
                  <c:v>9649</c:v>
                </c:pt>
                <c:pt idx="24">
                  <c:v>6384</c:v>
                </c:pt>
                <c:pt idx="25">
                  <c:v>0</c:v>
                </c:pt>
                <c:pt idx="26">
                  <c:v>0</c:v>
                </c:pt>
                <c:pt idx="27">
                  <c:v>6642</c:v>
                </c:pt>
                <c:pt idx="28">
                  <c:v>6275</c:v>
                </c:pt>
                <c:pt idx="29">
                  <c:v>0</c:v>
                </c:pt>
                <c:pt idx="30">
                  <c:v>3079</c:v>
                </c:pt>
                <c:pt idx="31">
                  <c:v>9202</c:v>
                </c:pt>
                <c:pt idx="32">
                  <c:v>7346</c:v>
                </c:pt>
                <c:pt idx="33">
                  <c:v>20155</c:v>
                </c:pt>
                <c:pt idx="34">
                  <c:v>11789</c:v>
                </c:pt>
                <c:pt idx="35">
                  <c:v>16086</c:v>
                </c:pt>
                <c:pt idx="36">
                  <c:v>1020</c:v>
                </c:pt>
                <c:pt idx="37">
                  <c:v>1290</c:v>
                </c:pt>
                <c:pt idx="38">
                  <c:v>0</c:v>
                </c:pt>
                <c:pt idx="39">
                  <c:v>6326</c:v>
                </c:pt>
                <c:pt idx="40">
                  <c:v>8723</c:v>
                </c:pt>
                <c:pt idx="41">
                  <c:v>0</c:v>
                </c:pt>
                <c:pt idx="42">
                  <c:v>0</c:v>
                </c:pt>
                <c:pt idx="43">
                  <c:v>6272</c:v>
                </c:pt>
                <c:pt idx="44">
                  <c:v>8319</c:v>
                </c:pt>
                <c:pt idx="45">
                  <c:v>0</c:v>
                </c:pt>
                <c:pt idx="46">
                  <c:v>7058</c:v>
                </c:pt>
                <c:pt idx="47">
                  <c:v>15937</c:v>
                </c:pt>
                <c:pt idx="48">
                  <c:v>0</c:v>
                </c:pt>
                <c:pt idx="49">
                  <c:v>7436</c:v>
                </c:pt>
              </c:numCache>
            </c:numRef>
          </c:val>
          <c:smooth val="0"/>
          <c:extLst>
            <c:ext xmlns:c16="http://schemas.microsoft.com/office/drawing/2014/chart" uri="{C3380CC4-5D6E-409C-BE32-E72D297353CC}">
              <c16:uniqueId val="{00000002-1969-4384-8DFC-B0261D2C1D85}"/>
            </c:ext>
          </c:extLst>
        </c:ser>
        <c:ser>
          <c:idx val="3"/>
          <c:order val="3"/>
          <c:tx>
            <c:strRef>
              <c:f>'Follower Retention'!$E$2:$E$3</c:f>
              <c:strCache>
                <c:ptCount val="1"/>
                <c:pt idx="0">
                  <c:v>YouTube</c:v>
                </c:pt>
              </c:strCache>
            </c:strRef>
          </c:tx>
          <c:spPr>
            <a:ln w="28575" cap="rnd">
              <a:noFill/>
              <a:round/>
            </a:ln>
            <a:effectLst/>
          </c:spPr>
          <c:marker>
            <c:symbol val="none"/>
          </c:marker>
          <c:trendline>
            <c:spPr>
              <a:ln w="19050" cap="rnd">
                <a:solidFill>
                  <a:schemeClr val="accent4"/>
                </a:solidFill>
                <a:prstDash val="solid"/>
              </a:ln>
              <a:effectLst/>
            </c:spPr>
            <c:trendlineType val="movingAvg"/>
            <c:period val="3"/>
            <c:dispRSqr val="0"/>
            <c:dispEq val="0"/>
          </c:trendline>
          <c:cat>
            <c:multiLvlStrRef>
              <c:f>'Follower Retention'!$A$4:$A$55</c:f>
              <c:multiLvlStrCache>
                <c:ptCount val="50"/>
                <c:lvl>
                  <c:pt idx="0">
                    <c:v>03-Jun</c:v>
                  </c:pt>
                  <c:pt idx="1">
                    <c:v>10-Jun</c:v>
                  </c:pt>
                  <c:pt idx="2">
                    <c:v>17-Jun</c:v>
                  </c:pt>
                  <c:pt idx="3">
                    <c:v>24-Jun</c:v>
                  </c:pt>
                  <c:pt idx="4">
                    <c:v>01-Jul</c:v>
                  </c:pt>
                  <c:pt idx="5">
                    <c:v>08-Jul</c:v>
                  </c:pt>
                  <c:pt idx="6">
                    <c:v>15-Jul</c:v>
                  </c:pt>
                  <c:pt idx="7">
                    <c:v>22-Jul</c:v>
                  </c:pt>
                  <c:pt idx="8">
                    <c:v>29-Jul</c:v>
                  </c:pt>
                  <c:pt idx="9">
                    <c:v>05-Aug</c:v>
                  </c:pt>
                  <c:pt idx="10">
                    <c:v>12-Aug</c:v>
                  </c:pt>
                  <c:pt idx="11">
                    <c:v>19-Aug</c:v>
                  </c:pt>
                  <c:pt idx="12">
                    <c:v>26-Aug</c:v>
                  </c:pt>
                  <c:pt idx="13">
                    <c:v>02-Sep</c:v>
                  </c:pt>
                  <c:pt idx="14">
                    <c:v>09-Sep</c:v>
                  </c:pt>
                  <c:pt idx="15">
                    <c:v>16-Sep</c:v>
                  </c:pt>
                  <c:pt idx="16">
                    <c:v>23-Sep</c:v>
                  </c:pt>
                  <c:pt idx="17">
                    <c:v>30-Sep</c:v>
                  </c:pt>
                  <c:pt idx="18">
                    <c:v>07-Oct</c:v>
                  </c:pt>
                  <c:pt idx="19">
                    <c:v>14-Oct</c:v>
                  </c:pt>
                  <c:pt idx="20">
                    <c:v>21-Oct</c:v>
                  </c:pt>
                  <c:pt idx="21">
                    <c:v>28-Oct</c:v>
                  </c:pt>
                  <c:pt idx="22">
                    <c:v>04-Nov</c:v>
                  </c:pt>
                  <c:pt idx="23">
                    <c:v>11-Nov</c:v>
                  </c:pt>
                  <c:pt idx="24">
                    <c:v>18-Nov</c:v>
                  </c:pt>
                  <c:pt idx="25">
                    <c:v>25-Nov</c:v>
                  </c:pt>
                  <c:pt idx="26">
                    <c:v>02-Dec</c:v>
                  </c:pt>
                  <c:pt idx="27">
                    <c:v>09-Dec</c:v>
                  </c:pt>
                  <c:pt idx="28">
                    <c:v>16-Dec</c:v>
                  </c:pt>
                  <c:pt idx="29">
                    <c:v>23-Dec</c:v>
                  </c:pt>
                  <c:pt idx="30">
                    <c:v>30-Dec</c:v>
                  </c:pt>
                  <c:pt idx="31">
                    <c:v>06-Jan</c:v>
                  </c:pt>
                  <c:pt idx="32">
                    <c:v>13-Jan</c:v>
                  </c:pt>
                  <c:pt idx="33">
                    <c:v>20-Jan</c:v>
                  </c:pt>
                  <c:pt idx="34">
                    <c:v>27-Jan</c:v>
                  </c:pt>
                  <c:pt idx="35">
                    <c:v>03-Feb</c:v>
                  </c:pt>
                  <c:pt idx="36">
                    <c:v>10-Feb</c:v>
                  </c:pt>
                  <c:pt idx="37">
                    <c:v>17-Feb</c:v>
                  </c:pt>
                  <c:pt idx="38">
                    <c:v>24-Feb</c:v>
                  </c:pt>
                  <c:pt idx="39">
                    <c:v>03-Mar</c:v>
                  </c:pt>
                  <c:pt idx="40">
                    <c:v>10-Mar</c:v>
                  </c:pt>
                  <c:pt idx="41">
                    <c:v>17-Mar</c:v>
                  </c:pt>
                  <c:pt idx="42">
                    <c:v>24-Mar</c:v>
                  </c:pt>
                  <c:pt idx="43">
                    <c:v>31-Mar</c:v>
                  </c:pt>
                  <c:pt idx="44">
                    <c:v>07-Apr</c:v>
                  </c:pt>
                  <c:pt idx="45">
                    <c:v>14-Apr</c:v>
                  </c:pt>
                  <c:pt idx="46">
                    <c:v>21-Apr</c:v>
                  </c:pt>
                  <c:pt idx="47">
                    <c:v>28-Apr</c:v>
                  </c:pt>
                  <c:pt idx="48">
                    <c:v>05-May</c:v>
                  </c:pt>
                  <c:pt idx="49">
                    <c:v>12-May</c:v>
                  </c:pt>
                </c:lvl>
                <c:lvl>
                  <c:pt idx="0">
                    <c:v>2024</c:v>
                  </c:pt>
                  <c:pt idx="31">
                    <c:v>2025</c:v>
                  </c:pt>
                </c:lvl>
              </c:multiLvlStrCache>
            </c:multiLvlStrRef>
          </c:cat>
          <c:val>
            <c:numRef>
              <c:f>'Follower Retention'!$E$4:$E$55</c:f>
              <c:numCache>
                <c:formatCode>General</c:formatCode>
                <c:ptCount val="50"/>
                <c:pt idx="0">
                  <c:v>15994</c:v>
                </c:pt>
                <c:pt idx="1">
                  <c:v>7478</c:v>
                </c:pt>
                <c:pt idx="2">
                  <c:v>0</c:v>
                </c:pt>
                <c:pt idx="3">
                  <c:v>8653</c:v>
                </c:pt>
                <c:pt idx="4">
                  <c:v>0</c:v>
                </c:pt>
                <c:pt idx="5">
                  <c:v>0</c:v>
                </c:pt>
                <c:pt idx="6">
                  <c:v>1826</c:v>
                </c:pt>
                <c:pt idx="7">
                  <c:v>9082</c:v>
                </c:pt>
                <c:pt idx="8">
                  <c:v>3445</c:v>
                </c:pt>
                <c:pt idx="9">
                  <c:v>2543</c:v>
                </c:pt>
                <c:pt idx="10">
                  <c:v>7033</c:v>
                </c:pt>
                <c:pt idx="11">
                  <c:v>9427</c:v>
                </c:pt>
                <c:pt idx="12">
                  <c:v>5303</c:v>
                </c:pt>
                <c:pt idx="13">
                  <c:v>0</c:v>
                </c:pt>
                <c:pt idx="14">
                  <c:v>11613</c:v>
                </c:pt>
                <c:pt idx="15">
                  <c:v>9308</c:v>
                </c:pt>
                <c:pt idx="16">
                  <c:v>0</c:v>
                </c:pt>
                <c:pt idx="17">
                  <c:v>0</c:v>
                </c:pt>
                <c:pt idx="18">
                  <c:v>10348</c:v>
                </c:pt>
                <c:pt idx="19">
                  <c:v>7115</c:v>
                </c:pt>
                <c:pt idx="20">
                  <c:v>6918</c:v>
                </c:pt>
                <c:pt idx="21">
                  <c:v>12442</c:v>
                </c:pt>
                <c:pt idx="22">
                  <c:v>3056</c:v>
                </c:pt>
                <c:pt idx="23">
                  <c:v>5220</c:v>
                </c:pt>
                <c:pt idx="24">
                  <c:v>0</c:v>
                </c:pt>
                <c:pt idx="25">
                  <c:v>5143</c:v>
                </c:pt>
                <c:pt idx="26">
                  <c:v>3929</c:v>
                </c:pt>
                <c:pt idx="27">
                  <c:v>4790</c:v>
                </c:pt>
                <c:pt idx="28">
                  <c:v>0</c:v>
                </c:pt>
                <c:pt idx="29">
                  <c:v>7328</c:v>
                </c:pt>
                <c:pt idx="30">
                  <c:v>0</c:v>
                </c:pt>
                <c:pt idx="31">
                  <c:v>8601</c:v>
                </c:pt>
                <c:pt idx="32">
                  <c:v>1001</c:v>
                </c:pt>
                <c:pt idx="33">
                  <c:v>7654</c:v>
                </c:pt>
                <c:pt idx="34">
                  <c:v>0</c:v>
                </c:pt>
                <c:pt idx="35">
                  <c:v>12447</c:v>
                </c:pt>
                <c:pt idx="36">
                  <c:v>0</c:v>
                </c:pt>
                <c:pt idx="37">
                  <c:v>0</c:v>
                </c:pt>
                <c:pt idx="38">
                  <c:v>15359</c:v>
                </c:pt>
                <c:pt idx="39">
                  <c:v>6631</c:v>
                </c:pt>
                <c:pt idx="40">
                  <c:v>3555</c:v>
                </c:pt>
                <c:pt idx="41">
                  <c:v>0</c:v>
                </c:pt>
                <c:pt idx="42">
                  <c:v>4189</c:v>
                </c:pt>
                <c:pt idx="43">
                  <c:v>1567</c:v>
                </c:pt>
                <c:pt idx="44">
                  <c:v>6434</c:v>
                </c:pt>
                <c:pt idx="45">
                  <c:v>0</c:v>
                </c:pt>
                <c:pt idx="46">
                  <c:v>0</c:v>
                </c:pt>
                <c:pt idx="47">
                  <c:v>0</c:v>
                </c:pt>
                <c:pt idx="48">
                  <c:v>5210</c:v>
                </c:pt>
                <c:pt idx="49">
                  <c:v>0</c:v>
                </c:pt>
              </c:numCache>
            </c:numRef>
          </c:val>
          <c:smooth val="0"/>
          <c:extLst>
            <c:ext xmlns:c16="http://schemas.microsoft.com/office/drawing/2014/chart" uri="{C3380CC4-5D6E-409C-BE32-E72D297353CC}">
              <c16:uniqueId val="{00000003-1969-4384-8DFC-B0261D2C1D85}"/>
            </c:ext>
          </c:extLst>
        </c:ser>
        <c:dLbls>
          <c:showLegendKey val="0"/>
          <c:showVal val="0"/>
          <c:showCatName val="0"/>
          <c:showSerName val="0"/>
          <c:showPercent val="0"/>
          <c:showBubbleSize val="0"/>
        </c:dLbls>
        <c:smooth val="0"/>
        <c:axId val="1201956336"/>
        <c:axId val="1201959576"/>
      </c:lineChart>
      <c:catAx>
        <c:axId val="1201956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ysClr val="windowText" lastClr="000000">
                        <a:lumMod val="65000"/>
                        <a:lumOff val="35000"/>
                      </a:sysClr>
                    </a:solidFill>
                  </a:rPr>
                  <a:t>Week Start 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959576"/>
        <c:crosses val="autoZero"/>
        <c:auto val="1"/>
        <c:lblAlgn val="ctr"/>
        <c:lblOffset val="100"/>
        <c:noMultiLvlLbl val="0"/>
      </c:catAx>
      <c:valAx>
        <c:axId val="1201959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ysClr val="windowText" lastClr="000000">
                        <a:lumMod val="65000"/>
                        <a:lumOff val="35000"/>
                      </a:sysClr>
                    </a:solidFill>
                  </a:rPr>
                  <a:t>Engagement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956336"/>
        <c:crosses val="autoZero"/>
        <c:crossBetween val="between"/>
      </c:valAx>
      <c:spPr>
        <a:noFill/>
        <a:ln>
          <a:noFill/>
        </a:ln>
        <a:effectLst/>
      </c:spPr>
    </c:plotArea>
    <c:legend>
      <c:legendPos val="r"/>
      <c:legendEntry>
        <c:idx val="0"/>
        <c:delete val="1"/>
      </c:legendEntry>
      <c:legendEntry>
        <c:idx val="1"/>
        <c:delete val="1"/>
      </c:legendEntry>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 Spend Vs follower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Correlation!$B$1</c:f>
              <c:strCache>
                <c:ptCount val="1"/>
                <c:pt idx="0">
                  <c:v>Follower Gain</c:v>
                </c:pt>
              </c:strCache>
            </c:strRef>
          </c:tx>
          <c:spPr>
            <a:ln w="19050" cap="rnd">
              <a:noFill/>
              <a:round/>
            </a:ln>
            <a:effectLst/>
          </c:spPr>
          <c:marker>
            <c:symbol val="circle"/>
            <c:size val="5"/>
            <c:spPr>
              <a:solidFill>
                <a:schemeClr val="accent1"/>
              </a:solidFill>
              <a:ln w="9525">
                <a:solidFill>
                  <a:schemeClr val="accent1"/>
                </a:solidFill>
              </a:ln>
              <a:effectLst/>
            </c:spPr>
          </c:marker>
          <c:xVal>
            <c:numRef>
              <c:f>Correlation!$A$2:$A$201</c:f>
              <c:numCache>
                <c:formatCode>"₹"\ #,##0</c:formatCode>
                <c:ptCount val="200"/>
                <c:pt idx="0">
                  <c:v>23944</c:v>
                </c:pt>
                <c:pt idx="1">
                  <c:v>29873</c:v>
                </c:pt>
                <c:pt idx="2">
                  <c:v>50372</c:v>
                </c:pt>
                <c:pt idx="3">
                  <c:v>33928</c:v>
                </c:pt>
                <c:pt idx="4">
                  <c:v>25379</c:v>
                </c:pt>
                <c:pt idx="5">
                  <c:v>46751</c:v>
                </c:pt>
                <c:pt idx="6">
                  <c:v>44546</c:v>
                </c:pt>
                <c:pt idx="7">
                  <c:v>34286</c:v>
                </c:pt>
                <c:pt idx="8">
                  <c:v>15110</c:v>
                </c:pt>
                <c:pt idx="9">
                  <c:v>22087</c:v>
                </c:pt>
                <c:pt idx="10">
                  <c:v>33762</c:v>
                </c:pt>
                <c:pt idx="11">
                  <c:v>27081</c:v>
                </c:pt>
                <c:pt idx="12">
                  <c:v>44947</c:v>
                </c:pt>
                <c:pt idx="13">
                  <c:v>19596</c:v>
                </c:pt>
                <c:pt idx="14">
                  <c:v>48019</c:v>
                </c:pt>
                <c:pt idx="15">
                  <c:v>52003</c:v>
                </c:pt>
                <c:pt idx="16">
                  <c:v>28313</c:v>
                </c:pt>
                <c:pt idx="17">
                  <c:v>57639</c:v>
                </c:pt>
                <c:pt idx="18">
                  <c:v>11013</c:v>
                </c:pt>
                <c:pt idx="19">
                  <c:v>59378</c:v>
                </c:pt>
                <c:pt idx="20">
                  <c:v>33705</c:v>
                </c:pt>
                <c:pt idx="21">
                  <c:v>11828</c:v>
                </c:pt>
                <c:pt idx="22">
                  <c:v>17909</c:v>
                </c:pt>
                <c:pt idx="23">
                  <c:v>48356</c:v>
                </c:pt>
                <c:pt idx="24">
                  <c:v>23109</c:v>
                </c:pt>
                <c:pt idx="25">
                  <c:v>12023</c:v>
                </c:pt>
                <c:pt idx="26">
                  <c:v>24537</c:v>
                </c:pt>
                <c:pt idx="27">
                  <c:v>36661</c:v>
                </c:pt>
                <c:pt idx="28">
                  <c:v>48659</c:v>
                </c:pt>
                <c:pt idx="29">
                  <c:v>43848</c:v>
                </c:pt>
                <c:pt idx="30">
                  <c:v>47804</c:v>
                </c:pt>
                <c:pt idx="31">
                  <c:v>25379</c:v>
                </c:pt>
                <c:pt idx="32">
                  <c:v>37766</c:v>
                </c:pt>
                <c:pt idx="33">
                  <c:v>53590</c:v>
                </c:pt>
                <c:pt idx="34">
                  <c:v>12563</c:v>
                </c:pt>
                <c:pt idx="35">
                  <c:v>46060</c:v>
                </c:pt>
                <c:pt idx="36">
                  <c:v>39197</c:v>
                </c:pt>
                <c:pt idx="37">
                  <c:v>13586</c:v>
                </c:pt>
                <c:pt idx="38">
                  <c:v>26087</c:v>
                </c:pt>
                <c:pt idx="39">
                  <c:v>58868</c:v>
                </c:pt>
                <c:pt idx="40">
                  <c:v>33225</c:v>
                </c:pt>
                <c:pt idx="41">
                  <c:v>39750</c:v>
                </c:pt>
                <c:pt idx="42">
                  <c:v>16643</c:v>
                </c:pt>
                <c:pt idx="43">
                  <c:v>37523</c:v>
                </c:pt>
                <c:pt idx="44">
                  <c:v>46727</c:v>
                </c:pt>
                <c:pt idx="45">
                  <c:v>21005</c:v>
                </c:pt>
                <c:pt idx="46">
                  <c:v>53543</c:v>
                </c:pt>
                <c:pt idx="47">
                  <c:v>10161</c:v>
                </c:pt>
                <c:pt idx="48">
                  <c:v>26029</c:v>
                </c:pt>
                <c:pt idx="49">
                  <c:v>59745</c:v>
                </c:pt>
                <c:pt idx="50">
                  <c:v>24226</c:v>
                </c:pt>
                <c:pt idx="51">
                  <c:v>38731</c:v>
                </c:pt>
                <c:pt idx="52">
                  <c:v>53922</c:v>
                </c:pt>
                <c:pt idx="53">
                  <c:v>54848</c:v>
                </c:pt>
                <c:pt idx="54">
                  <c:v>13390</c:v>
                </c:pt>
                <c:pt idx="55">
                  <c:v>15997</c:v>
                </c:pt>
                <c:pt idx="56">
                  <c:v>22693</c:v>
                </c:pt>
                <c:pt idx="57">
                  <c:v>59815</c:v>
                </c:pt>
                <c:pt idx="58">
                  <c:v>52092</c:v>
                </c:pt>
                <c:pt idx="59">
                  <c:v>10541</c:v>
                </c:pt>
                <c:pt idx="60">
                  <c:v>31817</c:v>
                </c:pt>
                <c:pt idx="61">
                  <c:v>47861</c:v>
                </c:pt>
                <c:pt idx="62">
                  <c:v>23428</c:v>
                </c:pt>
                <c:pt idx="63">
                  <c:v>53934</c:v>
                </c:pt>
                <c:pt idx="64">
                  <c:v>58831</c:v>
                </c:pt>
                <c:pt idx="65">
                  <c:v>20258</c:v>
                </c:pt>
                <c:pt idx="66">
                  <c:v>26044</c:v>
                </c:pt>
                <c:pt idx="67">
                  <c:v>39411</c:v>
                </c:pt>
                <c:pt idx="68">
                  <c:v>15469</c:v>
                </c:pt>
                <c:pt idx="69">
                  <c:v>38854</c:v>
                </c:pt>
                <c:pt idx="70">
                  <c:v>16256</c:v>
                </c:pt>
                <c:pt idx="71">
                  <c:v>20720</c:v>
                </c:pt>
                <c:pt idx="72">
                  <c:v>43937</c:v>
                </c:pt>
                <c:pt idx="73">
                  <c:v>43598</c:v>
                </c:pt>
                <c:pt idx="74">
                  <c:v>11651</c:v>
                </c:pt>
                <c:pt idx="75">
                  <c:v>29194</c:v>
                </c:pt>
                <c:pt idx="76">
                  <c:v>35051</c:v>
                </c:pt>
                <c:pt idx="77">
                  <c:v>37386</c:v>
                </c:pt>
                <c:pt idx="78">
                  <c:v>19518</c:v>
                </c:pt>
                <c:pt idx="79">
                  <c:v>56026</c:v>
                </c:pt>
                <c:pt idx="80">
                  <c:v>26184</c:v>
                </c:pt>
                <c:pt idx="81">
                  <c:v>43787</c:v>
                </c:pt>
                <c:pt idx="82">
                  <c:v>31621</c:v>
                </c:pt>
                <c:pt idx="83">
                  <c:v>20028</c:v>
                </c:pt>
                <c:pt idx="84">
                  <c:v>22448</c:v>
                </c:pt>
                <c:pt idx="85">
                  <c:v>55253</c:v>
                </c:pt>
                <c:pt idx="86">
                  <c:v>44051</c:v>
                </c:pt>
                <c:pt idx="87">
                  <c:v>59811</c:v>
                </c:pt>
                <c:pt idx="88">
                  <c:v>40447</c:v>
                </c:pt>
                <c:pt idx="89">
                  <c:v>28394</c:v>
                </c:pt>
                <c:pt idx="90">
                  <c:v>44501</c:v>
                </c:pt>
                <c:pt idx="91">
                  <c:v>40254</c:v>
                </c:pt>
                <c:pt idx="92">
                  <c:v>28509</c:v>
                </c:pt>
                <c:pt idx="93">
                  <c:v>58998</c:v>
                </c:pt>
                <c:pt idx="94">
                  <c:v>24472</c:v>
                </c:pt>
                <c:pt idx="95">
                  <c:v>55657</c:v>
                </c:pt>
                <c:pt idx="96">
                  <c:v>13471</c:v>
                </c:pt>
                <c:pt idx="97">
                  <c:v>51796</c:v>
                </c:pt>
                <c:pt idx="98">
                  <c:v>40268</c:v>
                </c:pt>
                <c:pt idx="99">
                  <c:v>18329</c:v>
                </c:pt>
                <c:pt idx="100">
                  <c:v>44865</c:v>
                </c:pt>
                <c:pt idx="101">
                  <c:v>56850</c:v>
                </c:pt>
                <c:pt idx="102">
                  <c:v>56698</c:v>
                </c:pt>
                <c:pt idx="103">
                  <c:v>38272</c:v>
                </c:pt>
                <c:pt idx="104">
                  <c:v>52845</c:v>
                </c:pt>
                <c:pt idx="105">
                  <c:v>16397</c:v>
                </c:pt>
                <c:pt idx="106">
                  <c:v>42373</c:v>
                </c:pt>
                <c:pt idx="107">
                  <c:v>45525</c:v>
                </c:pt>
                <c:pt idx="108">
                  <c:v>34570</c:v>
                </c:pt>
                <c:pt idx="109">
                  <c:v>28284</c:v>
                </c:pt>
                <c:pt idx="110">
                  <c:v>28994</c:v>
                </c:pt>
                <c:pt idx="111">
                  <c:v>33284</c:v>
                </c:pt>
                <c:pt idx="112">
                  <c:v>27833</c:v>
                </c:pt>
                <c:pt idx="113">
                  <c:v>35122</c:v>
                </c:pt>
                <c:pt idx="114">
                  <c:v>15017</c:v>
                </c:pt>
                <c:pt idx="115">
                  <c:v>26370</c:v>
                </c:pt>
                <c:pt idx="116">
                  <c:v>39252</c:v>
                </c:pt>
                <c:pt idx="117">
                  <c:v>17999</c:v>
                </c:pt>
                <c:pt idx="118">
                  <c:v>32436</c:v>
                </c:pt>
                <c:pt idx="119">
                  <c:v>52963</c:v>
                </c:pt>
                <c:pt idx="120">
                  <c:v>12096</c:v>
                </c:pt>
                <c:pt idx="121">
                  <c:v>58201</c:v>
                </c:pt>
                <c:pt idx="122">
                  <c:v>35279</c:v>
                </c:pt>
                <c:pt idx="123">
                  <c:v>53363</c:v>
                </c:pt>
                <c:pt idx="124">
                  <c:v>58709</c:v>
                </c:pt>
                <c:pt idx="125">
                  <c:v>36201</c:v>
                </c:pt>
                <c:pt idx="126">
                  <c:v>29715</c:v>
                </c:pt>
                <c:pt idx="127">
                  <c:v>39309</c:v>
                </c:pt>
                <c:pt idx="128">
                  <c:v>25078</c:v>
                </c:pt>
                <c:pt idx="129">
                  <c:v>15105</c:v>
                </c:pt>
                <c:pt idx="130">
                  <c:v>39312</c:v>
                </c:pt>
                <c:pt idx="131">
                  <c:v>12839</c:v>
                </c:pt>
                <c:pt idx="132">
                  <c:v>13384</c:v>
                </c:pt>
                <c:pt idx="133">
                  <c:v>53619</c:v>
                </c:pt>
                <c:pt idx="134">
                  <c:v>52821</c:v>
                </c:pt>
                <c:pt idx="135">
                  <c:v>23493</c:v>
                </c:pt>
                <c:pt idx="136">
                  <c:v>27069</c:v>
                </c:pt>
                <c:pt idx="137">
                  <c:v>56907</c:v>
                </c:pt>
                <c:pt idx="138">
                  <c:v>17531</c:v>
                </c:pt>
                <c:pt idx="139">
                  <c:v>47051</c:v>
                </c:pt>
                <c:pt idx="140">
                  <c:v>17736</c:v>
                </c:pt>
                <c:pt idx="141">
                  <c:v>17710</c:v>
                </c:pt>
                <c:pt idx="142">
                  <c:v>11619</c:v>
                </c:pt>
                <c:pt idx="143">
                  <c:v>23975</c:v>
                </c:pt>
                <c:pt idx="144">
                  <c:v>55603</c:v>
                </c:pt>
                <c:pt idx="145">
                  <c:v>33252</c:v>
                </c:pt>
                <c:pt idx="146">
                  <c:v>25261</c:v>
                </c:pt>
                <c:pt idx="147">
                  <c:v>11431</c:v>
                </c:pt>
                <c:pt idx="148">
                  <c:v>19067</c:v>
                </c:pt>
                <c:pt idx="149">
                  <c:v>47481</c:v>
                </c:pt>
                <c:pt idx="150">
                  <c:v>37037</c:v>
                </c:pt>
                <c:pt idx="151">
                  <c:v>19557</c:v>
                </c:pt>
                <c:pt idx="152">
                  <c:v>19435</c:v>
                </c:pt>
                <c:pt idx="153">
                  <c:v>47766</c:v>
                </c:pt>
                <c:pt idx="154">
                  <c:v>10162</c:v>
                </c:pt>
                <c:pt idx="155">
                  <c:v>44742</c:v>
                </c:pt>
                <c:pt idx="156">
                  <c:v>29675</c:v>
                </c:pt>
                <c:pt idx="157">
                  <c:v>18461</c:v>
                </c:pt>
                <c:pt idx="158">
                  <c:v>27015</c:v>
                </c:pt>
                <c:pt idx="159">
                  <c:v>42591</c:v>
                </c:pt>
                <c:pt idx="160">
                  <c:v>38047</c:v>
                </c:pt>
                <c:pt idx="161">
                  <c:v>44782</c:v>
                </c:pt>
                <c:pt idx="162">
                  <c:v>19833</c:v>
                </c:pt>
                <c:pt idx="163">
                  <c:v>17896</c:v>
                </c:pt>
                <c:pt idx="164">
                  <c:v>42972</c:v>
                </c:pt>
                <c:pt idx="165">
                  <c:v>59733</c:v>
                </c:pt>
                <c:pt idx="166">
                  <c:v>51800</c:v>
                </c:pt>
                <c:pt idx="167">
                  <c:v>40508</c:v>
                </c:pt>
                <c:pt idx="168">
                  <c:v>15347</c:v>
                </c:pt>
                <c:pt idx="169">
                  <c:v>40314</c:v>
                </c:pt>
                <c:pt idx="170">
                  <c:v>12643</c:v>
                </c:pt>
                <c:pt idx="171">
                  <c:v>50785</c:v>
                </c:pt>
                <c:pt idx="172">
                  <c:v>28681</c:v>
                </c:pt>
                <c:pt idx="173">
                  <c:v>48328</c:v>
                </c:pt>
                <c:pt idx="174">
                  <c:v>25892</c:v>
                </c:pt>
                <c:pt idx="175">
                  <c:v>57299</c:v>
                </c:pt>
                <c:pt idx="176">
                  <c:v>27073</c:v>
                </c:pt>
                <c:pt idx="177">
                  <c:v>46768</c:v>
                </c:pt>
                <c:pt idx="178">
                  <c:v>40682</c:v>
                </c:pt>
                <c:pt idx="179">
                  <c:v>42262</c:v>
                </c:pt>
                <c:pt idx="180">
                  <c:v>41358</c:v>
                </c:pt>
                <c:pt idx="181">
                  <c:v>24289</c:v>
                </c:pt>
                <c:pt idx="182">
                  <c:v>59823</c:v>
                </c:pt>
                <c:pt idx="183">
                  <c:v>17927</c:v>
                </c:pt>
                <c:pt idx="184">
                  <c:v>58330</c:v>
                </c:pt>
                <c:pt idx="185">
                  <c:v>11171</c:v>
                </c:pt>
                <c:pt idx="186">
                  <c:v>21918</c:v>
                </c:pt>
                <c:pt idx="187">
                  <c:v>51903</c:v>
                </c:pt>
                <c:pt idx="188">
                  <c:v>49110</c:v>
                </c:pt>
                <c:pt idx="189">
                  <c:v>21929</c:v>
                </c:pt>
                <c:pt idx="190">
                  <c:v>12539</c:v>
                </c:pt>
                <c:pt idx="191">
                  <c:v>46727</c:v>
                </c:pt>
                <c:pt idx="192">
                  <c:v>55951</c:v>
                </c:pt>
                <c:pt idx="193">
                  <c:v>32669</c:v>
                </c:pt>
                <c:pt idx="194">
                  <c:v>15432</c:v>
                </c:pt>
                <c:pt idx="195">
                  <c:v>30644</c:v>
                </c:pt>
                <c:pt idx="196">
                  <c:v>28745</c:v>
                </c:pt>
                <c:pt idx="197">
                  <c:v>38228</c:v>
                </c:pt>
                <c:pt idx="198">
                  <c:v>44521</c:v>
                </c:pt>
                <c:pt idx="199">
                  <c:v>41703</c:v>
                </c:pt>
              </c:numCache>
            </c:numRef>
          </c:xVal>
          <c:yVal>
            <c:numRef>
              <c:f>Correlation!$B$2:$B$201</c:f>
              <c:numCache>
                <c:formatCode>General</c:formatCode>
                <c:ptCount val="200"/>
                <c:pt idx="0">
                  <c:v>3777</c:v>
                </c:pt>
                <c:pt idx="1">
                  <c:v>7432</c:v>
                </c:pt>
                <c:pt idx="2">
                  <c:v>8123</c:v>
                </c:pt>
                <c:pt idx="3">
                  <c:v>7871</c:v>
                </c:pt>
                <c:pt idx="4">
                  <c:v>7215</c:v>
                </c:pt>
                <c:pt idx="5">
                  <c:v>7478</c:v>
                </c:pt>
                <c:pt idx="6">
                  <c:v>4934</c:v>
                </c:pt>
                <c:pt idx="7">
                  <c:v>3435</c:v>
                </c:pt>
                <c:pt idx="8">
                  <c:v>7452</c:v>
                </c:pt>
                <c:pt idx="9">
                  <c:v>6073</c:v>
                </c:pt>
                <c:pt idx="10">
                  <c:v>6728</c:v>
                </c:pt>
                <c:pt idx="11">
                  <c:v>5678</c:v>
                </c:pt>
                <c:pt idx="12">
                  <c:v>8654</c:v>
                </c:pt>
                <c:pt idx="13">
                  <c:v>4885</c:v>
                </c:pt>
                <c:pt idx="14">
                  <c:v>8653</c:v>
                </c:pt>
                <c:pt idx="15">
                  <c:v>6430</c:v>
                </c:pt>
                <c:pt idx="16">
                  <c:v>5442</c:v>
                </c:pt>
                <c:pt idx="17">
                  <c:v>8463</c:v>
                </c:pt>
                <c:pt idx="18">
                  <c:v>3202</c:v>
                </c:pt>
                <c:pt idx="19">
                  <c:v>2726</c:v>
                </c:pt>
                <c:pt idx="20">
                  <c:v>7151</c:v>
                </c:pt>
                <c:pt idx="21">
                  <c:v>1918</c:v>
                </c:pt>
                <c:pt idx="22">
                  <c:v>6236</c:v>
                </c:pt>
                <c:pt idx="23">
                  <c:v>3224</c:v>
                </c:pt>
                <c:pt idx="24">
                  <c:v>3586</c:v>
                </c:pt>
                <c:pt idx="25">
                  <c:v>7092</c:v>
                </c:pt>
                <c:pt idx="26">
                  <c:v>1826</c:v>
                </c:pt>
                <c:pt idx="27">
                  <c:v>1381</c:v>
                </c:pt>
                <c:pt idx="28">
                  <c:v>7429</c:v>
                </c:pt>
                <c:pt idx="29">
                  <c:v>7733</c:v>
                </c:pt>
                <c:pt idx="30">
                  <c:v>7974</c:v>
                </c:pt>
                <c:pt idx="31">
                  <c:v>9082</c:v>
                </c:pt>
                <c:pt idx="32">
                  <c:v>1741</c:v>
                </c:pt>
                <c:pt idx="33">
                  <c:v>5796</c:v>
                </c:pt>
                <c:pt idx="34">
                  <c:v>3445</c:v>
                </c:pt>
                <c:pt idx="35">
                  <c:v>6039</c:v>
                </c:pt>
                <c:pt idx="36">
                  <c:v>3213</c:v>
                </c:pt>
                <c:pt idx="37">
                  <c:v>3497</c:v>
                </c:pt>
                <c:pt idx="38">
                  <c:v>2543</c:v>
                </c:pt>
                <c:pt idx="39">
                  <c:v>4847</c:v>
                </c:pt>
                <c:pt idx="40">
                  <c:v>5795</c:v>
                </c:pt>
                <c:pt idx="41">
                  <c:v>6853</c:v>
                </c:pt>
                <c:pt idx="42">
                  <c:v>7033</c:v>
                </c:pt>
                <c:pt idx="43">
                  <c:v>7005</c:v>
                </c:pt>
                <c:pt idx="44">
                  <c:v>6920</c:v>
                </c:pt>
                <c:pt idx="45">
                  <c:v>5071</c:v>
                </c:pt>
                <c:pt idx="46">
                  <c:v>6915</c:v>
                </c:pt>
                <c:pt idx="47">
                  <c:v>4356</c:v>
                </c:pt>
                <c:pt idx="48">
                  <c:v>1513</c:v>
                </c:pt>
                <c:pt idx="49">
                  <c:v>5753</c:v>
                </c:pt>
                <c:pt idx="50">
                  <c:v>8231</c:v>
                </c:pt>
                <c:pt idx="51">
                  <c:v>5303</c:v>
                </c:pt>
                <c:pt idx="52">
                  <c:v>5520</c:v>
                </c:pt>
                <c:pt idx="53">
                  <c:v>1876</c:v>
                </c:pt>
                <c:pt idx="54">
                  <c:v>6593</c:v>
                </c:pt>
                <c:pt idx="55">
                  <c:v>8228</c:v>
                </c:pt>
                <c:pt idx="56">
                  <c:v>7442</c:v>
                </c:pt>
                <c:pt idx="57">
                  <c:v>9118</c:v>
                </c:pt>
                <c:pt idx="58">
                  <c:v>2495</c:v>
                </c:pt>
                <c:pt idx="59">
                  <c:v>6121</c:v>
                </c:pt>
                <c:pt idx="60">
                  <c:v>7224</c:v>
                </c:pt>
                <c:pt idx="61">
                  <c:v>2199</c:v>
                </c:pt>
                <c:pt idx="62">
                  <c:v>2084</c:v>
                </c:pt>
                <c:pt idx="63">
                  <c:v>3925</c:v>
                </c:pt>
                <c:pt idx="64">
                  <c:v>1309</c:v>
                </c:pt>
                <c:pt idx="65">
                  <c:v>4942</c:v>
                </c:pt>
                <c:pt idx="66">
                  <c:v>4027</c:v>
                </c:pt>
                <c:pt idx="67">
                  <c:v>7704</c:v>
                </c:pt>
                <c:pt idx="68">
                  <c:v>8361</c:v>
                </c:pt>
                <c:pt idx="69">
                  <c:v>5698</c:v>
                </c:pt>
                <c:pt idx="70">
                  <c:v>1543</c:v>
                </c:pt>
                <c:pt idx="71">
                  <c:v>2832</c:v>
                </c:pt>
                <c:pt idx="72">
                  <c:v>2421</c:v>
                </c:pt>
                <c:pt idx="73">
                  <c:v>6201</c:v>
                </c:pt>
                <c:pt idx="74">
                  <c:v>4147</c:v>
                </c:pt>
                <c:pt idx="75">
                  <c:v>4808</c:v>
                </c:pt>
                <c:pt idx="76">
                  <c:v>7767</c:v>
                </c:pt>
                <c:pt idx="77">
                  <c:v>7115</c:v>
                </c:pt>
                <c:pt idx="78">
                  <c:v>3011</c:v>
                </c:pt>
                <c:pt idx="79">
                  <c:v>5478</c:v>
                </c:pt>
                <c:pt idx="80">
                  <c:v>7565</c:v>
                </c:pt>
                <c:pt idx="81">
                  <c:v>6918</c:v>
                </c:pt>
                <c:pt idx="82">
                  <c:v>7921</c:v>
                </c:pt>
                <c:pt idx="83">
                  <c:v>8487</c:v>
                </c:pt>
                <c:pt idx="84">
                  <c:v>6439</c:v>
                </c:pt>
                <c:pt idx="85">
                  <c:v>6003</c:v>
                </c:pt>
                <c:pt idx="86">
                  <c:v>6452</c:v>
                </c:pt>
                <c:pt idx="87">
                  <c:v>8360</c:v>
                </c:pt>
                <c:pt idx="88">
                  <c:v>7218</c:v>
                </c:pt>
                <c:pt idx="89">
                  <c:v>3056</c:v>
                </c:pt>
                <c:pt idx="90">
                  <c:v>4942</c:v>
                </c:pt>
                <c:pt idx="91">
                  <c:v>1469</c:v>
                </c:pt>
                <c:pt idx="92">
                  <c:v>1017</c:v>
                </c:pt>
                <c:pt idx="93">
                  <c:v>8632</c:v>
                </c:pt>
                <c:pt idx="94">
                  <c:v>4882</c:v>
                </c:pt>
                <c:pt idx="95">
                  <c:v>5220</c:v>
                </c:pt>
                <c:pt idx="96">
                  <c:v>5206</c:v>
                </c:pt>
                <c:pt idx="97">
                  <c:v>6384</c:v>
                </c:pt>
                <c:pt idx="98">
                  <c:v>3179</c:v>
                </c:pt>
                <c:pt idx="99">
                  <c:v>6469</c:v>
                </c:pt>
                <c:pt idx="100">
                  <c:v>8485</c:v>
                </c:pt>
                <c:pt idx="101">
                  <c:v>6052</c:v>
                </c:pt>
                <c:pt idx="102">
                  <c:v>8945</c:v>
                </c:pt>
                <c:pt idx="103">
                  <c:v>5143</c:v>
                </c:pt>
                <c:pt idx="104">
                  <c:v>1369</c:v>
                </c:pt>
                <c:pt idx="105">
                  <c:v>5402</c:v>
                </c:pt>
                <c:pt idx="106">
                  <c:v>7630</c:v>
                </c:pt>
                <c:pt idx="107">
                  <c:v>3929</c:v>
                </c:pt>
                <c:pt idx="108">
                  <c:v>6642</c:v>
                </c:pt>
                <c:pt idx="109">
                  <c:v>3461</c:v>
                </c:pt>
                <c:pt idx="110">
                  <c:v>4790</c:v>
                </c:pt>
                <c:pt idx="111">
                  <c:v>949</c:v>
                </c:pt>
                <c:pt idx="112">
                  <c:v>3592</c:v>
                </c:pt>
                <c:pt idx="113">
                  <c:v>1210</c:v>
                </c:pt>
                <c:pt idx="114">
                  <c:v>8527</c:v>
                </c:pt>
                <c:pt idx="115">
                  <c:v>6275</c:v>
                </c:pt>
                <c:pt idx="116">
                  <c:v>1367</c:v>
                </c:pt>
                <c:pt idx="117">
                  <c:v>4314</c:v>
                </c:pt>
                <c:pt idx="118">
                  <c:v>6174</c:v>
                </c:pt>
                <c:pt idx="119">
                  <c:v>7328</c:v>
                </c:pt>
                <c:pt idx="120">
                  <c:v>8200</c:v>
                </c:pt>
                <c:pt idx="121">
                  <c:v>4214</c:v>
                </c:pt>
                <c:pt idx="122">
                  <c:v>8377</c:v>
                </c:pt>
                <c:pt idx="123">
                  <c:v>3079</c:v>
                </c:pt>
                <c:pt idx="124">
                  <c:v>9254</c:v>
                </c:pt>
                <c:pt idx="125">
                  <c:v>7668</c:v>
                </c:pt>
                <c:pt idx="126">
                  <c:v>8601</c:v>
                </c:pt>
                <c:pt idx="127">
                  <c:v>1534</c:v>
                </c:pt>
                <c:pt idx="128">
                  <c:v>7471</c:v>
                </c:pt>
                <c:pt idx="129">
                  <c:v>2919</c:v>
                </c:pt>
                <c:pt idx="130">
                  <c:v>7346</c:v>
                </c:pt>
                <c:pt idx="131">
                  <c:v>1001</c:v>
                </c:pt>
                <c:pt idx="132">
                  <c:v>8518</c:v>
                </c:pt>
                <c:pt idx="133">
                  <c:v>7421</c:v>
                </c:pt>
                <c:pt idx="134">
                  <c:v>4216</c:v>
                </c:pt>
                <c:pt idx="135">
                  <c:v>7654</c:v>
                </c:pt>
                <c:pt idx="136">
                  <c:v>7260</c:v>
                </c:pt>
                <c:pt idx="137">
                  <c:v>6361</c:v>
                </c:pt>
                <c:pt idx="138">
                  <c:v>5428</c:v>
                </c:pt>
                <c:pt idx="139">
                  <c:v>3643</c:v>
                </c:pt>
                <c:pt idx="140">
                  <c:v>3805</c:v>
                </c:pt>
                <c:pt idx="141">
                  <c:v>8128</c:v>
                </c:pt>
                <c:pt idx="142">
                  <c:v>8642</c:v>
                </c:pt>
                <c:pt idx="143">
                  <c:v>7958</c:v>
                </c:pt>
                <c:pt idx="144">
                  <c:v>3420</c:v>
                </c:pt>
                <c:pt idx="145">
                  <c:v>2525</c:v>
                </c:pt>
                <c:pt idx="146">
                  <c:v>1020</c:v>
                </c:pt>
                <c:pt idx="147">
                  <c:v>6677</c:v>
                </c:pt>
                <c:pt idx="148">
                  <c:v>1290</c:v>
                </c:pt>
                <c:pt idx="149">
                  <c:v>5101</c:v>
                </c:pt>
                <c:pt idx="150">
                  <c:v>5439</c:v>
                </c:pt>
                <c:pt idx="151">
                  <c:v>6029</c:v>
                </c:pt>
                <c:pt idx="152">
                  <c:v>9125</c:v>
                </c:pt>
                <c:pt idx="153">
                  <c:v>8979</c:v>
                </c:pt>
                <c:pt idx="154">
                  <c:v>6380</c:v>
                </c:pt>
                <c:pt idx="155">
                  <c:v>5962</c:v>
                </c:pt>
                <c:pt idx="156">
                  <c:v>6631</c:v>
                </c:pt>
                <c:pt idx="157">
                  <c:v>7432</c:v>
                </c:pt>
                <c:pt idx="158">
                  <c:v>2081</c:v>
                </c:pt>
                <c:pt idx="159">
                  <c:v>4245</c:v>
                </c:pt>
                <c:pt idx="160">
                  <c:v>8723</c:v>
                </c:pt>
                <c:pt idx="161">
                  <c:v>2994</c:v>
                </c:pt>
                <c:pt idx="162">
                  <c:v>3555</c:v>
                </c:pt>
                <c:pt idx="163">
                  <c:v>2535</c:v>
                </c:pt>
                <c:pt idx="164">
                  <c:v>7509</c:v>
                </c:pt>
                <c:pt idx="165">
                  <c:v>8292</c:v>
                </c:pt>
                <c:pt idx="166">
                  <c:v>4852</c:v>
                </c:pt>
                <c:pt idx="167">
                  <c:v>7367</c:v>
                </c:pt>
                <c:pt idx="168">
                  <c:v>9044</c:v>
                </c:pt>
                <c:pt idx="169">
                  <c:v>2848</c:v>
                </c:pt>
                <c:pt idx="170">
                  <c:v>4189</c:v>
                </c:pt>
                <c:pt idx="171">
                  <c:v>9335</c:v>
                </c:pt>
                <c:pt idx="172">
                  <c:v>6272</c:v>
                </c:pt>
                <c:pt idx="173">
                  <c:v>6128</c:v>
                </c:pt>
                <c:pt idx="174">
                  <c:v>1567</c:v>
                </c:pt>
                <c:pt idx="175">
                  <c:v>1660</c:v>
                </c:pt>
                <c:pt idx="176">
                  <c:v>6434</c:v>
                </c:pt>
                <c:pt idx="177">
                  <c:v>4542</c:v>
                </c:pt>
                <c:pt idx="178">
                  <c:v>8319</c:v>
                </c:pt>
                <c:pt idx="179">
                  <c:v>1425</c:v>
                </c:pt>
                <c:pt idx="180">
                  <c:v>7849</c:v>
                </c:pt>
                <c:pt idx="181">
                  <c:v>6368</c:v>
                </c:pt>
                <c:pt idx="182">
                  <c:v>4788</c:v>
                </c:pt>
                <c:pt idx="183">
                  <c:v>5990</c:v>
                </c:pt>
                <c:pt idx="184">
                  <c:v>5491</c:v>
                </c:pt>
                <c:pt idx="185">
                  <c:v>6425</c:v>
                </c:pt>
                <c:pt idx="186">
                  <c:v>7058</c:v>
                </c:pt>
                <c:pt idx="187">
                  <c:v>3096</c:v>
                </c:pt>
                <c:pt idx="188">
                  <c:v>1512</c:v>
                </c:pt>
                <c:pt idx="189">
                  <c:v>2926</c:v>
                </c:pt>
                <c:pt idx="190">
                  <c:v>7555</c:v>
                </c:pt>
                <c:pt idx="191">
                  <c:v>5456</c:v>
                </c:pt>
                <c:pt idx="192">
                  <c:v>893</c:v>
                </c:pt>
                <c:pt idx="193">
                  <c:v>5210</c:v>
                </c:pt>
                <c:pt idx="194">
                  <c:v>2067</c:v>
                </c:pt>
                <c:pt idx="195">
                  <c:v>7959</c:v>
                </c:pt>
                <c:pt idx="196">
                  <c:v>2805</c:v>
                </c:pt>
                <c:pt idx="197">
                  <c:v>7025</c:v>
                </c:pt>
                <c:pt idx="198">
                  <c:v>1121</c:v>
                </c:pt>
                <c:pt idx="199">
                  <c:v>7436</c:v>
                </c:pt>
              </c:numCache>
            </c:numRef>
          </c:yVal>
          <c:smooth val="0"/>
          <c:extLst>
            <c:ext xmlns:c16="http://schemas.microsoft.com/office/drawing/2014/chart" uri="{C3380CC4-5D6E-409C-BE32-E72D297353CC}">
              <c16:uniqueId val="{00000000-D189-4721-BE03-463D711D8BEA}"/>
            </c:ext>
          </c:extLst>
        </c:ser>
        <c:dLbls>
          <c:showLegendKey val="0"/>
          <c:showVal val="0"/>
          <c:showCatName val="0"/>
          <c:showSerName val="0"/>
          <c:showPercent val="0"/>
          <c:showBubbleSize val="0"/>
        </c:dLbls>
        <c:axId val="1669874808"/>
        <c:axId val="461484632"/>
      </c:scatterChart>
      <c:valAx>
        <c:axId val="16698748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ysClr val="windowText" lastClr="000000">
                        <a:lumMod val="65000"/>
                        <a:lumOff val="35000"/>
                      </a:sysClr>
                    </a:solidFill>
                  </a:rPr>
                  <a:t>Ad Spend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484632"/>
        <c:crosses val="autoZero"/>
        <c:crossBetween val="midCat"/>
      </c:valAx>
      <c:valAx>
        <c:axId val="461484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kern="1200" baseline="0">
                    <a:solidFill>
                      <a:sysClr val="windowText" lastClr="000000">
                        <a:lumMod val="65000"/>
                        <a:lumOff val="35000"/>
                      </a:sysClr>
                    </a:solidFill>
                  </a:rPr>
                  <a:t>Follower Growth</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8748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11</xdr:col>
      <xdr:colOff>762000</xdr:colOff>
      <xdr:row>314</xdr:row>
      <xdr:rowOff>184044</xdr:rowOff>
    </xdr:from>
    <xdr:ext cx="3619500" cy="1031693"/>
    <xdr:sp macro="" textlink="">
      <xdr:nvSpPr>
        <xdr:cNvPr id="2" name="TextBox 1">
          <a:extLst>
            <a:ext uri="{FF2B5EF4-FFF2-40B4-BE49-F238E27FC236}">
              <a16:creationId xmlns:a16="http://schemas.microsoft.com/office/drawing/2014/main" id="{BF8EB355-4ED7-BEE8-59F2-2E7E09575EB4}"/>
            </a:ext>
          </a:extLst>
        </xdr:cNvPr>
        <xdr:cNvSpPr txBox="1"/>
      </xdr:nvSpPr>
      <xdr:spPr>
        <a:xfrm rot="10800000" flipH="1" flipV="1">
          <a:off x="9867900" y="4832244"/>
          <a:ext cx="3619500" cy="1031693"/>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spAutoFit/>
        </a:bodyPr>
        <a:lstStyle/>
        <a:p>
          <a:r>
            <a:rPr lang="en-IN" sz="1200"/>
            <a:t>Apple should use these hashtags more as they generate more average clicks.</a:t>
          </a:r>
        </a:p>
        <a:p>
          <a:endParaRPr lang="en-IN" sz="1200"/>
        </a:p>
        <a:p>
          <a:r>
            <a:rPr lang="en-IN" sz="1200"/>
            <a:t>Also Apple Should use 2</a:t>
          </a:r>
          <a:r>
            <a:rPr lang="en-IN" sz="1200" baseline="0"/>
            <a:t> hashtags as all top post mostly have 2 hashtags</a:t>
          </a:r>
          <a:endParaRPr lang="en-IN" sz="12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1247773</xdr:colOff>
      <xdr:row>0</xdr:row>
      <xdr:rowOff>0</xdr:rowOff>
    </xdr:from>
    <xdr:to>
      <xdr:col>6</xdr:col>
      <xdr:colOff>781050</xdr:colOff>
      <xdr:row>13</xdr:row>
      <xdr:rowOff>0</xdr:rowOff>
    </xdr:to>
    <xdr:graphicFrame macro="">
      <xdr:nvGraphicFramePr>
        <xdr:cNvPr id="3" name="Chart 2">
          <a:extLst>
            <a:ext uri="{FF2B5EF4-FFF2-40B4-BE49-F238E27FC236}">
              <a16:creationId xmlns:a16="http://schemas.microsoft.com/office/drawing/2014/main" id="{6B231F3D-2755-C893-7A77-12B22B5228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609599</xdr:colOff>
      <xdr:row>0</xdr:row>
      <xdr:rowOff>0</xdr:rowOff>
    </xdr:from>
    <xdr:to>
      <xdr:col>16</xdr:col>
      <xdr:colOff>95250</xdr:colOff>
      <xdr:row>12</xdr:row>
      <xdr:rowOff>180974</xdr:rowOff>
    </xdr:to>
    <xdr:graphicFrame macro="">
      <xdr:nvGraphicFramePr>
        <xdr:cNvPr id="5" name="Chart 4">
          <a:extLst>
            <a:ext uri="{FF2B5EF4-FFF2-40B4-BE49-F238E27FC236}">
              <a16:creationId xmlns:a16="http://schemas.microsoft.com/office/drawing/2014/main" id="{1D9D1004-93ED-4EEC-BD2E-0ECDD98E1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9524</xdr:colOff>
      <xdr:row>17</xdr:row>
      <xdr:rowOff>185737</xdr:rowOff>
    </xdr:from>
    <xdr:to>
      <xdr:col>16</xdr:col>
      <xdr:colOff>0</xdr:colOff>
      <xdr:row>35</xdr:row>
      <xdr:rowOff>0</xdr:rowOff>
    </xdr:to>
    <xdr:graphicFrame macro="">
      <xdr:nvGraphicFramePr>
        <xdr:cNvPr id="7" name="Chart 6">
          <a:extLst>
            <a:ext uri="{FF2B5EF4-FFF2-40B4-BE49-F238E27FC236}">
              <a16:creationId xmlns:a16="http://schemas.microsoft.com/office/drawing/2014/main" id="{29EE5A95-1729-2E34-E814-1A848A83BA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35</xdr:row>
      <xdr:rowOff>9525</xdr:rowOff>
    </xdr:from>
    <xdr:to>
      <xdr:col>16</xdr:col>
      <xdr:colOff>9525</xdr:colOff>
      <xdr:row>37</xdr:row>
      <xdr:rowOff>95250</xdr:rowOff>
    </xdr:to>
    <xdr:sp macro="" textlink="">
      <xdr:nvSpPr>
        <xdr:cNvPr id="2" name="TextBox 1">
          <a:extLst>
            <a:ext uri="{FF2B5EF4-FFF2-40B4-BE49-F238E27FC236}">
              <a16:creationId xmlns:a16="http://schemas.microsoft.com/office/drawing/2014/main" id="{7E89CE1A-CF10-7554-6D69-D35F67C38014}"/>
            </a:ext>
          </a:extLst>
        </xdr:cNvPr>
        <xdr:cNvSpPr txBox="1"/>
      </xdr:nvSpPr>
      <xdr:spPr>
        <a:xfrm>
          <a:off x="8277225" y="6686550"/>
          <a:ext cx="5495925"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Instagram has Higher Ad spend and lowest engagement, while in other platforms the engagement and ad spend is relative.</a:t>
          </a:r>
          <a:r>
            <a:rPr lang="en-IN">
              <a:effectLst/>
            </a:rPr>
            <a:t> </a:t>
          </a:r>
          <a:endParaRPr lang="en-IN" sz="1100"/>
        </a:p>
      </xdr:txBody>
    </xdr:sp>
    <xdr:clientData/>
  </xdr:twoCellAnchor>
  <xdr:twoCellAnchor>
    <xdr:from>
      <xdr:col>0</xdr:col>
      <xdr:colOff>0</xdr:colOff>
      <xdr:row>33</xdr:row>
      <xdr:rowOff>9525</xdr:rowOff>
    </xdr:from>
    <xdr:to>
      <xdr:col>5</xdr:col>
      <xdr:colOff>1123950</xdr:colOff>
      <xdr:row>40</xdr:row>
      <xdr:rowOff>180975</xdr:rowOff>
    </xdr:to>
    <xdr:sp macro="" textlink="">
      <xdr:nvSpPr>
        <xdr:cNvPr id="4" name="TextBox 3">
          <a:extLst>
            <a:ext uri="{FF2B5EF4-FFF2-40B4-BE49-F238E27FC236}">
              <a16:creationId xmlns:a16="http://schemas.microsoft.com/office/drawing/2014/main" id="{96A68A77-85EE-20E6-F30E-712737643924}"/>
            </a:ext>
          </a:extLst>
        </xdr:cNvPr>
        <xdr:cNvSpPr txBox="1"/>
      </xdr:nvSpPr>
      <xdr:spPr>
        <a:xfrm>
          <a:off x="0" y="6305550"/>
          <a:ext cx="7010400" cy="1504950"/>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IN" sz="1200"/>
            <a:t>Apple should continue with the multi platform strategy as LinkedIn has the highest engagement among all platforms, while Instagram has seen lowest engagement but has highest follower growth among all platforms that is 46% . The lower engagement and follower and growth and engagement on YouTube and Twitter can be justified as ad spend on this platforms were lower than LinkedIn and Instagram.</a:t>
          </a:r>
        </a:p>
        <a:p>
          <a:endParaRPr lang="en-IN" sz="1200"/>
        </a:p>
        <a:p>
          <a:r>
            <a:rPr lang="en-IN" sz="1200"/>
            <a:t>Recommendation for Apple to go ahead with multi platform approach while distributing the budget evenly between platforms.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1276350</xdr:colOff>
      <xdr:row>28</xdr:row>
      <xdr:rowOff>180976</xdr:rowOff>
    </xdr:from>
    <xdr:to>
      <xdr:col>6</xdr:col>
      <xdr:colOff>1114425</xdr:colOff>
      <xdr:row>34</xdr:row>
      <xdr:rowOff>9526</xdr:rowOff>
    </xdr:to>
    <xdr:sp macro="" textlink="">
      <xdr:nvSpPr>
        <xdr:cNvPr id="2" name="TextBox 1">
          <a:extLst>
            <a:ext uri="{FF2B5EF4-FFF2-40B4-BE49-F238E27FC236}">
              <a16:creationId xmlns:a16="http://schemas.microsoft.com/office/drawing/2014/main" id="{9918D95C-9C3B-99B6-F0EB-BF39A9D84DBE}"/>
            </a:ext>
          </a:extLst>
        </xdr:cNvPr>
        <xdr:cNvSpPr txBox="1"/>
      </xdr:nvSpPr>
      <xdr:spPr>
        <a:xfrm>
          <a:off x="3438525" y="5524501"/>
          <a:ext cx="4581525" cy="971550"/>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IN" sz="1200"/>
            <a:t>1. On </a:t>
          </a:r>
          <a:r>
            <a:rPr lang="en-IN" sz="1200" b="1"/>
            <a:t>Instagram</a:t>
          </a:r>
          <a:r>
            <a:rPr lang="en-IN" sz="1200" b="0"/>
            <a:t>,</a:t>
          </a:r>
          <a:r>
            <a:rPr lang="en-IN" sz="1200" b="0" baseline="0"/>
            <a:t> </a:t>
          </a:r>
          <a:r>
            <a:rPr lang="en-IN" sz="1200" b="1"/>
            <a:t>Carousels</a:t>
          </a:r>
          <a:r>
            <a:rPr lang="en-IN" sz="1200"/>
            <a:t> have</a:t>
          </a:r>
          <a:r>
            <a:rPr lang="en-IN" sz="1200" baseline="0"/>
            <a:t> best performance</a:t>
          </a:r>
          <a:endParaRPr lang="en-IN" sz="1200"/>
        </a:p>
        <a:p>
          <a:r>
            <a:rPr lang="en-IN" sz="1200"/>
            <a:t>2.</a:t>
          </a:r>
          <a:r>
            <a:rPr lang="en-IN" sz="1200" baseline="0"/>
            <a:t> On </a:t>
          </a:r>
          <a:r>
            <a:rPr lang="en-IN" sz="1200" b="1" baseline="0"/>
            <a:t>LinkedIn</a:t>
          </a:r>
          <a:r>
            <a:rPr lang="en-IN" sz="1200" baseline="0"/>
            <a:t> we should majorily focus on </a:t>
          </a:r>
          <a:r>
            <a:rPr lang="en-IN" sz="1200" b="1" baseline="0"/>
            <a:t>Images</a:t>
          </a:r>
          <a:r>
            <a:rPr lang="en-IN" sz="1200" baseline="0"/>
            <a:t> and </a:t>
          </a:r>
          <a:r>
            <a:rPr lang="en-IN" sz="1200" b="1" baseline="0"/>
            <a:t>Videos</a:t>
          </a:r>
        </a:p>
        <a:p>
          <a:r>
            <a:rPr lang="en-IN" sz="1200" baseline="0"/>
            <a:t>3. On </a:t>
          </a:r>
          <a:r>
            <a:rPr lang="en-IN" sz="1200" b="1" baseline="0"/>
            <a:t>Twitter</a:t>
          </a:r>
          <a:r>
            <a:rPr lang="en-IN" sz="1200" baseline="0"/>
            <a:t> we should focus on </a:t>
          </a:r>
          <a:r>
            <a:rPr lang="en-IN" sz="1200" b="1" baseline="0"/>
            <a:t>Carousels</a:t>
          </a:r>
        </a:p>
        <a:p>
          <a:r>
            <a:rPr lang="en-IN" sz="1200" baseline="0"/>
            <a:t>4.On </a:t>
          </a:r>
          <a:r>
            <a:rPr lang="en-IN" sz="1200" b="1" baseline="0"/>
            <a:t>YouTube</a:t>
          </a:r>
          <a:r>
            <a:rPr lang="en-IN" sz="1200" baseline="0"/>
            <a:t> we should post more </a:t>
          </a:r>
          <a:r>
            <a:rPr lang="en-IN" sz="1200" b="1" baseline="0"/>
            <a:t>Videos</a:t>
          </a:r>
          <a:r>
            <a:rPr lang="en-IN" sz="1200" baseline="0"/>
            <a:t> and </a:t>
          </a:r>
          <a:r>
            <a:rPr lang="en-IN" sz="1200" b="1" baseline="0"/>
            <a:t>Carousels</a:t>
          </a:r>
          <a:endParaRPr lang="en-IN" sz="1200" b="1"/>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9524</xdr:colOff>
      <xdr:row>29</xdr:row>
      <xdr:rowOff>9524</xdr:rowOff>
    </xdr:from>
    <xdr:ext cx="5048251" cy="1323976"/>
    <xdr:sp macro="" textlink="">
      <xdr:nvSpPr>
        <xdr:cNvPr id="2" name="TextBox 1">
          <a:extLst>
            <a:ext uri="{FF2B5EF4-FFF2-40B4-BE49-F238E27FC236}">
              <a16:creationId xmlns:a16="http://schemas.microsoft.com/office/drawing/2014/main" id="{FD9C285E-7537-FA34-DD20-6EE458004740}"/>
            </a:ext>
          </a:extLst>
        </xdr:cNvPr>
        <xdr:cNvSpPr txBox="1"/>
      </xdr:nvSpPr>
      <xdr:spPr>
        <a:xfrm>
          <a:off x="7029449" y="5553074"/>
          <a:ext cx="5048251" cy="1323976"/>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noAutofit/>
        </a:bodyPr>
        <a:lstStyle/>
        <a:p>
          <a:r>
            <a:rPr lang="en-IN" sz="1400"/>
            <a:t>Insights</a:t>
          </a:r>
        </a:p>
        <a:p>
          <a:endParaRPr lang="en-IN" sz="1100"/>
        </a:p>
        <a:p>
          <a:r>
            <a:rPr lang="en-IN" sz="1100" b="1" i="0" u="none" strike="noStrike">
              <a:solidFill>
                <a:schemeClr val="tx1"/>
              </a:solidFill>
              <a:effectLst/>
              <a:latin typeface="+mn-lt"/>
              <a:ea typeface="+mn-ea"/>
              <a:cs typeface="+mn-cs"/>
            </a:rPr>
            <a:t>"Apple Watch Ultra 2 Launch</a:t>
          </a:r>
          <a:r>
            <a:rPr lang="en-IN" b="1">
              <a:effectLst/>
            </a:rPr>
            <a:t> " </a:t>
          </a:r>
          <a:r>
            <a:rPr lang="en-IN">
              <a:effectLst/>
            </a:rPr>
            <a:t>Campaign had</a:t>
          </a:r>
          <a:r>
            <a:rPr lang="en-IN" baseline="0">
              <a:effectLst/>
            </a:rPr>
            <a:t> </a:t>
          </a:r>
          <a:r>
            <a:rPr lang="en-IN" b="1" baseline="0">
              <a:effectLst/>
            </a:rPr>
            <a:t>Highest ROI.</a:t>
          </a:r>
        </a:p>
        <a:p>
          <a:endParaRPr lang="en-IN" baseline="0">
            <a:effectLst/>
          </a:endParaRPr>
        </a:p>
        <a:p>
          <a:endParaRPr lang="en-IN" baseline="0">
            <a:effectLst/>
          </a:endParaRPr>
        </a:p>
        <a:p>
          <a:r>
            <a:rPr lang="en-IN" sz="1100" b="1" i="0" u="none" strike="noStrike">
              <a:solidFill>
                <a:schemeClr val="tx1"/>
              </a:solidFill>
              <a:effectLst/>
              <a:latin typeface="+mn-lt"/>
              <a:ea typeface="+mn-ea"/>
              <a:cs typeface="+mn-cs"/>
            </a:rPr>
            <a:t>"</a:t>
          </a:r>
          <a:r>
            <a:rPr lang="en-IN" sz="1100" b="1" i="0" u="none" strike="noStrike">
              <a:solidFill>
                <a:schemeClr val="dk1"/>
              </a:solidFill>
              <a:effectLst/>
              <a:latin typeface="+mn-lt"/>
              <a:ea typeface="+mn-ea"/>
              <a:cs typeface="+mn-cs"/>
            </a:rPr>
            <a:t>Sustainability Awareness Drive</a:t>
          </a:r>
          <a:r>
            <a:rPr lang="en-IN" b="1">
              <a:effectLst/>
            </a:rPr>
            <a:t> " </a:t>
          </a:r>
          <a:r>
            <a:rPr lang="en-IN">
              <a:effectLst/>
            </a:rPr>
            <a:t>Campaign Drove the strongest </a:t>
          </a:r>
          <a:r>
            <a:rPr lang="en-IN" b="1">
              <a:effectLst/>
            </a:rPr>
            <a:t>follower growth.</a:t>
          </a:r>
          <a:endParaRPr lang="en-IN" b="1" baseline="0">
            <a:effectLst/>
          </a:endParaRPr>
        </a:p>
        <a:p>
          <a:endParaRPr lang="en-IN" sz="1100"/>
        </a:p>
        <a:p>
          <a:endParaRPr lang="en-IN" sz="1100"/>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5</xdr:col>
      <xdr:colOff>723899</xdr:colOff>
      <xdr:row>0</xdr:row>
      <xdr:rowOff>185736</xdr:rowOff>
    </xdr:from>
    <xdr:to>
      <xdr:col>25</xdr:col>
      <xdr:colOff>466726</xdr:colOff>
      <xdr:row>19</xdr:row>
      <xdr:rowOff>190499</xdr:rowOff>
    </xdr:to>
    <xdr:graphicFrame macro="">
      <xdr:nvGraphicFramePr>
        <xdr:cNvPr id="2" name="Chart 1">
          <a:extLst>
            <a:ext uri="{FF2B5EF4-FFF2-40B4-BE49-F238E27FC236}">
              <a16:creationId xmlns:a16="http://schemas.microsoft.com/office/drawing/2014/main" id="{1952FB1A-FAD9-3CD0-04AB-34B01FCB3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714375</xdr:colOff>
      <xdr:row>24</xdr:row>
      <xdr:rowOff>0</xdr:rowOff>
    </xdr:from>
    <xdr:to>
      <xdr:col>23</xdr:col>
      <xdr:colOff>485775</xdr:colOff>
      <xdr:row>46</xdr:row>
      <xdr:rowOff>171450</xdr:rowOff>
    </xdr:to>
    <xdr:graphicFrame macro="">
      <xdr:nvGraphicFramePr>
        <xdr:cNvPr id="3" name="Chart 2">
          <a:extLst>
            <a:ext uri="{FF2B5EF4-FFF2-40B4-BE49-F238E27FC236}">
              <a16:creationId xmlns:a16="http://schemas.microsoft.com/office/drawing/2014/main" id="{44A99746-FAF9-43F6-9020-CD96442D8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723900</xdr:colOff>
      <xdr:row>20</xdr:row>
      <xdr:rowOff>9525</xdr:rowOff>
    </xdr:from>
    <xdr:to>
      <xdr:col>23</xdr:col>
      <xdr:colOff>400050</xdr:colOff>
      <xdr:row>21</xdr:row>
      <xdr:rowOff>152400</xdr:rowOff>
    </xdr:to>
    <xdr:sp macro="" textlink="">
      <xdr:nvSpPr>
        <xdr:cNvPr id="6" name="TextBox 5">
          <a:extLst>
            <a:ext uri="{FF2B5EF4-FFF2-40B4-BE49-F238E27FC236}">
              <a16:creationId xmlns:a16="http://schemas.microsoft.com/office/drawing/2014/main" id="{D34F62DC-0C36-D6B4-AD12-8C50A2CC0F00}"/>
            </a:ext>
          </a:extLst>
        </xdr:cNvPr>
        <xdr:cNvSpPr txBox="1"/>
      </xdr:nvSpPr>
      <xdr:spPr>
        <a:xfrm>
          <a:off x="4819650" y="3819525"/>
          <a:ext cx="10791825" cy="33337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aseline="0">
              <a:solidFill>
                <a:schemeClr val="dk1"/>
              </a:solidFill>
              <a:effectLst/>
              <a:latin typeface="+mn-lt"/>
              <a:ea typeface="+mn-ea"/>
              <a:cs typeface="+mn-cs"/>
            </a:rPr>
            <a:t>14th april 2025 was Peak week for Follower Growth with </a:t>
          </a:r>
          <a:r>
            <a:rPr lang="en-IN" sz="1200" b="0" i="0" baseline="0">
              <a:solidFill>
                <a:schemeClr val="dk1"/>
              </a:solidFill>
              <a:effectLst/>
              <a:latin typeface="+mn-lt"/>
              <a:ea typeface="+mn-ea"/>
              <a:cs typeface="+mn-cs"/>
            </a:rPr>
            <a:t>24995</a:t>
          </a:r>
          <a:r>
            <a:rPr lang="en-IN" sz="1200">
              <a:solidFill>
                <a:schemeClr val="dk1"/>
              </a:solidFill>
              <a:effectLst/>
              <a:latin typeface="+mn-lt"/>
              <a:ea typeface="+mn-ea"/>
              <a:cs typeface="+mn-cs"/>
            </a:rPr>
            <a:t> followers</a:t>
          </a:r>
          <a:r>
            <a:rPr lang="en-IN" sz="1200" baseline="0">
              <a:solidFill>
                <a:schemeClr val="dk1"/>
              </a:solidFill>
              <a:effectLst/>
              <a:latin typeface="+mn-lt"/>
              <a:ea typeface="+mn-ea"/>
              <a:cs typeface="+mn-cs"/>
            </a:rPr>
            <a:t> on LinkedIn</a:t>
          </a:r>
          <a:endParaRPr lang="en-IN" sz="1200">
            <a:effectLst/>
          </a:endParaRPr>
        </a:p>
        <a:p>
          <a:endParaRPr lang="en-IN" sz="1200"/>
        </a:p>
      </xdr:txBody>
    </xdr:sp>
    <xdr:clientData/>
  </xdr:twoCellAnchor>
  <xdr:twoCellAnchor>
    <xdr:from>
      <xdr:col>5</xdr:col>
      <xdr:colOff>714375</xdr:colOff>
      <xdr:row>47</xdr:row>
      <xdr:rowOff>19049</xdr:rowOff>
    </xdr:from>
    <xdr:to>
      <xdr:col>23</xdr:col>
      <xdr:colOff>47625</xdr:colOff>
      <xdr:row>50</xdr:row>
      <xdr:rowOff>180974</xdr:rowOff>
    </xdr:to>
    <xdr:sp macro="" textlink="">
      <xdr:nvSpPr>
        <xdr:cNvPr id="7" name="TextBox 6">
          <a:extLst>
            <a:ext uri="{FF2B5EF4-FFF2-40B4-BE49-F238E27FC236}">
              <a16:creationId xmlns:a16="http://schemas.microsoft.com/office/drawing/2014/main" id="{FEA9B720-74AF-2F08-E62F-278AEA7AC301}"/>
            </a:ext>
          </a:extLst>
        </xdr:cNvPr>
        <xdr:cNvSpPr txBox="1"/>
      </xdr:nvSpPr>
      <xdr:spPr>
        <a:xfrm>
          <a:off x="4810125" y="8972549"/>
          <a:ext cx="10448925" cy="73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Analysing the trend line  </a:t>
          </a:r>
          <a:r>
            <a:rPr lang="en-IN" b="1"/>
            <a:t>LinkedIn</a:t>
          </a:r>
          <a:r>
            <a:rPr lang="en-IN"/>
            <a:t> is your highest-return platform in 2025, And </a:t>
          </a:r>
          <a:r>
            <a:rPr lang="en-IN" b="1"/>
            <a:t>Twitter</a:t>
          </a:r>
          <a:r>
            <a:rPr lang="en-IN" baseline="0"/>
            <a:t> is capable of higher Spikes in Engagement but it is Unpredictable.</a:t>
          </a:r>
          <a:endParaRPr lang="en-IN">
            <a:effectLst/>
          </a:endParaRPr>
        </a:p>
        <a:p>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2</xdr:row>
      <xdr:rowOff>0</xdr:rowOff>
    </xdr:from>
    <xdr:to>
      <xdr:col>17</xdr:col>
      <xdr:colOff>581025</xdr:colOff>
      <xdr:row>23</xdr:row>
      <xdr:rowOff>161925</xdr:rowOff>
    </xdr:to>
    <xdr:graphicFrame macro="">
      <xdr:nvGraphicFramePr>
        <xdr:cNvPr id="3" name="Chart 2">
          <a:extLst>
            <a:ext uri="{FF2B5EF4-FFF2-40B4-BE49-F238E27FC236}">
              <a16:creationId xmlns:a16="http://schemas.microsoft.com/office/drawing/2014/main" id="{D43C8940-A423-43C6-AFEE-B77D0526D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28574</xdr:colOff>
      <xdr:row>24</xdr:row>
      <xdr:rowOff>19050</xdr:rowOff>
    </xdr:from>
    <xdr:to>
      <xdr:col>17</xdr:col>
      <xdr:colOff>609599</xdr:colOff>
      <xdr:row>26</xdr:row>
      <xdr:rowOff>104775</xdr:rowOff>
    </xdr:to>
    <xdr:sp macro="" textlink="">
      <xdr:nvSpPr>
        <xdr:cNvPr id="4" name="TextBox 3">
          <a:extLst>
            <a:ext uri="{FF2B5EF4-FFF2-40B4-BE49-F238E27FC236}">
              <a16:creationId xmlns:a16="http://schemas.microsoft.com/office/drawing/2014/main" id="{8CC80A79-DAF7-AB9F-921B-880323C655B9}"/>
            </a:ext>
          </a:extLst>
        </xdr:cNvPr>
        <xdr:cNvSpPr txBox="1"/>
      </xdr:nvSpPr>
      <xdr:spPr>
        <a:xfrm>
          <a:off x="3000374" y="4591050"/>
          <a:ext cx="8505825"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There</a:t>
          </a:r>
          <a:r>
            <a:rPr lang="en-IN" sz="1100" baseline="0">
              <a:solidFill>
                <a:schemeClr val="dk1"/>
              </a:solidFill>
              <a:effectLst/>
              <a:latin typeface="+mn-lt"/>
              <a:ea typeface="+mn-ea"/>
              <a:cs typeface="+mn-cs"/>
            </a:rPr>
            <a:t> is no Strong correlation between Ad spend and Follower Growth. Hence, Spending more does not gurantee Higher follower growth</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0.831499652777" createdVersion="8" refreshedVersion="8" minRefreshableVersion="3" recordCount="300" xr:uid="{3EDFD0F8-E6DE-411B-8FF7-BC1FA8E8CC06}">
  <cacheSource type="worksheet">
    <worksheetSource ref="A1:N301" sheet="Posts"/>
  </cacheSource>
  <cacheFields count="14">
    <cacheField name="PostID" numFmtId="0">
      <sharedItems count="300">
        <s v="A1"/>
        <s v="A2"/>
        <s v="A3"/>
        <s v="A4"/>
        <s v="A5"/>
        <s v="A6"/>
        <s v="A7"/>
        <s v="A8"/>
        <s v="A9"/>
        <s v="A10"/>
        <s v="A11"/>
        <s v="A12"/>
        <s v="A13"/>
        <s v="A14"/>
        <s v="A15"/>
        <s v="A16"/>
        <s v="A17"/>
        <s v="A18"/>
        <s v="A19"/>
        <s v="A20"/>
        <s v="A21"/>
        <s v="A22"/>
        <s v="A23"/>
        <s v="A24"/>
        <s v="A25"/>
        <s v="A26"/>
        <s v="A27"/>
        <s v="A28"/>
        <s v="A29"/>
        <s v="A30"/>
        <s v="A31"/>
        <s v="A32"/>
        <s v="A33"/>
        <s v="A34"/>
        <s v="A35"/>
        <s v="A36"/>
        <s v="A37"/>
        <s v="A38"/>
        <s v="A39"/>
        <s v="A40"/>
        <s v="A41"/>
        <s v="A42"/>
        <s v="A43"/>
        <s v="A44"/>
        <s v="A45"/>
        <s v="A46"/>
        <s v="A47"/>
        <s v="A48"/>
        <s v="A49"/>
        <s v="A50"/>
        <s v="A51"/>
        <s v="A52"/>
        <s v="A53"/>
        <s v="A54"/>
        <s v="A55"/>
        <s v="A56"/>
        <s v="A57"/>
        <s v="A58"/>
        <s v="A59"/>
        <s v="A60"/>
        <s v="A61"/>
        <s v="A62"/>
        <s v="A63"/>
        <s v="A64"/>
        <s v="A65"/>
        <s v="A66"/>
        <s v="A67"/>
        <s v="A68"/>
        <s v="A69"/>
        <s v="A70"/>
        <s v="A71"/>
        <s v="A72"/>
        <s v="A73"/>
        <s v="A74"/>
        <s v="A75"/>
        <s v="A76"/>
        <s v="A77"/>
        <s v="A78"/>
        <s v="A79"/>
        <s v="A80"/>
        <s v="A81"/>
        <s v="A82"/>
        <s v="A83"/>
        <s v="A84"/>
        <s v="A85"/>
        <s v="A86"/>
        <s v="A87"/>
        <s v="A88"/>
        <s v="A89"/>
        <s v="A90"/>
        <s v="A91"/>
        <s v="A92"/>
        <s v="A93"/>
        <s v="A94"/>
        <s v="A95"/>
        <s v="A96"/>
        <s v="A97"/>
        <s v="A98"/>
        <s v="A99"/>
        <s v="A100"/>
        <s v="A101"/>
        <s v="A102"/>
        <s v="A103"/>
        <s v="A104"/>
        <s v="A105"/>
        <s v="A106"/>
        <s v="A107"/>
        <s v="A108"/>
        <s v="A109"/>
        <s v="A110"/>
        <s v="A111"/>
        <s v="A112"/>
        <s v="A113"/>
        <s v="A114"/>
        <s v="A115"/>
        <s v="A116"/>
        <s v="A117"/>
        <s v="A118"/>
        <s v="A119"/>
        <s v="A120"/>
        <s v="A121"/>
        <s v="A122"/>
        <s v="A123"/>
        <s v="A124"/>
        <s v="A125"/>
        <s v="A126"/>
        <s v="A127"/>
        <s v="A128"/>
        <s v="A129"/>
        <s v="A130"/>
        <s v="A131"/>
        <s v="A132"/>
        <s v="A133"/>
        <s v="A134"/>
        <s v="A135"/>
        <s v="A136"/>
        <s v="A137"/>
        <s v="A138"/>
        <s v="A139"/>
        <s v="A140"/>
        <s v="A141"/>
        <s v="A142"/>
        <s v="A143"/>
        <s v="A144"/>
        <s v="A145"/>
        <s v="A146"/>
        <s v="A147"/>
        <s v="A148"/>
        <s v="A149"/>
        <s v="A150"/>
        <s v="A151"/>
        <s v="A152"/>
        <s v="A153"/>
        <s v="A154"/>
        <s v="A155"/>
        <s v="A156"/>
        <s v="A157"/>
        <s v="A158"/>
        <s v="A159"/>
        <s v="A160"/>
        <s v="A161"/>
        <s v="A162"/>
        <s v="A163"/>
        <s v="A164"/>
        <s v="A165"/>
        <s v="A166"/>
        <s v="A167"/>
        <s v="A168"/>
        <s v="A169"/>
        <s v="A170"/>
        <s v="A171"/>
        <s v="A172"/>
        <s v="A173"/>
        <s v="A174"/>
        <s v="A175"/>
        <s v="A176"/>
        <s v="A177"/>
        <s v="A178"/>
        <s v="A179"/>
        <s v="A180"/>
        <s v="A181"/>
        <s v="A182"/>
        <s v="A183"/>
        <s v="A184"/>
        <s v="A185"/>
        <s v="A186"/>
        <s v="A187"/>
        <s v="A188"/>
        <s v="A189"/>
        <s v="A190"/>
        <s v="A191"/>
        <s v="A192"/>
        <s v="A193"/>
        <s v="A194"/>
        <s v="A195"/>
        <s v="A196"/>
        <s v="A197"/>
        <s v="A198"/>
        <s v="A199"/>
        <s v="A200"/>
        <s v="A201"/>
        <s v="A202"/>
        <s v="A203"/>
        <s v="A204"/>
        <s v="A205"/>
        <s v="A206"/>
        <s v="A207"/>
        <s v="A208"/>
        <s v="A209"/>
        <s v="A210"/>
        <s v="A211"/>
        <s v="A212"/>
        <s v="A213"/>
        <s v="A214"/>
        <s v="A215"/>
        <s v="A216"/>
        <s v="A217"/>
        <s v="A218"/>
        <s v="A219"/>
        <s v="A220"/>
        <s v="A221"/>
        <s v="A222"/>
        <s v="A223"/>
        <s v="A224"/>
        <s v="A225"/>
        <s v="A226"/>
        <s v="A227"/>
        <s v="A228"/>
        <s v="A229"/>
        <s v="A230"/>
        <s v="A231"/>
        <s v="A232"/>
        <s v="A233"/>
        <s v="A234"/>
        <s v="A235"/>
        <s v="A236"/>
        <s v="A237"/>
        <s v="A238"/>
        <s v="A239"/>
        <s v="A240"/>
        <s v="A241"/>
        <s v="A242"/>
        <s v="A243"/>
        <s v="A244"/>
        <s v="A245"/>
        <s v="A246"/>
        <s v="A247"/>
        <s v="A248"/>
        <s v="A249"/>
        <s v="A250"/>
        <s v="A251"/>
        <s v="A252"/>
        <s v="A253"/>
        <s v="A254"/>
        <s v="A255"/>
        <s v="A256"/>
        <s v="A257"/>
        <s v="A258"/>
        <s v="A259"/>
        <s v="A260"/>
        <s v="A261"/>
        <s v="A262"/>
        <s v="A263"/>
        <s v="A264"/>
        <s v="A265"/>
        <s v="A266"/>
        <s v="A267"/>
        <s v="A268"/>
        <s v="A269"/>
        <s v="A270"/>
        <s v="A271"/>
        <s v="A272"/>
        <s v="A273"/>
        <s v="A274"/>
        <s v="A275"/>
        <s v="A276"/>
        <s v="A277"/>
        <s v="A278"/>
        <s v="A279"/>
        <s v="A280"/>
        <s v="A281"/>
        <s v="A282"/>
        <s v="A283"/>
        <s v="A284"/>
        <s v="A285"/>
        <s v="A286"/>
        <s v="A287"/>
        <s v="A288"/>
        <s v="A289"/>
        <s v="A290"/>
        <s v="A291"/>
        <s v="A292"/>
        <s v="A293"/>
        <s v="A294"/>
        <s v="A295"/>
        <s v="A296"/>
        <s v="A297"/>
        <s v="A298"/>
        <s v="A299"/>
        <s v="A300"/>
      </sharedItems>
    </cacheField>
    <cacheField name="Platform" numFmtId="0">
      <sharedItems count="4">
        <s v="YouTube"/>
        <s v="LinkedIn"/>
        <s v="Instagram"/>
        <s v="Twitter"/>
      </sharedItems>
    </cacheField>
    <cacheField name="Date" numFmtId="14">
      <sharedItems containsSemiMixedTypes="0" containsNonDate="0" containsDate="1" containsString="0" minDate="2024-06-01T00:00:00" maxDate="2025-10-16T00:00:00"/>
    </cacheField>
    <cacheField name="ContentType" numFmtId="0">
      <sharedItems count="4">
        <s v="Image"/>
        <s v="Tweet"/>
        <s v="Video"/>
        <s v="Carousel"/>
      </sharedItems>
    </cacheField>
    <cacheField name="Hashtags.1" numFmtId="0">
      <sharedItems count="11">
        <s v="#AppleWatchUltra2"/>
        <s v="#MacBookAirM3"/>
        <s v="#AppleDesign"/>
        <s v="#AppleEvent"/>
        <s v="#ShotOniPhone"/>
        <s v="#AppleMusic"/>
        <s v="#AppleWatch"/>
        <s v="#iPhone16Launch"/>
        <s v="#iPhonePhotography"/>
        <s v="#MacBookProM3"/>
        <s v="#Sustainability"/>
      </sharedItems>
    </cacheField>
    <cacheField name="Hashtags.2" numFmtId="0">
      <sharedItems containsBlank="1" count="11">
        <s v="#HealthTech"/>
        <s v="#AppleInnovation"/>
        <s v="#Innovation"/>
        <s v="#iPadPro"/>
        <m/>
        <s v="#AppleLifestyle"/>
        <s v="#Health"/>
        <s v="#AppleEvent"/>
        <s v="#iPhone16"/>
        <s v="#ShotOniPhone"/>
        <s v="#AppleEarth"/>
      </sharedItems>
    </cacheField>
    <cacheField name="Likes" numFmtId="0">
      <sharedItems containsSemiMixedTypes="0" containsString="0" containsNumber="1" containsInteger="1" minValue="2009" maxValue="24984"/>
    </cacheField>
    <cacheField name="Shares" numFmtId="0">
      <sharedItems containsSemiMixedTypes="0" containsString="0" containsNumber="1" containsInteger="1" minValue="203" maxValue="1487"/>
    </cacheField>
    <cacheField name="Comments" numFmtId="0">
      <sharedItems containsSemiMixedTypes="0" containsString="0" containsNumber="1" containsInteger="1" minValue="152" maxValue="999"/>
    </cacheField>
    <cacheField name="Clicks" numFmtId="0">
      <sharedItems containsSemiMixedTypes="0" containsString="0" containsNumber="1" containsInteger="1" minValue="301" maxValue="2936"/>
    </cacheField>
    <cacheField name="Reach" numFmtId="0">
      <sharedItems containsSemiMixedTypes="0" containsString="0" containsNumber="1" containsInteger="1" minValue="7" maxValue="97772"/>
    </cacheField>
    <cacheField name="Impressions" numFmtId="0">
      <sharedItems containsSemiMixedTypes="0" containsString="0" containsNumber="1" containsInteger="1" minValue="40281" maxValue="249988"/>
    </cacheField>
    <cacheField name="Campaign" numFmtId="0">
      <sharedItems/>
    </cacheField>
    <cacheField name="Engagement Rate" numFmtId="164">
      <sharedItems containsSemiMixedTypes="0" containsString="0" containsNumber="1" minValue="1.6616512501514722E-2" maxValue="0.4905410556302284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1.937945601851" createdVersion="8" refreshedVersion="8" minRefreshableVersion="3" recordCount="50" xr:uid="{CB7F1AEC-C8EF-4468-B96D-2ED56C98FC55}">
  <cacheSource type="worksheet">
    <worksheetSource ref="A1:H51" sheet="Engagement Summary"/>
  </cacheSource>
  <cacheFields count="11">
    <cacheField name="Week_Start_Date" numFmtId="14">
      <sharedItems containsSemiMixedTypes="0" containsNonDate="0" containsDate="1" containsString="0" minDate="2024-06-03T00:00:00" maxDate="2025-05-13T00:00:00" count="50">
        <d v="2024-06-03T00:00:00"/>
        <d v="2024-06-10T00:00:00"/>
        <d v="2024-06-17T00:00:00"/>
        <d v="2024-07-15T00:00:00"/>
        <d v="2024-08-05T00:00:00"/>
        <d v="2024-08-19T00:00:00"/>
        <d v="2024-09-02T00:00:00"/>
        <d v="2024-09-09T00:00:00"/>
        <d v="2024-09-23T00:00:00"/>
        <d v="2024-09-30T00:00:00"/>
        <d v="2024-10-21T00:00:00"/>
        <d v="2024-11-18T00:00:00"/>
        <d v="2024-11-25T00:00:00"/>
        <d v="2024-12-02T00:00:00"/>
        <d v="2024-12-16T00:00:00"/>
        <d v="2025-02-24T00:00:00"/>
        <d v="2025-04-21T00:00:00"/>
        <d v="2025-05-12T00:00:00"/>
        <d v="2024-07-01T00:00:00"/>
        <d v="2024-07-22T00:00:00"/>
        <d v="2024-07-29T00:00:00"/>
        <d v="2024-08-26T00:00:00"/>
        <d v="2024-10-07T00:00:00"/>
        <d v="2024-12-23T00:00:00"/>
        <d v="2024-12-30T00:00:00"/>
        <d v="2025-01-06T00:00:00"/>
        <d v="2025-01-13T00:00:00"/>
        <d v="2025-01-27T00:00:00"/>
        <d v="2025-02-10T00:00:00"/>
        <d v="2025-03-17T00:00:00"/>
        <d v="2025-03-24T00:00:00"/>
        <d v="2025-04-14T00:00:00"/>
        <d v="2025-04-28T00:00:00"/>
        <d v="2025-05-05T00:00:00"/>
        <d v="2024-06-24T00:00:00"/>
        <d v="2024-07-08T00:00:00"/>
        <d v="2024-08-12T00:00:00"/>
        <d v="2024-10-14T00:00:00"/>
        <d v="2024-11-04T00:00:00"/>
        <d v="2024-11-11T00:00:00"/>
        <d v="2024-12-09T00:00:00"/>
        <d v="2025-01-20T00:00:00"/>
        <d v="2025-02-17T00:00:00"/>
        <d v="2025-03-10T00:00:00"/>
        <d v="2025-03-31T00:00:00"/>
        <d v="2024-09-16T00:00:00"/>
        <d v="2024-10-28T00:00:00"/>
        <d v="2025-02-03T00:00:00"/>
        <d v="2025-03-03T00:00:00"/>
        <d v="2025-04-07T00:00:00"/>
      </sharedItems>
      <fieldGroup par="10"/>
    </cacheField>
    <cacheField name="Platform" numFmtId="0">
      <sharedItems count="4">
        <s v="Instagram"/>
        <s v="LinkedIn"/>
        <s v="Twitter"/>
        <s v="YouTube"/>
      </sharedItems>
    </cacheField>
    <cacheField name="New_Followers" numFmtId="0">
      <sharedItems containsSemiMixedTypes="0" containsString="0" containsNumber="1" containsInteger="1" minValue="1038" maxValue="9984"/>
    </cacheField>
    <cacheField name="Unfollows" numFmtId="0">
      <sharedItems containsSemiMixedTypes="0" containsString="0" containsNumber="1" containsInteger="1" minValue="75" maxValue="1330"/>
    </cacheField>
    <cacheField name="Total_Followers" numFmtId="0">
      <sharedItems containsSemiMixedTypes="0" containsString="0" containsNumber="1" containsInteger="1" minValue="103777" maxValue="1170816"/>
    </cacheField>
    <cacheField name="Engagement_Rate" numFmtId="0">
      <sharedItems containsSemiMixedTypes="0" containsString="0" containsNumber="1" minValue="1.525036393488727" maxValue="57.524479307546663"/>
    </cacheField>
    <cacheField name="Ad_Spend" numFmtId="0">
      <sharedItems containsSemiMixedTypes="0" containsString="0" containsNumber="1" containsInteger="1" minValue="12096" maxValue="58831"/>
    </cacheField>
    <cacheField name="Growth rate" numFmtId="10">
      <sharedItems containsSemiMixedTypes="0" containsString="0" containsNumber="1" minValue="7.7465246904209403E-4" maxValue="5.3675846984778827E-2"/>
    </cacheField>
    <cacheField name="Months (Week_Start_Date)" numFmtId="0" databaseField="0">
      <fieldGroup base="0">
        <rangePr groupBy="months" startDate="2024-06-03T00:00:00" endDate="2025-05-13T00:00:00"/>
        <groupItems count="14">
          <s v="&lt;03-06-2024"/>
          <s v="Jan"/>
          <s v="Feb"/>
          <s v="Mar"/>
          <s v="Apr"/>
          <s v="May"/>
          <s v="Jun"/>
          <s v="Jul"/>
          <s v="Aug"/>
          <s v="Sep"/>
          <s v="Oct"/>
          <s v="Nov"/>
          <s v="Dec"/>
          <s v="&gt;13-05-2025"/>
        </groupItems>
      </fieldGroup>
    </cacheField>
    <cacheField name="Quarters (Week_Start_Date)" numFmtId="0" databaseField="0">
      <fieldGroup base="0">
        <rangePr groupBy="quarters" startDate="2024-06-03T00:00:00" endDate="2025-05-13T00:00:00"/>
        <groupItems count="6">
          <s v="&lt;03-06-2024"/>
          <s v="Qtr1"/>
          <s v="Qtr2"/>
          <s v="Qtr3"/>
          <s v="Qtr4"/>
          <s v="&gt;13-05-2025"/>
        </groupItems>
      </fieldGroup>
    </cacheField>
    <cacheField name="Years (Week_Start_Date)" numFmtId="0" databaseField="0">
      <fieldGroup base="0">
        <rangePr groupBy="years" startDate="2024-06-03T00:00:00" endDate="2025-05-13T00:00:00"/>
        <groupItems count="4">
          <s v="&lt;03-06-2024"/>
          <s v="2024"/>
          <s v="2025"/>
          <s v="&gt;13-05-20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2.608083449071" createdVersion="8" refreshedVersion="8" minRefreshableVersion="3" recordCount="300" xr:uid="{40630C11-E8A5-4126-AB7A-D8DAF81E75A6}">
  <cacheSource type="worksheet">
    <worksheetSource name="Table2"/>
  </cacheSource>
  <cacheFields count="20">
    <cacheField name="PostID" numFmtId="0">
      <sharedItems/>
    </cacheField>
    <cacheField name="Platform" numFmtId="0">
      <sharedItems count="4">
        <s v="YouTube"/>
        <s v="LinkedIn"/>
        <s v="Instagram"/>
        <s v="Twitter"/>
      </sharedItems>
    </cacheField>
    <cacheField name="Date" numFmtId="14">
      <sharedItems containsSemiMixedTypes="0" containsNonDate="0" containsDate="1" containsString="0" minDate="2024-06-01T00:00:00" maxDate="2025-10-16T00:00:00" count="210">
        <d v="2024-12-23T00:00:00"/>
        <d v="2025-09-03T00:00:00"/>
        <d v="2025-05-12T00:00:00"/>
        <d v="2024-08-12T00:00:00"/>
        <d v="2025-09-04T00:00:00"/>
        <d v="2025-09-05T00:00:00"/>
        <d v="2024-06-24T00:00:00"/>
        <d v="2024-07-13T00:00:00"/>
        <d v="2024-08-30T00:00:00"/>
        <d v="2025-03-11T00:00:00"/>
        <d v="2025-02-02T00:00:00"/>
        <d v="2024-07-21T00:00:00"/>
        <d v="2024-11-18T00:00:00"/>
        <d v="2025-09-06T00:00:00"/>
        <d v="2025-09-07T00:00:00"/>
        <d v="2024-08-26T00:00:00"/>
        <d v="2025-05-05T00:00:00"/>
        <d v="2024-08-19T00:00:00"/>
        <d v="2024-06-23T00:00:00"/>
        <d v="2024-09-09T00:00:00"/>
        <d v="2025-09-08T00:00:00"/>
        <d v="2025-02-27T00:00:00"/>
        <d v="2024-11-06T00:00:00"/>
        <d v="2025-01-23T00:00:00"/>
        <d v="2025-09-09T00:00:00"/>
        <d v="2025-04-05T00:00:00"/>
        <d v="2024-09-17T00:00:00"/>
        <d v="2025-03-04T00:00:00"/>
        <d v="2025-09-10T00:00:00"/>
        <d v="2025-02-25T00:00:00"/>
        <d v="2024-12-16T00:00:00"/>
        <d v="2024-07-31T00:00:00"/>
        <d v="2025-09-11T00:00:00"/>
        <d v="2025-09-12T00:00:00"/>
        <d v="2024-11-30T00:00:00"/>
        <d v="2025-04-19T00:00:00"/>
        <d v="2025-01-06T00:00:00"/>
        <d v="2025-02-17T00:00:00"/>
        <d v="2025-09-13T00:00:00"/>
        <d v="2025-09-14T00:00:00"/>
        <d v="2025-09-15T00:00:00"/>
        <d v="2025-03-05T00:00:00"/>
        <d v="2025-09-16T00:00:00"/>
        <d v="2025-03-02T00:00:00"/>
        <d v="2025-09-17T00:00:00"/>
        <d v="2025-05-02T00:00:00"/>
        <d v="2025-02-24T00:00:00"/>
        <d v="2025-09-18T00:00:00"/>
        <d v="2024-07-03T00:00:00"/>
        <d v="2024-06-13T00:00:00"/>
        <d v="2025-09-19T00:00:00"/>
        <d v="2025-03-13T00:00:00"/>
        <d v="2024-06-17T00:00:00"/>
        <d v="2024-12-18T00:00:00"/>
        <d v="2024-10-21T00:00:00"/>
        <d v="2025-04-15T00:00:00"/>
        <d v="2024-06-22T00:00:00"/>
        <d v="2025-01-28T00:00:00"/>
        <d v="2024-09-05T00:00:00"/>
        <d v="2025-09-20T00:00:00"/>
        <d v="2024-08-17T00:00:00"/>
        <d v="2025-03-28T00:00:00"/>
        <d v="2024-07-26T00:00:00"/>
        <d v="2025-03-29T00:00:00"/>
        <d v="2024-12-08T00:00:00"/>
        <d v="2025-03-08T00:00:00"/>
        <d v="2025-04-02T00:00:00"/>
        <d v="2024-09-02T00:00:00"/>
        <d v="2025-03-03T00:00:00"/>
        <d v="2025-09-21T00:00:00"/>
        <d v="2024-10-28T00:00:00"/>
        <d v="2024-08-01T00:00:00"/>
        <d v="2024-11-07T00:00:00"/>
        <d v="2025-09-22T00:00:00"/>
        <d v="2024-10-19T00:00:00"/>
        <d v="2024-07-24T00:00:00"/>
        <d v="2024-10-15T00:00:00"/>
        <d v="2024-12-09T00:00:00"/>
        <d v="2025-01-27T00:00:00"/>
        <d v="2024-06-06T00:00:00"/>
        <d v="2024-07-07T00:00:00"/>
        <d v="2025-09-23T00:00:00"/>
        <d v="2024-06-03T00:00:00"/>
        <d v="2025-09-24T00:00:00"/>
        <d v="2024-12-11T00:00:00"/>
        <d v="2024-11-08T00:00:00"/>
        <d v="2024-09-10T00:00:00"/>
        <d v="2024-08-13T00:00:00"/>
        <d v="2024-06-10T00:00:00"/>
        <d v="2024-07-02T00:00:00"/>
        <d v="2025-09-25T00:00:00"/>
        <d v="2024-10-18T00:00:00"/>
        <d v="2025-09-26T00:00:00"/>
        <d v="2025-09-27T00:00:00"/>
        <d v="2025-03-23T00:00:00"/>
        <d v="2024-06-14T00:00:00"/>
        <d v="2025-02-04T00:00:00"/>
        <d v="2024-06-21T00:00:00"/>
        <d v="2025-09-28T00:00:00"/>
        <d v="2024-08-08T00:00:00"/>
        <d v="2024-07-29T00:00:00"/>
        <d v="2024-11-23T00:00:00"/>
        <d v="2024-10-05T00:00:00"/>
        <d v="2025-09-29T00:00:00"/>
        <d v="2024-11-14T00:00:00"/>
        <d v="2025-09-30T00:00:00"/>
        <d v="2025-03-18T00:00:00"/>
        <d v="2024-11-04T00:00:00"/>
        <d v="2025-02-07T00:00:00"/>
        <d v="2024-10-02T00:00:00"/>
        <d v="2025-04-06T00:00:00"/>
        <d v="2024-09-08T00:00:00"/>
        <d v="2025-01-10T00:00:00"/>
        <d v="2024-09-29T00:00:00"/>
        <d v="2025-02-06T00:00:00"/>
        <d v="2025-10-01T00:00:00"/>
        <d v="2024-11-28T00:00:00"/>
        <d v="2025-10-02T00:00:00"/>
        <d v="2024-10-29T00:00:00"/>
        <d v="2024-07-15T00:00:00"/>
        <d v="2025-10-03T00:00:00"/>
        <d v="2025-03-25T00:00:00"/>
        <d v="2024-06-05T00:00:00"/>
        <d v="2024-06-16T00:00:00"/>
        <d v="2024-08-22T00:00:00"/>
        <d v="2025-10-04T00:00:00"/>
        <d v="2025-01-01T00:00:00"/>
        <d v="2024-10-09T00:00:00"/>
        <d v="2024-12-21T00:00:00"/>
        <d v="2024-10-22T00:00:00"/>
        <d v="2024-07-23T00:00:00"/>
        <d v="2024-08-11T00:00:00"/>
        <d v="2025-10-05T00:00:00"/>
        <d v="2024-08-24T00:00:00"/>
        <d v="2025-10-06T00:00:00"/>
        <d v="2025-04-01T00:00:00"/>
        <d v="2025-04-08T00:00:00"/>
        <d v="2025-10-07T00:00:00"/>
        <d v="2025-02-16T00:00:00"/>
        <d v="2024-11-12T00:00:00"/>
        <d v="2024-12-03T00:00:00"/>
        <d v="2025-04-28T00:00:00"/>
        <d v="2024-12-31T00:00:00"/>
        <d v="2024-08-14T00:00:00"/>
        <d v="2024-12-05T00:00:00"/>
        <d v="2025-10-08T00:00:00"/>
        <d v="2025-10-09T00:00:00"/>
        <d v="2024-07-10T00:00:00"/>
        <d v="2025-10-10T00:00:00"/>
        <d v="2025-10-11T00:00:00"/>
        <d v="2025-10-12T00:00:00"/>
        <d v="2024-12-17T00:00:00"/>
        <d v="2025-10-13T00:00:00"/>
        <d v="2025-01-11T00:00:00"/>
        <d v="2024-12-22T00:00:00"/>
        <d v="2025-03-24T00:00:00"/>
        <d v="2024-10-04T00:00:00"/>
        <d v="2025-10-14T00:00:00"/>
        <d v="2025-10-15T00:00:00"/>
        <d v="2024-09-11T00:00:00"/>
        <d v="2024-08-15T00:00:00"/>
        <d v="2025-04-07T00:00:00"/>
        <d v="2025-01-15T00:00:00"/>
        <d v="2024-11-21T00:00:00"/>
        <d v="2024-12-29T00:00:00"/>
        <d v="2025-03-19T00:00:00"/>
        <d v="2025-02-19T00:00:00"/>
        <d v="2025-05-01T00:00:00"/>
        <d v="2024-06-11T00:00:00"/>
        <d v="2024-06-02T00:00:00"/>
        <d v="2024-10-08T00:00:00"/>
        <d v="2024-06-20T00:00:00"/>
        <d v="2024-06-12T00:00:00"/>
        <d v="2024-07-01T00:00:00"/>
        <d v="2025-04-29T00:00:00"/>
        <d v="2024-06-01T00:00:00"/>
        <d v="2024-07-16T00:00:00"/>
        <d v="2025-01-18T00:00:00"/>
        <d v="2025-03-06T00:00:00"/>
        <d v="2025-01-12T00:00:00"/>
        <d v="2024-10-11T00:00:00"/>
        <d v="2024-08-27T00:00:00"/>
        <d v="2024-07-18T00:00:00"/>
        <d v="2025-01-14T00:00:00"/>
        <d v="2025-04-03T00:00:00"/>
        <d v="2024-08-05T00:00:00"/>
        <d v="2025-02-10T00:00:00"/>
        <d v="2025-02-12T00:00:00"/>
        <d v="2024-10-27T00:00:00"/>
        <d v="2024-08-20T00:00:00"/>
        <d v="2025-01-30T00:00:00"/>
        <d v="2025-02-20T00:00:00"/>
        <d v="2024-11-25T00:00:00"/>
        <d v="2025-04-13T00:00:00"/>
        <d v="2024-11-05T00:00:00"/>
        <d v="2024-10-17T00:00:00"/>
        <d v="2025-03-27T00:00:00"/>
        <d v="2024-10-12T00:00:00"/>
        <d v="2024-06-07T00:00:00"/>
        <d v="2024-11-26T00:00:00"/>
        <d v="2025-03-22T00:00:00"/>
        <d v="2024-10-03T00:00:00"/>
        <d v="2025-05-09T00:00:00"/>
        <d v="2025-04-17T00:00:00"/>
        <d v="2024-11-17T00:00:00"/>
        <d v="2025-05-14T00:00:00"/>
        <d v="2024-06-19T00:00:00"/>
        <d v="2025-05-06T00:00:00"/>
        <d v="2025-02-11T00:00:00"/>
        <d v="2024-12-24T00:00:00"/>
      </sharedItems>
      <fieldGroup par="17"/>
    </cacheField>
    <cacheField name="ContentType" numFmtId="0">
      <sharedItems count="4">
        <s v="Image"/>
        <s v="Tweet"/>
        <s v="Video"/>
        <s v="Carousel"/>
      </sharedItems>
    </cacheField>
    <cacheField name="Hashtags.1" numFmtId="0">
      <sharedItems/>
    </cacheField>
    <cacheField name="Hashtags.2" numFmtId="0">
      <sharedItems containsBlank="1"/>
    </cacheField>
    <cacheField name="Likes" numFmtId="0">
      <sharedItems containsSemiMixedTypes="0" containsString="0" containsNumber="1" containsInteger="1" minValue="2009" maxValue="24984" count="296">
        <n v="24516"/>
        <n v="4779"/>
        <n v="19308"/>
        <n v="3581"/>
        <n v="21708"/>
        <n v="14677"/>
        <n v="7713"/>
        <n v="18639"/>
        <n v="6804"/>
        <n v="20222"/>
        <n v="12136"/>
        <n v="2009"/>
        <n v="21255"/>
        <n v="7124"/>
        <n v="3015"/>
        <n v="4193"/>
        <n v="10415"/>
        <n v="15550"/>
        <n v="16512"/>
        <n v="6158"/>
        <n v="22309"/>
        <n v="8970"/>
        <n v="8938"/>
        <n v="23168"/>
        <n v="15772"/>
        <n v="22384"/>
        <n v="20017"/>
        <n v="12344"/>
        <n v="9266"/>
        <n v="10702"/>
        <n v="2384"/>
        <n v="2404"/>
        <n v="10175"/>
        <n v="17158"/>
        <n v="14763"/>
        <n v="20384"/>
        <n v="11860"/>
        <n v="7989"/>
        <n v="17106"/>
        <n v="19844"/>
        <n v="5636"/>
        <n v="12916"/>
        <n v="6809"/>
        <n v="22562"/>
        <n v="15456"/>
        <n v="17444"/>
        <n v="24984"/>
        <n v="7997"/>
        <n v="4048"/>
        <n v="14338"/>
        <n v="23164"/>
        <n v="19100"/>
        <n v="23949"/>
        <n v="6544"/>
        <n v="6976"/>
        <n v="14775"/>
        <n v="12015"/>
        <n v="5419"/>
        <n v="16430"/>
        <n v="9239"/>
        <n v="16489"/>
        <n v="18633"/>
        <n v="12357"/>
        <n v="19154"/>
        <n v="6363"/>
        <n v="12176"/>
        <n v="19461"/>
        <n v="10427"/>
        <n v="10580"/>
        <n v="6858"/>
        <n v="12040"/>
        <n v="24928"/>
        <n v="23103"/>
        <n v="21198"/>
        <n v="21758"/>
        <n v="17254"/>
        <n v="13470"/>
        <n v="3252"/>
        <n v="8996"/>
        <n v="14173"/>
        <n v="6673"/>
        <n v="22914"/>
        <n v="17781"/>
        <n v="15051"/>
        <n v="8881"/>
        <n v="8949"/>
        <n v="11521"/>
        <n v="24625"/>
        <n v="10017"/>
        <n v="8941"/>
        <n v="12209"/>
        <n v="19715"/>
        <n v="22645"/>
        <n v="11550"/>
        <n v="23499"/>
        <n v="6637"/>
        <n v="6854"/>
        <n v="21561"/>
        <n v="12320"/>
        <n v="20564"/>
        <n v="6892"/>
        <n v="9043"/>
        <n v="18521"/>
        <n v="24711"/>
        <n v="21856"/>
        <n v="23833"/>
        <n v="21216"/>
        <n v="21963"/>
        <n v="24355"/>
        <n v="6164"/>
        <n v="9941"/>
        <n v="16388"/>
        <n v="7569"/>
        <n v="6300"/>
        <n v="8269"/>
        <n v="5818"/>
        <n v="14015"/>
        <n v="14234"/>
        <n v="20290"/>
        <n v="8254"/>
        <n v="19144"/>
        <n v="9350"/>
        <n v="17183"/>
        <n v="8238"/>
        <n v="8090"/>
        <n v="13637"/>
        <n v="24415"/>
        <n v="14647"/>
        <n v="11911"/>
        <n v="10472"/>
        <n v="20271"/>
        <n v="5266"/>
        <n v="2666"/>
        <n v="6188"/>
        <n v="19055"/>
        <n v="12161"/>
        <n v="13314"/>
        <n v="23508"/>
        <n v="23969"/>
        <n v="14891"/>
        <n v="6777"/>
        <n v="5900"/>
        <n v="15716"/>
        <n v="8981"/>
        <n v="8376"/>
        <n v="18907"/>
        <n v="20777"/>
        <n v="20977"/>
        <n v="12160"/>
        <n v="16124"/>
        <n v="18282"/>
        <n v="12488"/>
        <n v="24574"/>
        <n v="7240"/>
        <n v="12453"/>
        <n v="12478"/>
        <n v="24877"/>
        <n v="14394"/>
        <n v="21262"/>
        <n v="22527"/>
        <n v="22028"/>
        <n v="6432"/>
        <n v="15568"/>
        <n v="16178"/>
        <n v="19660"/>
        <n v="24195"/>
        <n v="2302"/>
        <n v="19022"/>
        <n v="2055"/>
        <n v="15013"/>
        <n v="10717"/>
        <n v="10150"/>
        <n v="4125"/>
        <n v="13479"/>
        <n v="17745"/>
        <n v="18748"/>
        <n v="8809"/>
        <n v="6621"/>
        <n v="17034"/>
        <n v="15623"/>
        <n v="7126"/>
        <n v="7122"/>
        <n v="20030"/>
        <n v="19302"/>
        <n v="21181"/>
        <n v="24890"/>
        <n v="7870"/>
        <n v="3531"/>
        <n v="10172"/>
        <n v="21729"/>
        <n v="9673"/>
        <n v="8882"/>
        <n v="3906"/>
        <n v="5086"/>
        <n v="15503"/>
        <n v="10152"/>
        <n v="7750"/>
        <n v="14772"/>
        <n v="12267"/>
        <n v="3062"/>
        <n v="20360"/>
        <n v="19680"/>
        <n v="8229"/>
        <n v="18509"/>
        <n v="17147"/>
        <n v="6632"/>
        <n v="8288"/>
        <n v="5596"/>
        <n v="13475"/>
        <n v="8168"/>
        <n v="11795"/>
        <n v="9561"/>
        <n v="10258"/>
        <n v="18616"/>
        <n v="8371"/>
        <n v="22590"/>
        <n v="16369"/>
        <n v="14910"/>
        <n v="9943"/>
        <n v="14199"/>
        <n v="17728"/>
        <n v="8738"/>
        <n v="17913"/>
        <n v="4472"/>
        <n v="21123"/>
        <n v="23785"/>
        <n v="17679"/>
        <n v="3761"/>
        <n v="12167"/>
        <n v="12554"/>
        <n v="19260"/>
        <n v="16277"/>
        <n v="5812"/>
        <n v="20117"/>
        <n v="3605"/>
        <n v="7622"/>
        <n v="8767"/>
        <n v="13613"/>
        <n v="21901"/>
        <n v="12589"/>
        <n v="15918"/>
        <n v="22119"/>
        <n v="15046"/>
        <n v="4590"/>
        <n v="19447"/>
        <n v="6324"/>
        <n v="12787"/>
        <n v="11111"/>
        <n v="7342"/>
        <n v="18389"/>
        <n v="10659"/>
        <n v="16043"/>
        <n v="24350"/>
        <n v="10837"/>
        <n v="2117"/>
        <n v="15917"/>
        <n v="20935"/>
        <n v="16309"/>
        <n v="15234"/>
        <n v="7560"/>
        <n v="22673"/>
        <n v="2846"/>
        <n v="12954"/>
        <n v="15703"/>
        <n v="17385"/>
        <n v="15746"/>
        <n v="24700"/>
        <n v="8469"/>
        <n v="11333"/>
        <n v="18608"/>
        <n v="14819"/>
        <n v="6208"/>
        <n v="8283"/>
        <n v="8233"/>
        <n v="14941"/>
        <n v="14607"/>
        <n v="11765"/>
        <n v="3828"/>
        <n v="3917"/>
        <n v="22618"/>
        <n v="8988"/>
        <n v="20410"/>
        <n v="16594"/>
        <n v="22128"/>
        <n v="14977"/>
        <n v="18644"/>
        <n v="24422"/>
        <n v="11865"/>
        <n v="4219"/>
        <n v="9041"/>
        <n v="20444"/>
        <n v="7287"/>
        <n v="3619"/>
        <n v="10512"/>
        <n v="3342"/>
        <n v="12568"/>
      </sharedItems>
    </cacheField>
    <cacheField name="Shares" numFmtId="0">
      <sharedItems containsSemiMixedTypes="0" containsString="0" containsNumber="1" containsInteger="1" minValue="203" maxValue="1487" count="271">
        <n v="976"/>
        <n v="1110"/>
        <n v="1318"/>
        <n v="517"/>
        <n v="435"/>
        <n v="533"/>
        <n v="575"/>
        <n v="1360"/>
        <n v="787"/>
        <n v="712"/>
        <n v="1117"/>
        <n v="1072"/>
        <n v="1452"/>
        <n v="469"/>
        <n v="997"/>
        <n v="924"/>
        <n v="1388"/>
        <n v="204"/>
        <n v="1050"/>
        <n v="277"/>
        <n v="773"/>
        <n v="331"/>
        <n v="800"/>
        <n v="1265"/>
        <n v="288"/>
        <n v="601"/>
        <n v="495"/>
        <n v="815"/>
        <n v="999"/>
        <n v="621"/>
        <n v="1246"/>
        <n v="774"/>
        <n v="342"/>
        <n v="1192"/>
        <n v="864"/>
        <n v="344"/>
        <n v="1448"/>
        <n v="1206"/>
        <n v="702"/>
        <n v="1020"/>
        <n v="303"/>
        <n v="1262"/>
        <n v="397"/>
        <n v="778"/>
        <n v="590"/>
        <n v="1402"/>
        <n v="753"/>
        <n v="1238"/>
        <n v="677"/>
        <n v="1454"/>
        <n v="1122"/>
        <n v="619"/>
        <n v="356"/>
        <n v="749"/>
        <n v="1320"/>
        <n v="1220"/>
        <n v="1196"/>
        <n v="1150"/>
        <n v="488"/>
        <n v="1477"/>
        <n v="395"/>
        <n v="797"/>
        <n v="716"/>
        <n v="1064"/>
        <n v="1341"/>
        <n v="1005"/>
        <n v="1382"/>
        <n v="1014"/>
        <n v="427"/>
        <n v="415"/>
        <n v="1147"/>
        <n v="214"/>
        <n v="1380"/>
        <n v="1484"/>
        <n v="246"/>
        <n v="523"/>
        <n v="1043"/>
        <n v="329"/>
        <n v="294"/>
        <n v="826"/>
        <n v="954"/>
        <n v="993"/>
        <n v="268"/>
        <n v="210"/>
        <n v="1071"/>
        <n v="1357"/>
        <n v="911"/>
        <n v="222"/>
        <n v="545"/>
        <n v="501"/>
        <n v="562"/>
        <n v="595"/>
        <n v="417"/>
        <n v="340"/>
        <n v="1157"/>
        <n v="1433"/>
        <n v="1184"/>
        <n v="1027"/>
        <n v="882"/>
        <n v="1203"/>
        <n v="555"/>
        <n v="1207"/>
        <n v="1356"/>
        <n v="1087"/>
        <n v="326"/>
        <n v="1329"/>
        <n v="1208"/>
        <n v="803"/>
        <n v="1213"/>
        <n v="250"/>
        <n v="1252"/>
        <n v="978"/>
        <n v="1013"/>
        <n v="1405"/>
        <n v="1182"/>
        <n v="1024"/>
        <n v="1224"/>
        <n v="766"/>
        <n v="570"/>
        <n v="1135"/>
        <n v="860"/>
        <n v="1168"/>
        <n v="401"/>
        <n v="512"/>
        <n v="316"/>
        <n v="1136"/>
        <n v="443"/>
        <n v="736"/>
        <n v="274"/>
        <n v="585"/>
        <n v="674"/>
        <n v="617"/>
        <n v="546"/>
        <n v="839"/>
        <n v="1138"/>
        <n v="1154"/>
        <n v="1075"/>
        <n v="962"/>
        <n v="863"/>
        <n v="224"/>
        <n v="1403"/>
        <n v="909"/>
        <n v="1384"/>
        <n v="376"/>
        <n v="484"/>
        <n v="262"/>
        <n v="1202"/>
        <n v="861"/>
        <n v="865"/>
        <n v="355"/>
        <n v="1272"/>
        <n v="1166"/>
        <n v="1048"/>
        <n v="1307"/>
        <n v="888"/>
        <n v="347"/>
        <n v="541"/>
        <n v="675"/>
        <n v="1286"/>
        <n v="760"/>
        <n v="526"/>
        <n v="1364"/>
        <n v="1189"/>
        <n v="414"/>
        <n v="634"/>
        <n v="1151"/>
        <n v="922"/>
        <n v="231"/>
        <n v="869"/>
        <n v="628"/>
        <n v="485"/>
        <n v="1367"/>
        <n v="1242"/>
        <n v="217"/>
        <n v="968"/>
        <n v="789"/>
        <n v="1398"/>
        <n v="1209"/>
        <n v="393"/>
        <n v="701"/>
        <n v="1187"/>
        <n v="1336"/>
        <n v="313"/>
        <n v="1445"/>
        <n v="1146"/>
        <n v="1030"/>
        <n v="1487"/>
        <n v="1124"/>
        <n v="254"/>
        <n v="977"/>
        <n v="361"/>
        <n v="286"/>
        <n v="1401"/>
        <n v="1231"/>
        <n v="1032"/>
        <n v="958"/>
        <n v="642"/>
        <n v="527"/>
        <n v="1277"/>
        <n v="960"/>
        <n v="1462"/>
        <n v="1274"/>
        <n v="295"/>
        <n v="1311"/>
        <n v="1301"/>
        <n v="1343"/>
        <n v="690"/>
        <n v="651"/>
        <n v="364"/>
        <n v="381"/>
        <n v="668"/>
        <n v="1109"/>
        <n v="934"/>
        <n v="1022"/>
        <n v="1143"/>
        <n v="206"/>
        <n v="529"/>
        <n v="974"/>
        <n v="350"/>
        <n v="1308"/>
        <n v="346"/>
        <n v="1114"/>
        <n v="899"/>
        <n v="281"/>
        <n v="713"/>
        <n v="908"/>
        <n v="945"/>
        <n v="1222"/>
        <n v="906"/>
        <n v="670"/>
        <n v="1342"/>
        <n v="460"/>
        <n v="1004"/>
        <n v="1133"/>
        <n v="1479"/>
        <n v="1104"/>
        <n v="1449"/>
        <n v="1276"/>
        <n v="1139"/>
        <n v="1053"/>
        <n v="792"/>
        <n v="913"/>
        <n v="1381"/>
        <n v="831"/>
        <n v="258"/>
        <n v="327"/>
        <n v="935"/>
        <n v="920"/>
        <n v="1338"/>
        <n v="1432"/>
        <n v="725"/>
        <n v="720"/>
        <n v="751"/>
        <n v="436"/>
        <n v="1424"/>
        <n v="1458"/>
        <n v="693"/>
        <n v="203"/>
        <n v="641"/>
        <n v="228"/>
        <n v="1332"/>
        <n v="809"/>
        <n v="1037"/>
        <n v="1369"/>
        <n v="241"/>
        <n v="240"/>
        <n v="233"/>
        <n v="1240"/>
        <n v="1376"/>
        <n v="1197"/>
        <n v="226"/>
      </sharedItems>
    </cacheField>
    <cacheField name="Comments" numFmtId="0">
      <sharedItems containsSemiMixedTypes="0" containsString="0" containsNumber="1" containsInteger="1" minValue="152" maxValue="999" count="246">
        <n v="974"/>
        <n v="436"/>
        <n v="795"/>
        <n v="880"/>
        <n v="317"/>
        <n v="759"/>
        <n v="417"/>
        <n v="898"/>
        <n v="970"/>
        <n v="604"/>
        <n v="834"/>
        <n v="550"/>
        <n v="625"/>
        <n v="851"/>
        <n v="783"/>
        <n v="707"/>
        <n v="725"/>
        <n v="279"/>
        <n v="971"/>
        <n v="512"/>
        <n v="854"/>
        <n v="968"/>
        <n v="842"/>
        <n v="441"/>
        <n v="520"/>
        <n v="943"/>
        <n v="178"/>
        <n v="298"/>
        <n v="928"/>
        <n v="445"/>
        <n v="160"/>
        <n v="661"/>
        <n v="825"/>
        <n v="262"/>
        <n v="336"/>
        <n v="956"/>
        <n v="893"/>
        <n v="376"/>
        <n v="459"/>
        <n v="247"/>
        <n v="204"/>
        <n v="772"/>
        <n v="813"/>
        <n v="907"/>
        <n v="555"/>
        <n v="218"/>
        <n v="461"/>
        <n v="438"/>
        <n v="911"/>
        <n v="697"/>
        <n v="900"/>
        <n v="297"/>
        <n v="616"/>
        <n v="888"/>
        <n v="393"/>
        <n v="640"/>
        <n v="998"/>
        <n v="656"/>
        <n v="514"/>
        <n v="631"/>
        <n v="350"/>
        <n v="303"/>
        <n v="599"/>
        <n v="650"/>
        <n v="222"/>
        <n v="862"/>
        <n v="166"/>
        <n v="790"/>
        <n v="366"/>
        <n v="210"/>
        <n v="765"/>
        <n v="191"/>
        <n v="174"/>
        <n v="188"/>
        <n v="952"/>
        <n v="280"/>
        <n v="647"/>
        <n v="378"/>
        <n v="257"/>
        <n v="321"/>
        <n v="584"/>
        <n v="627"/>
        <n v="251"/>
        <n v="673"/>
        <n v="424"/>
        <n v="762"/>
        <n v="193"/>
        <n v="966"/>
        <n v="479"/>
        <n v="718"/>
        <n v="972"/>
        <n v="646"/>
        <n v="964"/>
        <n v="161"/>
        <n v="467"/>
        <n v="741"/>
        <n v="365"/>
        <n v="488"/>
        <n v="925"/>
        <n v="810"/>
        <n v="230"/>
        <n v="876"/>
        <n v="634"/>
        <n v="523"/>
        <n v="859"/>
        <n v="349"/>
        <n v="686"/>
        <n v="615"/>
        <n v="238"/>
        <n v="804"/>
        <n v="720"/>
        <n v="638"/>
        <n v="687"/>
        <n v="196"/>
        <n v="437"/>
        <n v="927"/>
        <n v="165"/>
        <n v="860"/>
        <n v="235"/>
        <n v="399"/>
        <n v="540"/>
        <n v="931"/>
        <n v="484"/>
        <n v="778"/>
        <n v="668"/>
        <n v="286"/>
        <n v="837"/>
        <n v="989"/>
        <n v="976"/>
        <n v="626"/>
        <n v="743"/>
        <n v="372"/>
        <n v="521"/>
        <n v="551"/>
        <n v="592"/>
        <n v="639"/>
        <n v="764"/>
        <n v="422"/>
        <n v="675"/>
        <n v="308"/>
        <n v="301"/>
        <n v="769"/>
        <n v="337"/>
        <n v="962"/>
        <n v="954"/>
        <n v="320"/>
        <n v="332"/>
        <n v="513"/>
        <n v="676"/>
        <n v="665"/>
        <n v="498"/>
        <n v="546"/>
        <n v="871"/>
        <n v="310"/>
        <n v="642"/>
        <n v="575"/>
        <n v="460"/>
        <n v="319"/>
        <n v="695"/>
        <n v="563"/>
        <n v="400"/>
        <n v="908"/>
        <n v="930"/>
        <n v="290"/>
        <n v="423"/>
        <n v="565"/>
        <n v="757"/>
        <n v="963"/>
        <n v="394"/>
        <n v="897"/>
        <n v="846"/>
        <n v="421"/>
        <n v="589"/>
        <n v="388"/>
        <n v="526"/>
        <n v="415"/>
        <n v="508"/>
        <n v="489"/>
        <n v="538"/>
        <n v="726"/>
        <n v="838"/>
        <n v="152"/>
        <n v="578"/>
        <n v="291"/>
        <n v="525"/>
        <n v="819"/>
        <n v="473"/>
        <n v="295"/>
        <n v="442"/>
        <n v="814"/>
        <n v="581"/>
        <n v="734"/>
        <n v="548"/>
        <n v="493"/>
        <n v="289"/>
        <n v="529"/>
        <n v="468"/>
        <n v="451"/>
        <n v="211"/>
        <n v="994"/>
        <n v="375"/>
        <n v="302"/>
        <n v="713"/>
        <n v="921"/>
        <n v="733"/>
        <n v="809"/>
        <n v="724"/>
        <n v="392"/>
        <n v="515"/>
        <n v="256"/>
        <n v="367"/>
        <n v="902"/>
        <n v="655"/>
        <n v="408"/>
        <n v="923"/>
        <n v="666"/>
        <n v="922"/>
        <n v="203"/>
        <n v="670"/>
        <n v="248"/>
        <n v="169"/>
        <n v="722"/>
        <n v="568"/>
        <n v="839"/>
        <n v="999"/>
        <n v="294"/>
        <n v="309"/>
        <n v="269"/>
        <n v="478"/>
        <n v="729"/>
        <n v="506"/>
        <n v="416"/>
        <n v="766"/>
        <n v="472"/>
        <n v="784"/>
        <n v="690"/>
        <n v="798"/>
        <n v="344"/>
        <n v="887"/>
        <n v="481"/>
        <n v="612"/>
        <n v="189"/>
        <n v="410"/>
        <n v="544"/>
        <n v="273"/>
        <n v="187"/>
      </sharedItems>
    </cacheField>
    <cacheField name="Clicks" numFmtId="0">
      <sharedItems containsSemiMixedTypes="0" containsString="0" containsNumber="1" containsInteger="1" minValue="301" maxValue="2936"/>
    </cacheField>
    <cacheField name="Reach" numFmtId="0">
      <sharedItems containsSemiMixedTypes="0" containsString="0" containsNumber="1" containsInteger="1" minValue="7" maxValue="97772"/>
    </cacheField>
    <cacheField name="Impressions" numFmtId="0">
      <sharedItems containsSemiMixedTypes="0" containsString="0" containsNumber="1" containsInteger="1" minValue="40281" maxValue="249988"/>
    </cacheField>
    <cacheField name="Campaign" numFmtId="0">
      <sharedItems count="5">
        <s v="Apple Watch Ultra 2 Launch"/>
        <s v="Apple Event September 2025"/>
        <s v="Sustainability Awareness Drive"/>
        <s v="iPhone 16 Launch"/>
        <s v="MacBook Air M3 Campaign"/>
      </sharedItems>
    </cacheField>
    <cacheField name="Engagement Rate" numFmtId="10">
      <sharedItems containsSemiMixedTypes="0" containsString="0" containsNumber="1" minValue="1.6616512501514722E-2" maxValue="0.49054105563022848"/>
    </cacheField>
    <cacheField name="Click-through rate" numFmtId="10">
      <sharedItems containsSemiMixedTypes="0" containsString="0" containsNumber="1" minValue="1.2535845308469906E-3" maxValue="5.5710712290841978E-2"/>
    </cacheField>
    <cacheField name="performance" numFmtId="2">
      <sharedItems containsSemiMixedTypes="0" containsString="0" containsNumber="1" minValue="2.7598255038978876" maxValue="53.366418149384799"/>
    </cacheField>
    <cacheField name="Days (Date)" numFmtId="0" databaseField="0">
      <fieldGroup base="2">
        <rangePr groupBy="days" startDate="2024-06-01T00:00:00" endDate="2025-10-16T00:00:00"/>
        <groupItems count="368">
          <s v="&lt;01-06-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6-10-2025"/>
        </groupItems>
      </fieldGroup>
    </cacheField>
    <cacheField name="Years (Date)" numFmtId="0" databaseField="0">
      <fieldGroup base="2">
        <rangePr groupBy="years" startDate="2024-06-01T00:00:00" endDate="2025-10-16T00:00:00"/>
        <groupItems count="4">
          <s v="&lt;01-06-2024"/>
          <s v="2024"/>
          <s v="2025"/>
          <s v="&gt;16-10-2025"/>
        </groupItems>
      </fieldGroup>
    </cacheField>
    <cacheField name="Engagement" numFmtId="0" formula="Likes+Shares+Comments" databaseField="0"/>
    <cacheField name="Field1" numFmtId="0" formula="Likes+Shares+Comments" databaseField="0"/>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2.988218171296" createdVersion="8" refreshedVersion="8" minRefreshableVersion="3" recordCount="50" xr:uid="{3ABDFE32-EFE3-4C07-8340-81B573AEFDEE}">
  <cacheSource type="worksheet">
    <worksheetSource ref="A1:I51" sheet="Engagement Summary"/>
  </cacheSource>
  <cacheFields count="12">
    <cacheField name="Week_Start_Date" numFmtId="1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fieldGroup par="11"/>
    </cacheField>
    <cacheField name="Platform" numFmtId="0">
      <sharedItems count="4">
        <s v="Instagram"/>
        <s v="Twitter"/>
        <s v="LinkedIn"/>
        <s v="YouTube"/>
      </sharedItems>
    </cacheField>
    <cacheField name="New_Followers" numFmtId="0">
      <sharedItems containsSemiMixedTypes="0" containsString="0" containsNumber="1" containsInteger="1" minValue="1038" maxValue="9984"/>
    </cacheField>
    <cacheField name="Unfollows" numFmtId="0">
      <sharedItems containsSemiMixedTypes="0" containsString="0" containsNumber="1" containsInteger="1" minValue="75" maxValue="1330"/>
    </cacheField>
    <cacheField name="Total_Followers" numFmtId="0">
      <sharedItems containsSemiMixedTypes="0" containsString="0" containsNumber="1" containsInteger="1" minValue="103777" maxValue="1170816" count="50">
        <n v="103777"/>
        <n v="134418"/>
        <n v="157717"/>
        <n v="184850"/>
        <n v="210260"/>
        <n v="231802"/>
        <n v="246766"/>
        <n v="264494"/>
        <n v="291024"/>
        <n v="309517"/>
        <n v="326199"/>
        <n v="354010"/>
        <n v="371865"/>
        <n v="396672"/>
        <n v="420811"/>
        <n v="445769"/>
        <n v="455286"/>
        <n v="480320"/>
        <n v="492814"/>
        <n v="515737"/>
        <n v="538906"/>
        <n v="568671"/>
        <n v="596704"/>
        <n v="607188"/>
        <n v="631128"/>
        <n v="655645"/>
        <n v="677154"/>
        <n v="700757"/>
        <n v="713549"/>
        <n v="730928"/>
        <n v="756944"/>
        <n v="781868"/>
        <n v="807142"/>
        <n v="826926"/>
        <n v="853477"/>
        <n v="872714"/>
        <n v="900862"/>
        <n v="912374"/>
        <n v="938068"/>
        <n v="966020"/>
        <n v="988501"/>
        <n v="1005094"/>
        <n v="1034649"/>
        <n v="1057293"/>
        <n v="1073082"/>
        <n v="1095217"/>
        <n v="1117854"/>
        <n v="1135945"/>
        <n v="1152775"/>
        <n v="1170816"/>
      </sharedItems>
    </cacheField>
    <cacheField name="Engagement_Rate" numFmtId="0">
      <sharedItems containsSemiMixedTypes="0" containsString="0" containsNumber="1" minValue="1.525036393488727" maxValue="57.524479307546663"/>
    </cacheField>
    <cacheField name="Ad_Spend" numFmtId="0">
      <sharedItems containsSemiMixedTypes="0" containsString="0" containsNumber="1" containsInteger="1" minValue="12096" maxValue="58831" count="50">
        <n v="23944"/>
        <n v="25379"/>
        <n v="15110"/>
        <n v="44947"/>
        <n v="28313"/>
        <n v="33705"/>
        <n v="23109"/>
        <n v="48659"/>
        <n v="37766"/>
        <n v="39197"/>
        <n v="33225"/>
        <n v="46727"/>
        <n v="26029"/>
        <n v="53922"/>
        <n v="22693"/>
        <n v="31817"/>
        <n v="58831"/>
        <n v="15469"/>
        <n v="43937"/>
        <n v="35051"/>
        <n v="26184"/>
        <n v="22448"/>
        <n v="40447"/>
        <n v="28509"/>
        <n v="13471"/>
        <n v="44865"/>
        <n v="52845"/>
        <n v="34570"/>
        <n v="27833"/>
        <n v="39252"/>
        <n v="12096"/>
        <n v="58709"/>
        <n v="25078"/>
        <n v="13384"/>
        <n v="27069"/>
        <n v="17736"/>
        <n v="55603"/>
        <n v="19067"/>
        <n v="19435"/>
        <n v="29675"/>
        <n v="38047"/>
        <n v="42972"/>
        <n v="15347"/>
        <n v="28681"/>
        <n v="27073"/>
        <n v="41358"/>
        <n v="58330"/>
        <n v="49110"/>
        <n v="55951"/>
        <n v="28745"/>
      </sharedItems>
    </cacheField>
    <cacheField name="Growth rate" numFmtId="10">
      <sharedItems containsSemiMixedTypes="0" containsString="0" containsNumber="1" minValue="7.7465246904209403E-4" maxValue="5.3675846984778827E-2"/>
    </cacheField>
    <cacheField name="follower growth" numFmtId="0" formula="New_Followers-Unfollows" databaseField="0"/>
    <cacheField name="change in followers" numFmtId="0" formula="Total_Followers-Unfollows+New_Followers" databaseField="0"/>
    <cacheField name="Days (Week_Start_Date)" numFmtId="0" databaseField="0">
      <fieldGroup base="0">
        <rangePr groupBy="days" startDate="2024-06-03T00:00:00" endDate="2025-05-13T00:00:00"/>
        <groupItems count="368">
          <s v="&lt;03-06-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3-05-2025"/>
        </groupItems>
      </fieldGroup>
    </cacheField>
    <cacheField name="Years (Week_Start_Date)" numFmtId="0" databaseField="0">
      <fieldGroup base="0">
        <rangePr groupBy="years" startDate="2024-06-03T00:00:00" endDate="2025-05-13T00:00:00"/>
        <groupItems count="4">
          <s v="&lt;03-06-2024"/>
          <s v="2024"/>
          <s v="2025"/>
          <s v="&gt;13-05-2025"/>
        </groupItems>
      </fieldGroup>
    </cacheField>
  </cacheFields>
  <extLst>
    <ext xmlns:x14="http://schemas.microsoft.com/office/spreadsheetml/2009/9/main" uri="{725AE2AE-9491-48be-B2B4-4EB974FC3084}">
      <x14:pivotCacheDefinition pivotCacheId="80688789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3.764147222224" createdVersion="8" refreshedVersion="8" minRefreshableVersion="3" recordCount="567" xr:uid="{80D76CA1-0EC4-4136-8DCF-16F3104B07BC}">
  <cacheSource type="worksheet">
    <worksheetSource ref="A1:O568" sheet="Hashtags"/>
  </cacheSource>
  <cacheFields count="14">
    <cacheField name="PostID" numFmtId="0">
      <sharedItems/>
    </cacheField>
    <cacheField name="Platform" numFmtId="0">
      <sharedItems/>
    </cacheField>
    <cacheField name="Date" numFmtId="14">
      <sharedItems containsSemiMixedTypes="0" containsNonDate="0" containsDate="1" containsString="0" minDate="2024-06-01T00:00:00" maxDate="2025-10-16T00:00:00"/>
    </cacheField>
    <cacheField name="ContentType" numFmtId="0">
      <sharedItems/>
    </cacheField>
    <cacheField name="Likes" numFmtId="0">
      <sharedItems containsSemiMixedTypes="0" containsString="0" containsNumber="1" containsInteger="1" minValue="2009" maxValue="24984"/>
    </cacheField>
    <cacheField name="Shares" numFmtId="0">
      <sharedItems containsSemiMixedTypes="0" containsString="0" containsNumber="1" containsInteger="1" minValue="203" maxValue="1487"/>
    </cacheField>
    <cacheField name="Comments" numFmtId="0">
      <sharedItems containsSemiMixedTypes="0" containsString="0" containsNumber="1" containsInteger="1" minValue="152" maxValue="999"/>
    </cacheField>
    <cacheField name="Clicks" numFmtId="0">
      <sharedItems containsSemiMixedTypes="0" containsString="0" containsNumber="1" containsInteger="1" minValue="301" maxValue="2936"/>
    </cacheField>
    <cacheField name="Reach" numFmtId="0">
      <sharedItems containsSemiMixedTypes="0" containsString="0" containsNumber="1" containsInteger="1" minValue="7" maxValue="97772"/>
    </cacheField>
    <cacheField name="Impressions" numFmtId="0">
      <sharedItems containsSemiMixedTypes="0" containsString="0" containsNumber="1" containsInteger="1" minValue="40281" maxValue="249988"/>
    </cacheField>
    <cacheField name="Campaign" numFmtId="0">
      <sharedItems/>
    </cacheField>
    <cacheField name="Engagement Rate" numFmtId="10">
      <sharedItems containsSemiMixedTypes="0" containsString="0" containsNumber="1" minValue="1.6616512501514722E-2" maxValue="0.49054105563022848"/>
    </cacheField>
    <cacheField name="Hashtags" numFmtId="0">
      <sharedItems count="19">
        <s v="#AppleWatchUltra2"/>
        <s v="#HealthTech"/>
        <s v="#MacBookAirM3"/>
        <s v="#AppleInnovation"/>
        <s v="#AppleDesign"/>
        <s v="#Innovation"/>
        <s v="#AppleEvent"/>
        <s v="#iPadPro"/>
        <s v="#ShotOniPhone"/>
        <s v="#AppleMusic"/>
        <s v="#AppleLifestyle"/>
        <s v="#AppleWatch"/>
        <s v="#Health"/>
        <s v="#iPhone16Launch"/>
        <s v="#iPhone16"/>
        <s v="#iPhonePhotography"/>
        <s v="#MacBookProM3"/>
        <s v="#Sustainability"/>
        <s v="#AppleEarth"/>
      </sharedItems>
    </cacheField>
    <cacheField name="Engagement" numFmtId="0" formula="Likes+Shares+Comments" databaseField="0"/>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8.6556025463" createdVersion="5" refreshedVersion="8" minRefreshableVersion="3" recordCount="0" supportSubquery="1" supportAdvancedDrill="1" xr:uid="{15916BD5-2D5C-4C72-BA49-ED20A72D106F}">
  <cacheSource type="external" connectionId="6"/>
  <cacheFields count="3">
    <cacheField name="[Table1].[Objective].[Objective]" caption="Objective" numFmtId="0" hierarchy="3" level="1">
      <sharedItems count="5">
        <s v="Brand Engagement"/>
        <s v="Health &amp; Fitness Awareness"/>
        <s v="Product Launch"/>
        <s v="Product Promotion"/>
        <s v="Sustainability Branding"/>
      </sharedItems>
    </cacheField>
    <cacheField name="[Measures].[Sum of performance]" caption="Sum of performance" numFmtId="0" hierarchy="39" level="32767"/>
    <cacheField name="[Table2].[ContentType].[ContentType]" caption="ContentType" numFmtId="0" hierarchy="16" level="1">
      <sharedItems count="4">
        <s v="Carousel"/>
        <s v="Image"/>
        <s v="Tweet"/>
        <s v="Video"/>
      </sharedItems>
    </cacheField>
  </cacheFields>
  <cacheHierarchies count="41">
    <cacheHierarchy uniqueName="[Table1].[Campaign_Name]" caption="Campaign_Name" attribute="1" defaultMemberUniqueName="[Table1].[Campaign_Name].[All]" allUniqueName="[Table1].[Campaign_Name].[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Objective]" caption="Objective" attribute="1" defaultMemberUniqueName="[Table1].[Objective].[All]" allUniqueName="[Table1].[Objective].[All]" dimensionUniqueName="[Table1]" displayFolder="" count="2" memberValueDatatype="130" unbalanced="0">
      <fieldsUsage count="2">
        <fieldUsage x="-1"/>
        <fieldUsage x="0"/>
      </fieldsUsage>
    </cacheHierarchy>
    <cacheHierarchy uniqueName="[Table1].[Ad_Spend]" caption="Ad_Spend" attribute="1" defaultMemberUniqueName="[Table1].[Ad_Spend].[All]" allUniqueName="[Table1].[Ad_Spend].[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Engagement_Uplift]" caption="Engagement_Uplift" attribute="1" defaultMemberUniqueName="[Table1].[Engagement_Uplift].[All]" allUniqueName="[Table1].[Engagement_Uplift].[All]" dimensionUniqueName="[Table1]" displayFolder="" count="0" memberValueDatatype="5" unbalanced="0"/>
    <cacheHierarchy uniqueName="[Table1].[Start_Date (Year)]" caption="Start_Date (Year)" attribute="1" defaultMemberUniqueName="[Table1].[Start_Date (Year)].[All]" allUniqueName="[Table1].[Start_Date (Year)].[All]" dimensionUniqueName="[Table1]" displayFolder="" count="0" memberValueDatatype="130" unbalanced="0"/>
    <cacheHierarchy uniqueName="[Table1].[Start_Date (Quarter)]" caption="Start_Date (Quarter)" attribute="1" defaultMemberUniqueName="[Table1].[Start_Date (Quarter)].[All]" allUniqueName="[Table1].[Start_Date (Quarter)].[All]" dimensionUniqueName="[Table1]" displayFolder="" count="0" memberValueDatatype="130" unbalanced="0"/>
    <cacheHierarchy uniqueName="[Table1].[Start_Date (Month)]" caption="Start_Date (Month)" attribute="1" defaultMemberUniqueName="[Table1].[Start_Date (Month)].[All]" allUniqueName="[Table1].[Start_Date (Month)].[All]" dimensionUniqueName="[Table1]" displayFolder="" count="0" memberValueDatatype="130" unbalanced="0"/>
    <cacheHierarchy uniqueName="[Table1].[End_Date (Year)]" caption="End_Date (Year)" attribute="1" defaultMemberUniqueName="[Table1].[End_Date (Year)].[All]" allUniqueName="[Table1].[End_Date (Year)].[All]" dimensionUniqueName="[Table1]" displayFolder="" count="0" memberValueDatatype="130" unbalanced="0"/>
    <cacheHierarchy uniqueName="[Table1].[End_Date (Quarter)]" caption="End_Date (Quarter)" attribute="1" defaultMemberUniqueName="[Table1].[End_Date (Quarter)].[All]" allUniqueName="[Table1].[End_Date (Quarter)].[All]" dimensionUniqueName="[Table1]" displayFolder="" count="0" memberValueDatatype="130" unbalanced="0"/>
    <cacheHierarchy uniqueName="[Table1].[End_Date (Month)]" caption="End_Date (Month)" attribute="1" defaultMemberUniqueName="[Table1].[End_Date (Month)].[All]" allUniqueName="[Table1].[End_Date (Month)].[All]" dimensionUniqueName="[Table1]" displayFolder="" count="0" memberValueDatatype="130" unbalanced="0"/>
    <cacheHierarchy uniqueName="[Table2].[PostID]" caption="PostID" attribute="1" defaultMemberUniqueName="[Table2].[PostID].[All]" allUniqueName="[Table2].[PostID].[All]" dimensionUniqueName="[Table2]" displayFolder="" count="0" memberValueDatatype="130" unbalanced="0"/>
    <cacheHierarchy uniqueName="[Table2].[Platform]" caption="Platform" attribute="1" defaultMemberUniqueName="[Table2].[Platform].[All]" allUniqueName="[Table2].[Platform].[All]" dimensionUniqueName="[Table2]"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ContentType]" caption="ContentType" attribute="1" defaultMemberUniqueName="[Table2].[ContentType].[All]" allUniqueName="[Table2].[ContentType].[All]" dimensionUniqueName="[Table2]" displayFolder="" count="2" memberValueDatatype="130" unbalanced="0">
      <fieldsUsage count="2">
        <fieldUsage x="-1"/>
        <fieldUsage x="2"/>
      </fieldsUsage>
    </cacheHierarchy>
    <cacheHierarchy uniqueName="[Table2].[Hashtags.1]" caption="Hashtags.1" attribute="1" defaultMemberUniqueName="[Table2].[Hashtags.1].[All]" allUniqueName="[Table2].[Hashtags.1].[All]" dimensionUniqueName="[Table2]" displayFolder="" count="0" memberValueDatatype="130" unbalanced="0"/>
    <cacheHierarchy uniqueName="[Table2].[Hashtags.2]" caption="Hashtags.2" attribute="1" defaultMemberUniqueName="[Table2].[Hashtags.2].[All]" allUniqueName="[Table2].[Hashtags.2].[All]" dimensionUniqueName="[Table2]" displayFolder="" count="0" memberValueDatatype="130" unbalanced="0"/>
    <cacheHierarchy uniqueName="[Table2].[Likes]" caption="Likes" attribute="1" defaultMemberUniqueName="[Table2].[Likes].[All]" allUniqueName="[Table2].[Likes].[All]" dimensionUniqueName="[Table2]" displayFolder="" count="0" memberValueDatatype="20" unbalanced="0"/>
    <cacheHierarchy uniqueName="[Table2].[Shares]" caption="Shares" attribute="1" defaultMemberUniqueName="[Table2].[Shares].[All]" allUniqueName="[Table2].[Shares].[All]" dimensionUniqueName="[Table2]" displayFolder="" count="0" memberValueDatatype="20" unbalanced="0"/>
    <cacheHierarchy uniqueName="[Table2].[Comments]" caption="Comments" attribute="1" defaultMemberUniqueName="[Table2].[Comments].[All]" allUniqueName="[Table2].[Comments].[All]" dimensionUniqueName="[Table2]" displayFolder="" count="0" memberValueDatatype="20" unbalanced="0"/>
    <cacheHierarchy uniqueName="[Table2].[Clicks]" caption="Clicks" attribute="1" defaultMemberUniqueName="[Table2].[Clicks].[All]" allUniqueName="[Table2].[Clicks].[All]" dimensionUniqueName="[Table2]" displayFolder="" count="0" memberValueDatatype="20" unbalanced="0"/>
    <cacheHierarchy uniqueName="[Table2].[Reach]" caption="Reach" attribute="1" defaultMemberUniqueName="[Table2].[Reach].[All]" allUniqueName="[Table2].[Reach].[All]" dimensionUniqueName="[Table2]" displayFolder="" count="0" memberValueDatatype="20" unbalanced="0"/>
    <cacheHierarchy uniqueName="[Table2].[Impressions]" caption="Impressions" attribute="1" defaultMemberUniqueName="[Table2].[Impressions].[All]" allUniqueName="[Table2].[Impressions].[All]" dimensionUniqueName="[Table2]" displayFolder="" count="0" memberValueDatatype="20" unbalanced="0"/>
    <cacheHierarchy uniqueName="[Table2].[Campaign]" caption="Campaign" attribute="1" defaultMemberUniqueName="[Table2].[Campaign].[All]" allUniqueName="[Table2].[Campaign].[All]" dimensionUniqueName="[Table2]" displayFolder="" count="0" memberValueDatatype="130" unbalanced="0"/>
    <cacheHierarchy uniqueName="[Table2].[Engagement Rate]" caption="Engagement Rate" attribute="1" defaultMemberUniqueName="[Table2].[Engagement Rate].[All]" allUniqueName="[Table2].[Engagement Rate].[All]" dimensionUniqueName="[Table2]" displayFolder="" count="0" memberValueDatatype="5" unbalanced="0"/>
    <cacheHierarchy uniqueName="[Table2].[Click-through rate]" caption="Click-through rate" attribute="1" defaultMemberUniqueName="[Table2].[Click-through rate].[All]" allUniqueName="[Table2].[Click-through rate].[All]" dimensionUniqueName="[Table2]" displayFolder="" count="0" memberValueDatatype="5" unbalanced="0"/>
    <cacheHierarchy uniqueName="[Table2].[performance]" caption="performance" attribute="1" defaultMemberUniqueName="[Table2].[performance].[All]" allUniqueName="[Table2].[performance].[All]" dimensionUniqueName="[Table2]" displayFolder="" count="0" memberValueDatatype="5" unbalanced="0"/>
    <cacheHierarchy uniqueName="[Table2].[Date (Year)]" caption="Date (Year)" attribute="1" defaultMemberUniqueName="[Table2].[Date (Year)].[All]" allUniqueName="[Table2].[Date (Year)].[All]" dimensionUniqueName="[Table2]" displayFolder="" count="0" memberValueDatatype="130" unbalanced="0"/>
    <cacheHierarchy uniqueName="[Table2].[Date (Quarter)]" caption="Date (Quarter)" attribute="1" defaultMemberUniqueName="[Table2].[Date (Quarter)].[All]" allUniqueName="[Table2].[Date (Quarter)].[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1].[End_Date (Month Index)]" caption="End_Date (Month Index)" attribute="1" defaultMemberUniqueName="[Table1].[End_Date (Month Index)].[All]" allUniqueName="[Table1].[End_Date (Month Index)].[All]" dimensionUniqueName="[Table1]" displayFolder="" count="0" memberValueDatatype="20" unbalanced="0" hidden="1"/>
    <cacheHierarchy uniqueName="[Table1].[Start_Date (Month Index)]" caption="Start_Date (Month Index)" attribute="1" defaultMemberUniqueName="[Table1].[Start_Date (Month Index)].[All]" allUniqueName="[Table1].[Start_Date (Month Index)].[All]" dimensionUniqueName="[Table1]" displayFolder="" count="0" memberValueDatatype="20" unbalanced="0" hidden="1"/>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Engagement Rate]" caption="Sum of Engagement Rate" measure="1" displayFolder="" measureGroup="Table2" count="0" hidden="1">
      <extLst>
        <ext xmlns:x15="http://schemas.microsoft.com/office/spreadsheetml/2010/11/main" uri="{B97F6D7D-B522-45F9-BDA1-12C45D357490}">
          <x15:cacheHierarchy aggregatedColumn="26"/>
        </ext>
      </extLst>
    </cacheHierarchy>
    <cacheHierarchy uniqueName="[Measures].[Sum of performance]" caption="Sum of performance" measure="1" displayFolder="" measureGroup="Table2"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Engagement_Uplift]" caption="Sum of Engagement_Uplift" measure="1" displayFolder="" measureGroup="Table1"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8.676397106479" createdVersion="8" refreshedVersion="8" minRefreshableVersion="3" recordCount="567" xr:uid="{136D1A07-6A1B-4C28-B46F-A56755A44135}">
  <cacheSource type="worksheet">
    <worksheetSource name="Table6"/>
  </cacheSource>
  <cacheFields count="15">
    <cacheField name="PostID" numFmtId="0">
      <sharedItems/>
    </cacheField>
    <cacheField name="Platform" numFmtId="0">
      <sharedItems/>
    </cacheField>
    <cacheField name="Date" numFmtId="14">
      <sharedItems containsSemiMixedTypes="0" containsNonDate="0" containsDate="1" containsString="0" minDate="2024-06-01T00:00:00" maxDate="2025-10-16T00:00:00"/>
    </cacheField>
    <cacheField name="ContentType" numFmtId="0">
      <sharedItems/>
    </cacheField>
    <cacheField name="Likes" numFmtId="0">
      <sharedItems containsSemiMixedTypes="0" containsString="0" containsNumber="1" containsInteger="1" minValue="2009" maxValue="24984"/>
    </cacheField>
    <cacheField name="Shares" numFmtId="0">
      <sharedItems containsSemiMixedTypes="0" containsString="0" containsNumber="1" containsInteger="1" minValue="203" maxValue="1487"/>
    </cacheField>
    <cacheField name="Comments" numFmtId="0">
      <sharedItems containsSemiMixedTypes="0" containsString="0" containsNumber="1" containsInteger="1" minValue="152" maxValue="999"/>
    </cacheField>
    <cacheField name="Clicks" numFmtId="0">
      <sharedItems containsSemiMixedTypes="0" containsString="0" containsNumber="1" containsInteger="1" minValue="301" maxValue="2936"/>
    </cacheField>
    <cacheField name="Reach" numFmtId="0">
      <sharedItems containsSemiMixedTypes="0" containsString="0" containsNumber="1" containsInteger="1" minValue="7" maxValue="97772"/>
    </cacheField>
    <cacheField name="Impressions" numFmtId="0">
      <sharedItems containsSemiMixedTypes="0" containsString="0" containsNumber="1" containsInteger="1" minValue="40281" maxValue="249988"/>
    </cacheField>
    <cacheField name="Campaign" numFmtId="0">
      <sharedItems/>
    </cacheField>
    <cacheField name="Engagement Rate" numFmtId="10">
      <sharedItems containsSemiMixedTypes="0" containsString="0" containsNumber="1" minValue="1.6616512501514722E-2" maxValue="0.49054105563022848"/>
    </cacheField>
    <cacheField name="Hashtags" numFmtId="0">
      <sharedItems count="19">
        <s v="#AppleWatchUltra2"/>
        <s v="#HealthTech"/>
        <s v="#MacBookAirM3"/>
        <s v="#AppleInnovation"/>
        <s v="#AppleDesign"/>
        <s v="#Innovation"/>
        <s v="#AppleEvent"/>
        <s v="#iPadPro"/>
        <s v="#ShotOniPhone"/>
        <s v="#AppleMusic"/>
        <s v="#AppleLifestyle"/>
        <s v="#AppleWatch"/>
        <s v="#Health"/>
        <s v="#iPhone16Launch"/>
        <s v="#iPhone16"/>
        <s v="#iPhonePhotography"/>
        <s v="#MacBookProM3"/>
        <s v="#Sustainability"/>
        <s v="#AppleEarth"/>
      </sharedItems>
    </cacheField>
    <cacheField name="Click through rate" numFmtId="10">
      <sharedItems containsSemiMixedTypes="0" containsString="0" containsNumber="1" minValue="1.2535845308469906E-3" maxValue="5.5710712290841978E-2"/>
    </cacheField>
    <cacheField name="Performance" numFmtId="2">
      <sharedItems containsSemiMixedTypes="0" containsString="0" containsNumber="1" minValue="2.7598255038978876" maxValue="53.366418149384799"/>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8.747279976851" createdVersion="8" refreshedVersion="8" minRefreshableVersion="3" recordCount="200" xr:uid="{C7125407-DD79-40D2-87E6-DC12C19BEE46}">
  <cacheSource type="worksheet">
    <worksheetSource name="Table8_1"/>
  </cacheSource>
  <cacheFields count="11">
    <cacheField name="Week_Start_Date" numFmtId="1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fieldGroup par="10"/>
    </cacheField>
    <cacheField name="Platform" numFmtId="0">
      <sharedItems count="4">
        <s v="Instagram"/>
        <s v="Twitter"/>
        <s v="YouTube"/>
        <s v="LinkedIn"/>
      </sharedItems>
    </cacheField>
    <cacheField name="New_Followers" numFmtId="0">
      <sharedItems containsSemiMixedTypes="0" containsString="0" containsNumber="1" containsInteger="1" minValue="1016" maxValue="9984"/>
    </cacheField>
    <cacheField name="Unfollows" numFmtId="0">
      <sharedItems containsSemiMixedTypes="0" containsString="0" containsNumber="1" containsInteger="1" minValue="67" maxValue="1417"/>
    </cacheField>
    <cacheField name="Total_Followers" numFmtId="0">
      <sharedItems containsSemiMixedTypes="0" containsString="0" containsNumber="1" containsInteger="1" minValue="103777" maxValue="1186398"/>
    </cacheField>
    <cacheField name="Engagement_Rate" numFmtId="0">
      <sharedItems containsSemiMixedTypes="0" containsString="0" containsNumber="1" minValue="1.381177897889402" maxValue="92.312204605638044"/>
    </cacheField>
    <cacheField name="Ad_Spend" numFmtId="0">
      <sharedItems containsSemiMixedTypes="0" containsString="0" containsNumber="1" containsInteger="1" minValue="10161" maxValue="59823"/>
    </cacheField>
    <cacheField name="Growth Rate" numFmtId="10">
      <sharedItems containsSemiMixedTypes="0" containsString="0" containsNumber="1" minValue="7.7465246904209403E-4" maxValue="6.8070592967519189E-2"/>
    </cacheField>
    <cacheField name="Follower Gain" numFmtId="0">
      <sharedItems containsSemiMixedTypes="0" containsString="0" containsNumber="1" containsInteger="1" minValue="893" maxValue="9335"/>
    </cacheField>
    <cacheField name="Days (Week_Start_Date)" numFmtId="0" databaseField="0">
      <fieldGroup base="0">
        <rangePr groupBy="days" startDate="2024-06-03T00:00:00" endDate="2025-05-13T00:00:00"/>
        <groupItems count="368">
          <s v="&lt;03-06-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3-05-2025"/>
        </groupItems>
      </fieldGroup>
    </cacheField>
    <cacheField name="Years (Week_Start_Date)" numFmtId="0" databaseField="0">
      <fieldGroup base="0">
        <rangePr groupBy="years" startDate="2024-06-03T00:00:00" endDate="2025-05-13T00:00:00"/>
        <groupItems count="4">
          <s v="&lt;03-06-2024"/>
          <s v="2024"/>
          <s v="2025"/>
          <s v="&gt;13-05-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d v="2024-12-23T00:00:00"/>
    <x v="0"/>
    <x v="0"/>
    <x v="0"/>
    <n v="24516"/>
    <n v="976"/>
    <n v="974"/>
    <n v="2675"/>
    <n v="23275"/>
    <n v="202932"/>
    <s v="Apple Watch Ultra 2 Launch"/>
    <n v="0.13041807107799658"/>
  </r>
  <r>
    <x v="1"/>
    <x v="1"/>
    <d v="2025-09-03T00:00:00"/>
    <x v="0"/>
    <x v="1"/>
    <x v="1"/>
    <n v="4779"/>
    <n v="1110"/>
    <n v="436"/>
    <n v="1574"/>
    <n v="77167"/>
    <n v="71585"/>
    <s v="Apple Event September 2025"/>
    <n v="8.8356499266606131E-2"/>
  </r>
  <r>
    <x v="2"/>
    <x v="2"/>
    <d v="2025-05-12T00:00:00"/>
    <x v="1"/>
    <x v="2"/>
    <x v="2"/>
    <n v="19308"/>
    <n v="1318"/>
    <n v="795"/>
    <n v="1499"/>
    <n v="52307"/>
    <n v="193087"/>
    <s v="Sustainability Awareness Drive"/>
    <n v="0.11093962825047776"/>
  </r>
  <r>
    <x v="3"/>
    <x v="0"/>
    <d v="2024-08-12T00:00:00"/>
    <x v="2"/>
    <x v="3"/>
    <x v="3"/>
    <n v="3581"/>
    <n v="517"/>
    <n v="880"/>
    <n v="1925"/>
    <n v="18636"/>
    <n v="248611"/>
    <s v="iPhone 16 Launch"/>
    <n v="2.0023249172401864E-2"/>
  </r>
  <r>
    <x v="4"/>
    <x v="0"/>
    <d v="2025-09-04T00:00:00"/>
    <x v="2"/>
    <x v="0"/>
    <x v="0"/>
    <n v="21708"/>
    <n v="435"/>
    <n v="317"/>
    <n v="1213"/>
    <n v="70701"/>
    <n v="83585"/>
    <s v="Apple Event September 2025"/>
    <n v="0.26870850032900639"/>
  </r>
  <r>
    <x v="5"/>
    <x v="1"/>
    <d v="2025-09-05T00:00:00"/>
    <x v="0"/>
    <x v="4"/>
    <x v="4"/>
    <n v="14677"/>
    <n v="533"/>
    <n v="759"/>
    <n v="753"/>
    <n v="23275"/>
    <n v="66958"/>
    <s v="Apple Event September 2025"/>
    <n v="0.23849278652289496"/>
  </r>
  <r>
    <x v="6"/>
    <x v="2"/>
    <d v="2024-06-24T00:00:00"/>
    <x v="3"/>
    <x v="5"/>
    <x v="5"/>
    <n v="7713"/>
    <n v="575"/>
    <n v="417"/>
    <n v="336"/>
    <n v="61660"/>
    <n v="66017"/>
    <s v="iPhone 16 Launch"/>
    <n v="0.13185997546086614"/>
  </r>
  <r>
    <x v="7"/>
    <x v="2"/>
    <d v="2024-07-13T00:00:00"/>
    <x v="2"/>
    <x v="6"/>
    <x v="6"/>
    <n v="18639"/>
    <n v="1360"/>
    <n v="898"/>
    <n v="2011"/>
    <n v="42841"/>
    <n v="247779"/>
    <s v="iPhone 16 Launch"/>
    <n v="8.4337252148083575E-2"/>
  </r>
  <r>
    <x v="8"/>
    <x v="0"/>
    <d v="2024-08-30T00:00:00"/>
    <x v="3"/>
    <x v="1"/>
    <x v="1"/>
    <n v="6804"/>
    <n v="787"/>
    <n v="970"/>
    <n v="1095"/>
    <n v="56343"/>
    <n v="164677"/>
    <s v="Apple Watch Ultra 2 Launch"/>
    <n v="5.1986616224487935E-2"/>
  </r>
  <r>
    <x v="9"/>
    <x v="3"/>
    <d v="2025-03-11T00:00:00"/>
    <x v="2"/>
    <x v="7"/>
    <x v="7"/>
    <n v="20222"/>
    <n v="712"/>
    <n v="604"/>
    <n v="1272"/>
    <n v="71598"/>
    <n v="216422"/>
    <s v="Sustainability Awareness Drive"/>
    <n v="9.9518533235992648E-2"/>
  </r>
  <r>
    <x v="10"/>
    <x v="0"/>
    <d v="2025-02-02T00:00:00"/>
    <x v="3"/>
    <x v="3"/>
    <x v="3"/>
    <n v="12136"/>
    <n v="1117"/>
    <n v="834"/>
    <n v="892"/>
    <n v="24675"/>
    <n v="183273"/>
    <s v="Sustainability Awareness Drive"/>
    <n v="7.6863476889667326E-2"/>
  </r>
  <r>
    <x v="11"/>
    <x v="0"/>
    <d v="2024-07-21T00:00:00"/>
    <x v="1"/>
    <x v="1"/>
    <x v="1"/>
    <n v="2009"/>
    <n v="1072"/>
    <n v="550"/>
    <n v="1437"/>
    <n v="22982"/>
    <n v="69426"/>
    <s v="iPhone 16 Launch"/>
    <n v="5.2300290957278256E-2"/>
  </r>
  <r>
    <x v="12"/>
    <x v="0"/>
    <d v="2024-11-18T00:00:00"/>
    <x v="3"/>
    <x v="5"/>
    <x v="5"/>
    <n v="21255"/>
    <n v="1452"/>
    <n v="625"/>
    <n v="1624"/>
    <n v="21282"/>
    <n v="57778"/>
    <s v="MacBook Air M3 Campaign"/>
    <n v="0.40382152376337016"/>
  </r>
  <r>
    <x v="13"/>
    <x v="0"/>
    <d v="2025-09-06T00:00:00"/>
    <x v="1"/>
    <x v="6"/>
    <x v="6"/>
    <n v="7124"/>
    <n v="469"/>
    <n v="851"/>
    <n v="2571"/>
    <n v="33802"/>
    <n v="216313"/>
    <s v="Apple Event September 2025"/>
    <n v="3.9036026498638549E-2"/>
  </r>
  <r>
    <x v="14"/>
    <x v="1"/>
    <d v="2025-09-07T00:00:00"/>
    <x v="1"/>
    <x v="2"/>
    <x v="2"/>
    <n v="3015"/>
    <n v="997"/>
    <n v="783"/>
    <n v="617"/>
    <n v="77167"/>
    <n v="82229"/>
    <s v="Apple Event September 2025"/>
    <n v="5.8312760704860814E-2"/>
  </r>
  <r>
    <x v="15"/>
    <x v="2"/>
    <d v="2024-08-26T00:00:00"/>
    <x v="3"/>
    <x v="6"/>
    <x v="6"/>
    <n v="4193"/>
    <n v="924"/>
    <n v="707"/>
    <n v="2696"/>
    <n v="55075"/>
    <n v="126652"/>
    <s v="iPhone 16 Launch"/>
    <n v="4.5984271863057827E-2"/>
  </r>
  <r>
    <x v="16"/>
    <x v="1"/>
    <d v="2025-05-05T00:00:00"/>
    <x v="1"/>
    <x v="3"/>
    <x v="8"/>
    <n v="10415"/>
    <n v="1388"/>
    <n v="725"/>
    <n v="2462"/>
    <n v="53082"/>
    <n v="168267"/>
    <s v="MacBook Air M3 Campaign"/>
    <n v="7.4453101321114656E-2"/>
  </r>
  <r>
    <x v="17"/>
    <x v="1"/>
    <d v="2024-08-19T00:00:00"/>
    <x v="0"/>
    <x v="6"/>
    <x v="6"/>
    <n v="15550"/>
    <n v="204"/>
    <n v="279"/>
    <n v="1646"/>
    <n v="35819"/>
    <n v="219436"/>
    <s v="Apple Watch Ultra 2 Launch"/>
    <n v="7.306458375107093E-2"/>
  </r>
  <r>
    <x v="18"/>
    <x v="1"/>
    <d v="2024-06-23T00:00:00"/>
    <x v="1"/>
    <x v="3"/>
    <x v="8"/>
    <n v="16512"/>
    <n v="1050"/>
    <n v="971"/>
    <n v="1891"/>
    <n v="15865"/>
    <n v="166503"/>
    <s v="iPhone 16 Launch"/>
    <n v="0.1113073037723044"/>
  </r>
  <r>
    <x v="19"/>
    <x v="0"/>
    <d v="2024-09-09T00:00:00"/>
    <x v="2"/>
    <x v="2"/>
    <x v="2"/>
    <n v="6158"/>
    <n v="277"/>
    <n v="512"/>
    <n v="2189"/>
    <n v="76881"/>
    <n v="124878"/>
    <s v="iPhone 16 Launch"/>
    <n v="5.563029516808405E-2"/>
  </r>
  <r>
    <x v="20"/>
    <x v="3"/>
    <d v="2025-09-08T00:00:00"/>
    <x v="3"/>
    <x v="8"/>
    <x v="9"/>
    <n v="22309"/>
    <n v="773"/>
    <n v="854"/>
    <n v="2387"/>
    <n v="72396"/>
    <n v="97056"/>
    <s v="Apple Event September 2025"/>
    <n v="0.24662050774810418"/>
  </r>
  <r>
    <x v="21"/>
    <x v="2"/>
    <d v="2025-02-27T00:00:00"/>
    <x v="0"/>
    <x v="5"/>
    <x v="5"/>
    <n v="8970"/>
    <n v="331"/>
    <n v="968"/>
    <n v="2296"/>
    <n v="24613"/>
    <n v="198562"/>
    <s v="iPhone 16 Launch"/>
    <n v="5.1716844109144754E-2"/>
  </r>
  <r>
    <x v="22"/>
    <x v="3"/>
    <d v="2024-11-06T00:00:00"/>
    <x v="3"/>
    <x v="3"/>
    <x v="8"/>
    <n v="8938"/>
    <n v="800"/>
    <n v="842"/>
    <n v="2072"/>
    <n v="31736"/>
    <n v="59975"/>
    <s v="iPhone 16 Launch"/>
    <n v="0.17640683618174238"/>
  </r>
  <r>
    <x v="23"/>
    <x v="1"/>
    <d v="2025-01-23T00:00:00"/>
    <x v="2"/>
    <x v="7"/>
    <x v="7"/>
    <n v="23168"/>
    <n v="1265"/>
    <n v="441"/>
    <n v="1612"/>
    <n v="66615"/>
    <n v="197795"/>
    <s v="iPhone 16 Launch"/>
    <n v="0.12575646502692181"/>
  </r>
  <r>
    <x v="24"/>
    <x v="1"/>
    <d v="2025-09-09T00:00:00"/>
    <x v="2"/>
    <x v="6"/>
    <x v="6"/>
    <n v="15772"/>
    <n v="288"/>
    <n v="520"/>
    <n v="1585"/>
    <n v="59182"/>
    <n v="194351"/>
    <s v="Apple Event September 2025"/>
    <n v="8.5309568769905988E-2"/>
  </r>
  <r>
    <x v="25"/>
    <x v="3"/>
    <d v="2025-04-05T00:00:00"/>
    <x v="2"/>
    <x v="6"/>
    <x v="6"/>
    <n v="22384"/>
    <n v="601"/>
    <n v="943"/>
    <n v="515"/>
    <n v="41309"/>
    <n v="249373"/>
    <s v="Apple Watch Ultra 2 Launch"/>
    <n v="9.5952649244304716E-2"/>
  </r>
  <r>
    <x v="26"/>
    <x v="3"/>
    <d v="2024-09-17T00:00:00"/>
    <x v="1"/>
    <x v="7"/>
    <x v="7"/>
    <n v="20017"/>
    <n v="495"/>
    <n v="178"/>
    <n v="2683"/>
    <n v="32244"/>
    <n v="182633"/>
    <s v="Apple Watch Ultra 2 Launch"/>
    <n v="0.11328730295182141"/>
  </r>
  <r>
    <x v="27"/>
    <x v="3"/>
    <d v="2025-03-04T00:00:00"/>
    <x v="1"/>
    <x v="4"/>
    <x v="4"/>
    <n v="12344"/>
    <n v="815"/>
    <n v="298"/>
    <n v="2439"/>
    <n v="6259"/>
    <n v="237133"/>
    <s v="iPhone 16 Launch"/>
    <n v="5.6748744375519224E-2"/>
  </r>
  <r>
    <x v="28"/>
    <x v="1"/>
    <d v="2025-09-10T00:00:00"/>
    <x v="3"/>
    <x v="9"/>
    <x v="4"/>
    <n v="9266"/>
    <n v="999"/>
    <n v="928"/>
    <n v="2700"/>
    <n v="12264"/>
    <n v="128397"/>
    <s v="Apple Event September 2025"/>
    <n v="8.7174933993784898E-2"/>
  </r>
  <r>
    <x v="29"/>
    <x v="1"/>
    <d v="2025-02-25T00:00:00"/>
    <x v="3"/>
    <x v="8"/>
    <x v="9"/>
    <n v="10702"/>
    <n v="621"/>
    <n v="445"/>
    <n v="2918"/>
    <n v="54808"/>
    <n v="220225"/>
    <s v="Apple Watch Ultra 2 Launch"/>
    <n v="5.3436258372119426E-2"/>
  </r>
  <r>
    <x v="30"/>
    <x v="2"/>
    <d v="2024-12-16T00:00:00"/>
    <x v="0"/>
    <x v="3"/>
    <x v="3"/>
    <n v="2384"/>
    <n v="1246"/>
    <n v="160"/>
    <n v="2004"/>
    <n v="2701"/>
    <n v="73142"/>
    <s v="Apple Watch Ultra 2 Launch"/>
    <n v="5.1817013480626728E-2"/>
  </r>
  <r>
    <x v="31"/>
    <x v="2"/>
    <d v="2024-07-31T00:00:00"/>
    <x v="0"/>
    <x v="3"/>
    <x v="8"/>
    <n v="2404"/>
    <n v="774"/>
    <n v="661"/>
    <n v="662"/>
    <n v="12676"/>
    <n v="66916"/>
    <s v="Apple Watch Ultra 2 Launch"/>
    <n v="5.7370434574690654E-2"/>
  </r>
  <r>
    <x v="32"/>
    <x v="1"/>
    <d v="2025-09-11T00:00:00"/>
    <x v="3"/>
    <x v="7"/>
    <x v="7"/>
    <n v="10175"/>
    <n v="342"/>
    <n v="825"/>
    <n v="2904"/>
    <n v="15954"/>
    <n v="104324"/>
    <s v="Apple Event September 2025"/>
    <n v="0.10871899083624094"/>
  </r>
  <r>
    <x v="33"/>
    <x v="3"/>
    <d v="2025-09-12T00:00:00"/>
    <x v="1"/>
    <x v="2"/>
    <x v="2"/>
    <n v="17158"/>
    <n v="1192"/>
    <n v="262"/>
    <n v="2016"/>
    <n v="28771"/>
    <n v="216037"/>
    <s v="Apple Event September 2025"/>
    <n v="8.6151909163708074E-2"/>
  </r>
  <r>
    <x v="34"/>
    <x v="3"/>
    <d v="2024-11-30T00:00:00"/>
    <x v="2"/>
    <x v="3"/>
    <x v="8"/>
    <n v="14763"/>
    <n v="864"/>
    <n v="336"/>
    <n v="1493"/>
    <n v="33310"/>
    <n v="165932"/>
    <s v="iPhone 16 Launch"/>
    <n v="9.6202058674637797E-2"/>
  </r>
  <r>
    <x v="35"/>
    <x v="2"/>
    <d v="2025-04-19T00:00:00"/>
    <x v="3"/>
    <x v="9"/>
    <x v="4"/>
    <n v="20384"/>
    <n v="344"/>
    <n v="956"/>
    <n v="655"/>
    <n v="67621"/>
    <n v="175720"/>
    <s v="Sustainability Awareness Drive"/>
    <n v="0.12340086501251991"/>
  </r>
  <r>
    <x v="36"/>
    <x v="1"/>
    <d v="2025-01-06T00:00:00"/>
    <x v="0"/>
    <x v="2"/>
    <x v="2"/>
    <n v="11860"/>
    <n v="1448"/>
    <n v="893"/>
    <n v="490"/>
    <n v="23518"/>
    <n v="206205"/>
    <s v="Apple Watch Ultra 2 Launch"/>
    <n v="6.8868359157149436E-2"/>
  </r>
  <r>
    <x v="37"/>
    <x v="2"/>
    <d v="2025-02-17T00:00:00"/>
    <x v="1"/>
    <x v="1"/>
    <x v="1"/>
    <n v="7989"/>
    <n v="1206"/>
    <n v="376"/>
    <n v="2769"/>
    <n v="27550"/>
    <n v="221749"/>
    <s v="Sustainability Awareness Drive"/>
    <n v="4.3161412227338117E-2"/>
  </r>
  <r>
    <x v="38"/>
    <x v="2"/>
    <d v="2025-09-13T00:00:00"/>
    <x v="3"/>
    <x v="5"/>
    <x v="5"/>
    <n v="17106"/>
    <n v="702"/>
    <n v="459"/>
    <n v="999"/>
    <n v="59627"/>
    <n v="136059"/>
    <s v="Apple Event September 2025"/>
    <n v="0.13425793222058077"/>
  </r>
  <r>
    <x v="39"/>
    <x v="0"/>
    <d v="2025-09-14T00:00:00"/>
    <x v="3"/>
    <x v="6"/>
    <x v="6"/>
    <n v="19844"/>
    <n v="1020"/>
    <n v="247"/>
    <n v="2354"/>
    <n v="37792"/>
    <n v="138317"/>
    <s v="Apple Event September 2025"/>
    <n v="0.15262765965138053"/>
  </r>
  <r>
    <x v="40"/>
    <x v="0"/>
    <d v="2025-09-15T00:00:00"/>
    <x v="1"/>
    <x v="1"/>
    <x v="1"/>
    <n v="5636"/>
    <n v="303"/>
    <n v="204"/>
    <n v="2480"/>
    <n v="7377"/>
    <n v="241207"/>
    <s v="Apple Event September 2025"/>
    <n v="2.5467751765081443E-2"/>
  </r>
  <r>
    <x v="41"/>
    <x v="0"/>
    <d v="2025-03-05T00:00:00"/>
    <x v="3"/>
    <x v="3"/>
    <x v="8"/>
    <n v="12916"/>
    <n v="1262"/>
    <n v="772"/>
    <n v="856"/>
    <n v="11496"/>
    <n v="75046"/>
    <s v="Sustainability Awareness Drive"/>
    <n v="0.19921115049436347"/>
  </r>
  <r>
    <x v="42"/>
    <x v="3"/>
    <d v="2025-09-16T00:00:00"/>
    <x v="1"/>
    <x v="9"/>
    <x v="4"/>
    <n v="6809"/>
    <n v="397"/>
    <n v="813"/>
    <n v="1125"/>
    <n v="12206"/>
    <n v="218136"/>
    <s v="Apple Event September 2025"/>
    <n v="3.6761469908680823E-2"/>
  </r>
  <r>
    <x v="43"/>
    <x v="1"/>
    <d v="2025-03-02T00:00:00"/>
    <x v="2"/>
    <x v="8"/>
    <x v="9"/>
    <n v="22562"/>
    <n v="778"/>
    <n v="907"/>
    <n v="1354"/>
    <n v="34475"/>
    <n v="141459"/>
    <s v="iPhone 16 Launch"/>
    <n v="0.17140655596321194"/>
  </r>
  <r>
    <x v="44"/>
    <x v="1"/>
    <d v="2025-09-17T00:00:00"/>
    <x v="1"/>
    <x v="5"/>
    <x v="5"/>
    <n v="15456"/>
    <n v="590"/>
    <n v="555"/>
    <n v="2882"/>
    <n v="49816"/>
    <n v="240422"/>
    <s v="Apple Event September 2025"/>
    <n v="6.9049421433978589E-2"/>
  </r>
  <r>
    <x v="45"/>
    <x v="1"/>
    <d v="2025-05-02T00:00:00"/>
    <x v="1"/>
    <x v="3"/>
    <x v="8"/>
    <n v="17444"/>
    <n v="1402"/>
    <n v="218"/>
    <n v="725"/>
    <n v="8710"/>
    <n v="85893"/>
    <s v="MacBook Air M3 Campaign"/>
    <n v="0.22195056640238436"/>
  </r>
  <r>
    <x v="46"/>
    <x v="1"/>
    <d v="2025-02-24T00:00:00"/>
    <x v="1"/>
    <x v="7"/>
    <x v="7"/>
    <n v="24984"/>
    <n v="753"/>
    <n v="461"/>
    <n v="2710"/>
    <n v="20792"/>
    <n v="141520"/>
    <s v="Sustainability Awareness Drive"/>
    <n v="0.18511871113623515"/>
  </r>
  <r>
    <x v="47"/>
    <x v="0"/>
    <d v="2025-03-11T00:00:00"/>
    <x v="3"/>
    <x v="0"/>
    <x v="0"/>
    <n v="7997"/>
    <n v="1238"/>
    <n v="438"/>
    <n v="1874"/>
    <n v="36272"/>
    <n v="165818"/>
    <s v="MacBook Air M3 Campaign"/>
    <n v="5.8335042034037318E-2"/>
  </r>
  <r>
    <x v="48"/>
    <x v="3"/>
    <d v="2025-09-18T00:00:00"/>
    <x v="3"/>
    <x v="3"/>
    <x v="8"/>
    <n v="4048"/>
    <n v="677"/>
    <n v="911"/>
    <n v="2429"/>
    <n v="27361"/>
    <n v="101272"/>
    <s v="Apple Event September 2025"/>
    <n v="5.5652105221581483E-2"/>
  </r>
  <r>
    <x v="49"/>
    <x v="3"/>
    <d v="2024-07-03T00:00:00"/>
    <x v="1"/>
    <x v="5"/>
    <x v="5"/>
    <n v="14338"/>
    <n v="1454"/>
    <n v="697"/>
    <n v="2703"/>
    <n v="21288"/>
    <n v="107649"/>
    <s v="iPhone 16 Launch"/>
    <n v="0.1531737405828201"/>
  </r>
  <r>
    <x v="50"/>
    <x v="0"/>
    <d v="2024-06-13T00:00:00"/>
    <x v="3"/>
    <x v="6"/>
    <x v="6"/>
    <n v="23164"/>
    <n v="1122"/>
    <n v="900"/>
    <n v="888"/>
    <n v="36938"/>
    <n v="104674"/>
    <s v="Apple Watch Ultra 2 Launch"/>
    <n v="0.24061371496264594"/>
  </r>
  <r>
    <x v="51"/>
    <x v="3"/>
    <d v="2025-09-19T00:00:00"/>
    <x v="0"/>
    <x v="6"/>
    <x v="6"/>
    <n v="19100"/>
    <n v="619"/>
    <n v="297"/>
    <n v="2312"/>
    <n v="9730"/>
    <n v="184832"/>
    <s v="Apple Event September 2025"/>
    <n v="0.10829293628808864"/>
  </r>
  <r>
    <x v="52"/>
    <x v="0"/>
    <d v="2025-02-24T00:00:00"/>
    <x v="0"/>
    <x v="3"/>
    <x v="8"/>
    <n v="23949"/>
    <n v="356"/>
    <n v="616"/>
    <n v="1847"/>
    <n v="3144"/>
    <n v="192999"/>
    <s v="iPhone 16 Launch"/>
    <n v="0.12912502137316773"/>
  </r>
  <r>
    <x v="53"/>
    <x v="1"/>
    <d v="2025-03-13T00:00:00"/>
    <x v="3"/>
    <x v="2"/>
    <x v="2"/>
    <n v="6544"/>
    <n v="749"/>
    <n v="888"/>
    <n v="594"/>
    <n v="18171"/>
    <n v="126475"/>
    <s v="Sustainability Awareness Drive"/>
    <n v="6.4684720300454635E-2"/>
  </r>
  <r>
    <x v="54"/>
    <x v="0"/>
    <d v="2024-06-17T00:00:00"/>
    <x v="3"/>
    <x v="0"/>
    <x v="0"/>
    <n v="6976"/>
    <n v="1320"/>
    <n v="393"/>
    <n v="2285"/>
    <n v="14049"/>
    <n v="101367"/>
    <s v="MacBook Air M3 Campaign"/>
    <n v="8.5718231771681114E-2"/>
  </r>
  <r>
    <x v="55"/>
    <x v="1"/>
    <d v="2024-12-18T00:00:00"/>
    <x v="1"/>
    <x v="7"/>
    <x v="7"/>
    <n v="14775"/>
    <n v="1220"/>
    <n v="640"/>
    <n v="1547"/>
    <n v="28527"/>
    <n v="183660"/>
    <s v="MacBook Air M3 Campaign"/>
    <n v="9.0574975498203203E-2"/>
  </r>
  <r>
    <x v="56"/>
    <x v="1"/>
    <d v="2024-10-21T00:00:00"/>
    <x v="2"/>
    <x v="3"/>
    <x v="8"/>
    <n v="12015"/>
    <n v="1196"/>
    <n v="998"/>
    <n v="1848"/>
    <n v="44739"/>
    <n v="161750"/>
    <s v="MacBook Air M3 Campaign"/>
    <n v="8.7845440494590421E-2"/>
  </r>
  <r>
    <x v="57"/>
    <x v="2"/>
    <d v="2025-04-15T00:00:00"/>
    <x v="3"/>
    <x v="2"/>
    <x v="2"/>
    <n v="5419"/>
    <n v="1150"/>
    <n v="656"/>
    <n v="1990"/>
    <n v="410"/>
    <n v="158154"/>
    <s v="Sustainability Awareness Drive"/>
    <n v="4.5683321319726342E-2"/>
  </r>
  <r>
    <x v="58"/>
    <x v="0"/>
    <d v="2024-06-22T00:00:00"/>
    <x v="0"/>
    <x v="6"/>
    <x v="6"/>
    <n v="16430"/>
    <n v="488"/>
    <n v="514"/>
    <n v="1436"/>
    <n v="30059"/>
    <n v="223305"/>
    <s v="iPhone 16 Launch"/>
    <n v="7.8063634938760881E-2"/>
  </r>
  <r>
    <x v="59"/>
    <x v="2"/>
    <d v="2025-01-28T00:00:00"/>
    <x v="1"/>
    <x v="6"/>
    <x v="6"/>
    <n v="9239"/>
    <n v="1477"/>
    <n v="631"/>
    <n v="1556"/>
    <n v="11580"/>
    <n v="84738"/>
    <s v="Sustainability Awareness Drive"/>
    <n v="0.13390686586891359"/>
  </r>
  <r>
    <x v="60"/>
    <x v="0"/>
    <d v="2024-09-05T00:00:00"/>
    <x v="3"/>
    <x v="9"/>
    <x v="4"/>
    <n v="16489"/>
    <n v="395"/>
    <n v="350"/>
    <n v="2364"/>
    <n v="43239"/>
    <n v="73397"/>
    <s v="MacBook Air M3 Campaign"/>
    <n v="0.23480523727127811"/>
  </r>
  <r>
    <x v="61"/>
    <x v="0"/>
    <d v="2025-09-20T00:00:00"/>
    <x v="0"/>
    <x v="3"/>
    <x v="8"/>
    <n v="18633"/>
    <n v="797"/>
    <n v="303"/>
    <n v="659"/>
    <n v="7"/>
    <n v="122189"/>
    <s v="Apple Event September 2025"/>
    <n v="0.16149571565361859"/>
  </r>
  <r>
    <x v="62"/>
    <x v="2"/>
    <d v="2024-07-31T00:00:00"/>
    <x v="0"/>
    <x v="0"/>
    <x v="0"/>
    <n v="12357"/>
    <n v="716"/>
    <n v="599"/>
    <n v="999"/>
    <n v="89591"/>
    <n v="116367"/>
    <s v="Apple Watch Ultra 2 Launch"/>
    <n v="0.11749035379446063"/>
  </r>
  <r>
    <x v="63"/>
    <x v="2"/>
    <d v="2024-08-17T00:00:00"/>
    <x v="2"/>
    <x v="4"/>
    <x v="4"/>
    <n v="19154"/>
    <n v="1064"/>
    <n v="650"/>
    <n v="747"/>
    <n v="42667"/>
    <n v="242332"/>
    <s v="Sustainability Awareness Drive"/>
    <n v="8.6113266097750191E-2"/>
  </r>
  <r>
    <x v="64"/>
    <x v="0"/>
    <d v="2025-03-28T00:00:00"/>
    <x v="1"/>
    <x v="0"/>
    <x v="0"/>
    <n v="6363"/>
    <n v="1341"/>
    <n v="222"/>
    <n v="2712"/>
    <n v="19987"/>
    <n v="160585"/>
    <s v="Sustainability Awareness Drive"/>
    <n v="4.9357038328611019E-2"/>
  </r>
  <r>
    <x v="65"/>
    <x v="3"/>
    <d v="2024-07-26T00:00:00"/>
    <x v="1"/>
    <x v="6"/>
    <x v="6"/>
    <n v="12176"/>
    <n v="1005"/>
    <n v="862"/>
    <n v="974"/>
    <n v="2285"/>
    <n v="116619"/>
    <s v="iPhone 16 Launch"/>
    <n v="0.12041777068916729"/>
  </r>
  <r>
    <x v="66"/>
    <x v="1"/>
    <d v="2025-03-29T00:00:00"/>
    <x v="2"/>
    <x v="6"/>
    <x v="6"/>
    <n v="19461"/>
    <n v="1382"/>
    <n v="445"/>
    <n v="1307"/>
    <n v="84691"/>
    <n v="151453"/>
    <s v="iPhone 16 Launch"/>
    <n v="0.14055845707909384"/>
  </r>
  <r>
    <x v="67"/>
    <x v="2"/>
    <d v="2024-12-08T00:00:00"/>
    <x v="2"/>
    <x v="1"/>
    <x v="1"/>
    <n v="10427"/>
    <n v="1014"/>
    <n v="166"/>
    <n v="1649"/>
    <n v="15145"/>
    <n v="59816"/>
    <s v="Sustainability Awareness Drive"/>
    <n v="0.19404507155276179"/>
  </r>
  <r>
    <x v="68"/>
    <x v="1"/>
    <d v="2025-03-08T00:00:00"/>
    <x v="1"/>
    <x v="6"/>
    <x v="6"/>
    <n v="10580"/>
    <n v="427"/>
    <n v="790"/>
    <n v="2814"/>
    <n v="24916"/>
    <n v="213312"/>
    <s v="MacBook Air M3 Campaign"/>
    <n v="5.530396789678968E-2"/>
  </r>
  <r>
    <x v="69"/>
    <x v="3"/>
    <d v="2025-04-02T00:00:00"/>
    <x v="1"/>
    <x v="7"/>
    <x v="7"/>
    <n v="6858"/>
    <n v="415"/>
    <n v="366"/>
    <n v="2761"/>
    <n v="2988"/>
    <n v="177348"/>
    <s v="Apple Watch Ultra 2 Launch"/>
    <n v="4.3073505198818141E-2"/>
  </r>
  <r>
    <x v="70"/>
    <x v="3"/>
    <d v="2024-09-02T00:00:00"/>
    <x v="3"/>
    <x v="3"/>
    <x v="3"/>
    <n v="12040"/>
    <n v="1147"/>
    <n v="210"/>
    <n v="885"/>
    <n v="30360"/>
    <n v="119530"/>
    <s v="iPhone 16 Launch"/>
    <n v="0.1120806492094035"/>
  </r>
  <r>
    <x v="71"/>
    <x v="3"/>
    <d v="2025-03-03T00:00:00"/>
    <x v="3"/>
    <x v="3"/>
    <x v="8"/>
    <n v="24928"/>
    <n v="214"/>
    <n v="765"/>
    <n v="1556"/>
    <n v="5239"/>
    <n v="194571"/>
    <s v="MacBook Air M3 Campaign"/>
    <n v="0.13314933880177415"/>
  </r>
  <r>
    <x v="72"/>
    <x v="2"/>
    <d v="2025-09-21T00:00:00"/>
    <x v="2"/>
    <x v="0"/>
    <x v="0"/>
    <n v="23103"/>
    <n v="1380"/>
    <n v="191"/>
    <n v="1547"/>
    <n v="77798"/>
    <n v="148856"/>
    <s v="Apple Event September 2025"/>
    <n v="0.16575751061428495"/>
  </r>
  <r>
    <x v="73"/>
    <x v="3"/>
    <d v="2024-10-28T00:00:00"/>
    <x v="3"/>
    <x v="3"/>
    <x v="3"/>
    <n v="21198"/>
    <n v="1484"/>
    <n v="174"/>
    <n v="1293"/>
    <n v="16330"/>
    <n v="111635"/>
    <s v="iPhone 16 Launch"/>
    <n v="0.20473865723115511"/>
  </r>
  <r>
    <x v="74"/>
    <x v="2"/>
    <d v="2024-08-01T00:00:00"/>
    <x v="0"/>
    <x v="2"/>
    <x v="2"/>
    <n v="21758"/>
    <n v="1380"/>
    <n v="188"/>
    <n v="1735"/>
    <n v="20998"/>
    <n v="147803"/>
    <s v="MacBook Air M3 Campaign"/>
    <n v="0.15781817689762725"/>
  </r>
  <r>
    <x v="75"/>
    <x v="3"/>
    <d v="2024-11-07T00:00:00"/>
    <x v="3"/>
    <x v="4"/>
    <x v="4"/>
    <n v="17254"/>
    <n v="246"/>
    <n v="952"/>
    <n v="871"/>
    <n v="14957"/>
    <n v="75946"/>
    <s v="MacBook Air M3 Campaign"/>
    <n v="0.24296210465330631"/>
  </r>
  <r>
    <x v="76"/>
    <x v="1"/>
    <d v="2025-03-04T00:00:00"/>
    <x v="3"/>
    <x v="7"/>
    <x v="7"/>
    <n v="13470"/>
    <n v="523"/>
    <n v="280"/>
    <n v="2682"/>
    <n v="8538"/>
    <n v="95204"/>
    <s v="Apple Watch Ultra 2 Launch"/>
    <n v="0.14992017142136885"/>
  </r>
  <r>
    <x v="77"/>
    <x v="1"/>
    <d v="2024-06-17T00:00:00"/>
    <x v="0"/>
    <x v="5"/>
    <x v="5"/>
    <n v="3252"/>
    <n v="1043"/>
    <n v="647"/>
    <n v="1545"/>
    <n v="18859"/>
    <n v="222958"/>
    <s v="Apple Watch Ultra 2 Launch"/>
    <n v="2.2165609666394567E-2"/>
  </r>
  <r>
    <x v="78"/>
    <x v="0"/>
    <d v="2025-09-22T00:00:00"/>
    <x v="2"/>
    <x v="10"/>
    <x v="10"/>
    <n v="8996"/>
    <n v="329"/>
    <n v="378"/>
    <n v="2384"/>
    <n v="39404"/>
    <n v="242724"/>
    <s v="Apple Event September 2025"/>
    <n v="3.9975445361810122E-2"/>
  </r>
  <r>
    <x v="79"/>
    <x v="1"/>
    <d v="2024-06-13T00:00:00"/>
    <x v="0"/>
    <x v="0"/>
    <x v="0"/>
    <n v="14173"/>
    <n v="294"/>
    <n v="257"/>
    <n v="1288"/>
    <n v="39466"/>
    <n v="55563"/>
    <s v="MacBook Air M3 Campaign"/>
    <n v="0.26499649047027696"/>
  </r>
  <r>
    <x v="80"/>
    <x v="0"/>
    <d v="2024-10-19T00:00:00"/>
    <x v="3"/>
    <x v="3"/>
    <x v="3"/>
    <n v="6673"/>
    <n v="826"/>
    <n v="321"/>
    <n v="577"/>
    <n v="19262"/>
    <n v="132324"/>
    <s v="MacBook Air M3 Campaign"/>
    <n v="5.9097367068710133E-2"/>
  </r>
  <r>
    <x v="81"/>
    <x v="1"/>
    <d v="2024-07-24T00:00:00"/>
    <x v="2"/>
    <x v="5"/>
    <x v="5"/>
    <n v="22914"/>
    <n v="954"/>
    <n v="584"/>
    <n v="1519"/>
    <n v="13637"/>
    <n v="49847"/>
    <s v="Apple Watch Ultra 2 Launch"/>
    <n v="0.49054105563022848"/>
  </r>
  <r>
    <x v="82"/>
    <x v="2"/>
    <d v="2024-10-15T00:00:00"/>
    <x v="3"/>
    <x v="4"/>
    <x v="4"/>
    <n v="17781"/>
    <n v="993"/>
    <n v="627"/>
    <n v="2187"/>
    <n v="9609"/>
    <n v="66155"/>
    <s v="iPhone 16 Launch"/>
    <n v="0.29326581513113142"/>
  </r>
  <r>
    <x v="83"/>
    <x v="1"/>
    <d v="2024-12-09T00:00:00"/>
    <x v="0"/>
    <x v="1"/>
    <x v="1"/>
    <n v="15051"/>
    <n v="268"/>
    <n v="251"/>
    <n v="783"/>
    <n v="34154"/>
    <n v="119671"/>
    <s v="iPhone 16 Launch"/>
    <n v="0.13010670922779954"/>
  </r>
  <r>
    <x v="84"/>
    <x v="0"/>
    <d v="2025-04-19T00:00:00"/>
    <x v="0"/>
    <x v="5"/>
    <x v="5"/>
    <n v="8881"/>
    <n v="210"/>
    <n v="673"/>
    <n v="1565"/>
    <n v="24847"/>
    <n v="156891"/>
    <s v="Sustainability Awareness Drive"/>
    <n v="6.223429004850501E-2"/>
  </r>
  <r>
    <x v="85"/>
    <x v="0"/>
    <d v="2025-01-27T00:00:00"/>
    <x v="3"/>
    <x v="7"/>
    <x v="7"/>
    <n v="8949"/>
    <n v="1477"/>
    <n v="424"/>
    <n v="1030"/>
    <n v="58052"/>
    <n v="123310"/>
    <s v="Apple Watch Ultra 2 Launch"/>
    <n v="8.7989619657773091E-2"/>
  </r>
  <r>
    <x v="86"/>
    <x v="3"/>
    <d v="2024-06-06T00:00:00"/>
    <x v="1"/>
    <x v="7"/>
    <x v="7"/>
    <n v="11521"/>
    <n v="1071"/>
    <n v="762"/>
    <n v="2539"/>
    <n v="12701"/>
    <n v="238350"/>
    <s v="Sustainability Awareness Drive"/>
    <n v="5.6026851269142017E-2"/>
  </r>
  <r>
    <x v="87"/>
    <x v="2"/>
    <d v="2024-07-07T00:00:00"/>
    <x v="1"/>
    <x v="1"/>
    <x v="1"/>
    <n v="24625"/>
    <n v="749"/>
    <n v="193"/>
    <n v="1340"/>
    <n v="4890"/>
    <n v="189381"/>
    <s v="Apple Watch Ultra 2 Launch"/>
    <n v="0.13500298340382616"/>
  </r>
  <r>
    <x v="88"/>
    <x v="1"/>
    <d v="2025-09-23T00:00:00"/>
    <x v="0"/>
    <x v="10"/>
    <x v="10"/>
    <n v="10017"/>
    <n v="1357"/>
    <n v="966"/>
    <n v="2871"/>
    <n v="14800"/>
    <n v="171691"/>
    <s v="Apple Event September 2025"/>
    <n v="7.1873307278774071E-2"/>
  </r>
  <r>
    <x v="89"/>
    <x v="3"/>
    <d v="2024-06-03T00:00:00"/>
    <x v="0"/>
    <x v="3"/>
    <x v="8"/>
    <n v="8941"/>
    <n v="911"/>
    <n v="166"/>
    <n v="1217"/>
    <n v="68817"/>
    <n v="221180"/>
    <s v="MacBook Air M3 Campaign"/>
    <n v="4.5293426168731353E-2"/>
  </r>
  <r>
    <x v="90"/>
    <x v="1"/>
    <d v="2025-09-24T00:00:00"/>
    <x v="1"/>
    <x v="5"/>
    <x v="5"/>
    <n v="12209"/>
    <n v="222"/>
    <n v="479"/>
    <n v="2748"/>
    <n v="24615"/>
    <n v="74707"/>
    <s v="Apple Event September 2025"/>
    <n v="0.17280843829895459"/>
  </r>
  <r>
    <x v="91"/>
    <x v="1"/>
    <d v="2024-10-21T00:00:00"/>
    <x v="1"/>
    <x v="1"/>
    <x v="1"/>
    <n v="19715"/>
    <n v="1014"/>
    <n v="718"/>
    <n v="1185"/>
    <n v="37625"/>
    <n v="191409"/>
    <s v="Apple Watch Ultra 2 Launch"/>
    <n v="0.11204802282024356"/>
  </r>
  <r>
    <x v="92"/>
    <x v="3"/>
    <d v="2024-12-11T00:00:00"/>
    <x v="3"/>
    <x v="7"/>
    <x v="7"/>
    <n v="22645"/>
    <n v="545"/>
    <n v="972"/>
    <n v="321"/>
    <n v="8396"/>
    <n v="121537"/>
    <s v="MacBook Air M3 Campaign"/>
    <n v="0.19880365649966678"/>
  </r>
  <r>
    <x v="93"/>
    <x v="3"/>
    <d v="2024-11-07T00:00:00"/>
    <x v="3"/>
    <x v="7"/>
    <x v="7"/>
    <n v="11550"/>
    <n v="501"/>
    <n v="646"/>
    <n v="773"/>
    <n v="17841"/>
    <n v="237576"/>
    <s v="iPhone 16 Launch"/>
    <n v="5.3443950567397383E-2"/>
  </r>
  <r>
    <x v="94"/>
    <x v="3"/>
    <d v="2024-11-08T00:00:00"/>
    <x v="1"/>
    <x v="3"/>
    <x v="3"/>
    <n v="23499"/>
    <n v="562"/>
    <n v="964"/>
    <n v="2557"/>
    <n v="56890"/>
    <n v="218686"/>
    <s v="iPhone 16 Launch"/>
    <n v="0.11443347996671026"/>
  </r>
  <r>
    <x v="95"/>
    <x v="3"/>
    <d v="2024-09-10T00:00:00"/>
    <x v="3"/>
    <x v="6"/>
    <x v="6"/>
    <n v="6637"/>
    <n v="595"/>
    <n v="161"/>
    <n v="2653"/>
    <n v="19334"/>
    <n v="131155"/>
    <s v="Sustainability Awareness Drive"/>
    <n v="5.6368419046166747E-2"/>
  </r>
  <r>
    <x v="96"/>
    <x v="3"/>
    <d v="2024-08-13T00:00:00"/>
    <x v="3"/>
    <x v="10"/>
    <x v="10"/>
    <n v="6854"/>
    <n v="417"/>
    <n v="467"/>
    <n v="1003"/>
    <n v="61333"/>
    <n v="40281"/>
    <s v="Apple Watch Ultra 2 Launch"/>
    <n v="0.19210049402944315"/>
  </r>
  <r>
    <x v="97"/>
    <x v="1"/>
    <d v="2024-06-10T00:00:00"/>
    <x v="2"/>
    <x v="5"/>
    <x v="5"/>
    <n v="21561"/>
    <n v="340"/>
    <n v="741"/>
    <n v="986"/>
    <n v="24826"/>
    <n v="198492"/>
    <s v="Apple Watch Ultra 2 Launch"/>
    <n v="0.11407008846704149"/>
  </r>
  <r>
    <x v="98"/>
    <x v="3"/>
    <d v="2024-07-02T00:00:00"/>
    <x v="3"/>
    <x v="5"/>
    <x v="5"/>
    <n v="12320"/>
    <n v="1157"/>
    <n v="365"/>
    <n v="584"/>
    <n v="66634"/>
    <n v="210102"/>
    <s v="iPhone 16 Launch"/>
    <n v="6.5882285746922925E-2"/>
  </r>
  <r>
    <x v="99"/>
    <x v="2"/>
    <d v="2025-09-25T00:00:00"/>
    <x v="0"/>
    <x v="4"/>
    <x v="4"/>
    <n v="20564"/>
    <n v="1433"/>
    <n v="488"/>
    <n v="1015"/>
    <n v="24333"/>
    <n v="172130"/>
    <s v="Apple Event September 2025"/>
    <n v="0.13062801371056759"/>
  </r>
  <r>
    <x v="100"/>
    <x v="0"/>
    <d v="2024-10-18T00:00:00"/>
    <x v="3"/>
    <x v="1"/>
    <x v="1"/>
    <n v="6892"/>
    <n v="1184"/>
    <n v="925"/>
    <n v="1062"/>
    <n v="75008"/>
    <n v="116260"/>
    <s v="MacBook Air M3 Campaign"/>
    <n v="7.7421297092723204E-2"/>
  </r>
  <r>
    <x v="101"/>
    <x v="3"/>
    <d v="2025-09-26T00:00:00"/>
    <x v="3"/>
    <x v="4"/>
    <x v="4"/>
    <n v="9043"/>
    <n v="1192"/>
    <n v="810"/>
    <n v="1550"/>
    <n v="5221"/>
    <n v="199476"/>
    <s v="Apple Event September 2025"/>
    <n v="5.5370069582305642E-2"/>
  </r>
  <r>
    <x v="102"/>
    <x v="3"/>
    <d v="2025-09-27T00:00:00"/>
    <x v="1"/>
    <x v="1"/>
    <x v="1"/>
    <n v="18521"/>
    <n v="1027"/>
    <n v="230"/>
    <n v="1247"/>
    <n v="39588"/>
    <n v="200928"/>
    <s v="Apple Event September 2025"/>
    <n v="9.8433269628921807E-2"/>
  </r>
  <r>
    <x v="103"/>
    <x v="1"/>
    <d v="2025-03-23T00:00:00"/>
    <x v="0"/>
    <x v="2"/>
    <x v="2"/>
    <n v="24711"/>
    <n v="882"/>
    <n v="876"/>
    <n v="2728"/>
    <n v="32015"/>
    <n v="180272"/>
    <s v="iPhone 16 Launch"/>
    <n v="0.1468281263867933"/>
  </r>
  <r>
    <x v="104"/>
    <x v="3"/>
    <d v="2024-06-14T00:00:00"/>
    <x v="3"/>
    <x v="7"/>
    <x v="7"/>
    <n v="21856"/>
    <n v="1203"/>
    <n v="634"/>
    <n v="2807"/>
    <n v="3647"/>
    <n v="104178"/>
    <s v="iPhone 16 Launch"/>
    <n v="0.22742805582752595"/>
  </r>
  <r>
    <x v="105"/>
    <x v="3"/>
    <d v="2025-02-04T00:00:00"/>
    <x v="3"/>
    <x v="6"/>
    <x v="6"/>
    <n v="23833"/>
    <n v="555"/>
    <n v="523"/>
    <n v="1330"/>
    <n v="69141"/>
    <n v="73997"/>
    <s v="iPhone 16 Launch"/>
    <n v="0.33664878305877266"/>
  </r>
  <r>
    <x v="106"/>
    <x v="3"/>
    <d v="2024-06-21T00:00:00"/>
    <x v="2"/>
    <x v="3"/>
    <x v="3"/>
    <n v="21216"/>
    <n v="1207"/>
    <n v="859"/>
    <n v="328"/>
    <n v="91296"/>
    <n v="196683"/>
    <s v="Sustainability Awareness Drive"/>
    <n v="0.1183732198512327"/>
  </r>
  <r>
    <x v="107"/>
    <x v="1"/>
    <d v="2025-09-28T00:00:00"/>
    <x v="3"/>
    <x v="6"/>
    <x v="6"/>
    <n v="21963"/>
    <n v="1356"/>
    <n v="349"/>
    <n v="1206"/>
    <n v="51755"/>
    <n v="159273"/>
    <s v="Apple Event September 2025"/>
    <n v="0.14860020216860359"/>
  </r>
  <r>
    <x v="108"/>
    <x v="3"/>
    <d v="2024-08-08T00:00:00"/>
    <x v="3"/>
    <x v="6"/>
    <x v="6"/>
    <n v="24355"/>
    <n v="1087"/>
    <n v="686"/>
    <n v="2426"/>
    <n v="24963"/>
    <n v="212307"/>
    <s v="Apple Watch Ultra 2 Launch"/>
    <n v="0.1230670679723231"/>
  </r>
  <r>
    <x v="109"/>
    <x v="0"/>
    <d v="2024-07-29T00:00:00"/>
    <x v="2"/>
    <x v="6"/>
    <x v="6"/>
    <n v="6164"/>
    <n v="326"/>
    <n v="615"/>
    <n v="2806"/>
    <n v="38579"/>
    <n v="206129"/>
    <s v="MacBook Air M3 Campaign"/>
    <n v="3.4468706489625425E-2"/>
  </r>
  <r>
    <x v="110"/>
    <x v="1"/>
    <d v="2024-11-23T00:00:00"/>
    <x v="1"/>
    <x v="4"/>
    <x v="4"/>
    <n v="9941"/>
    <n v="1329"/>
    <n v="238"/>
    <n v="869"/>
    <n v="40281"/>
    <n v="172311"/>
    <s v="Sustainability Awareness Drive"/>
    <n v="6.6786217943137702E-2"/>
  </r>
  <r>
    <x v="111"/>
    <x v="0"/>
    <d v="2024-10-05T00:00:00"/>
    <x v="3"/>
    <x v="1"/>
    <x v="1"/>
    <n v="16388"/>
    <n v="1208"/>
    <n v="417"/>
    <n v="2306"/>
    <n v="16865"/>
    <n v="236733"/>
    <s v="Apple Watch Ultra 2 Launch"/>
    <n v="7.6089940988370866E-2"/>
  </r>
  <r>
    <x v="112"/>
    <x v="1"/>
    <d v="2025-09-29T00:00:00"/>
    <x v="2"/>
    <x v="8"/>
    <x v="9"/>
    <n v="7569"/>
    <n v="803"/>
    <n v="804"/>
    <n v="1753"/>
    <n v="43582"/>
    <n v="166945"/>
    <s v="Apple Event September 2025"/>
    <n v="5.4964209769684629E-2"/>
  </r>
  <r>
    <x v="113"/>
    <x v="3"/>
    <d v="2024-11-14T00:00:00"/>
    <x v="0"/>
    <x v="2"/>
    <x v="2"/>
    <n v="6300"/>
    <n v="1213"/>
    <n v="720"/>
    <n v="1037"/>
    <n v="39569"/>
    <n v="85272"/>
    <s v="iPhone 16 Launch"/>
    <n v="9.6549863964724647E-2"/>
  </r>
  <r>
    <x v="114"/>
    <x v="0"/>
    <d v="2025-09-30T00:00:00"/>
    <x v="1"/>
    <x v="0"/>
    <x v="0"/>
    <n v="8269"/>
    <n v="250"/>
    <n v="638"/>
    <n v="815"/>
    <n v="41991"/>
    <n v="129393"/>
    <s v="Apple Event September 2025"/>
    <n v="7.0768897853825175E-2"/>
  </r>
  <r>
    <x v="115"/>
    <x v="1"/>
    <d v="2025-03-18T00:00:00"/>
    <x v="0"/>
    <x v="6"/>
    <x v="6"/>
    <n v="5818"/>
    <n v="1252"/>
    <n v="687"/>
    <n v="2300"/>
    <n v="25081"/>
    <n v="101212"/>
    <s v="MacBook Air M3 Campaign"/>
    <n v="7.6641109749832043E-2"/>
  </r>
  <r>
    <x v="116"/>
    <x v="2"/>
    <d v="2024-11-04T00:00:00"/>
    <x v="0"/>
    <x v="3"/>
    <x v="8"/>
    <n v="14015"/>
    <n v="978"/>
    <n v="196"/>
    <n v="2744"/>
    <n v="20190"/>
    <n v="186470"/>
    <s v="Sustainability Awareness Drive"/>
    <n v="8.1455462004611998E-2"/>
  </r>
  <r>
    <x v="117"/>
    <x v="3"/>
    <d v="2024-11-04T00:00:00"/>
    <x v="2"/>
    <x v="4"/>
    <x v="4"/>
    <n v="14234"/>
    <n v="1013"/>
    <n v="437"/>
    <n v="338"/>
    <n v="67754"/>
    <n v="160030"/>
    <s v="Sustainability Awareness Drive"/>
    <n v="9.8006623758045364E-2"/>
  </r>
  <r>
    <x v="118"/>
    <x v="1"/>
    <d v="2025-02-07T00:00:00"/>
    <x v="3"/>
    <x v="10"/>
    <x v="10"/>
    <n v="20290"/>
    <n v="619"/>
    <n v="927"/>
    <n v="1186"/>
    <n v="8924"/>
    <n v="96503"/>
    <s v="MacBook Air M3 Campaign"/>
    <n v="0.22627275835984373"/>
  </r>
  <r>
    <x v="119"/>
    <x v="2"/>
    <d v="2024-10-21T00:00:00"/>
    <x v="2"/>
    <x v="3"/>
    <x v="3"/>
    <n v="8254"/>
    <n v="1405"/>
    <n v="165"/>
    <n v="2504"/>
    <n v="8081"/>
    <n v="177710"/>
    <s v="Apple Watch Ultra 2 Launch"/>
    <n v="5.5281075910190762E-2"/>
  </r>
  <r>
    <x v="120"/>
    <x v="1"/>
    <d v="2024-07-29T00:00:00"/>
    <x v="2"/>
    <x v="0"/>
    <x v="0"/>
    <n v="19144"/>
    <n v="1182"/>
    <n v="860"/>
    <n v="1398"/>
    <n v="4185"/>
    <n v="46570"/>
    <s v="Apple Watch Ultra 2 Launch"/>
    <n v="0.454928065278076"/>
  </r>
  <r>
    <x v="121"/>
    <x v="2"/>
    <d v="2024-10-02T00:00:00"/>
    <x v="2"/>
    <x v="8"/>
    <x v="9"/>
    <n v="9350"/>
    <n v="1024"/>
    <n v="550"/>
    <n v="2123"/>
    <n v="53916"/>
    <n v="108785"/>
    <s v="Sustainability Awareness Drive"/>
    <n v="0.10041825619340902"/>
  </r>
  <r>
    <x v="122"/>
    <x v="3"/>
    <d v="2024-06-14T00:00:00"/>
    <x v="2"/>
    <x v="3"/>
    <x v="8"/>
    <n v="17183"/>
    <n v="1224"/>
    <n v="943"/>
    <n v="2010"/>
    <n v="21481"/>
    <n v="49110"/>
    <s v="Sustainability Awareness Drive"/>
    <n v="0.39401343921808185"/>
  </r>
  <r>
    <x v="123"/>
    <x v="0"/>
    <d v="2025-04-06T00:00:00"/>
    <x v="1"/>
    <x v="8"/>
    <x v="9"/>
    <n v="8238"/>
    <n v="766"/>
    <n v="235"/>
    <n v="1273"/>
    <n v="4706"/>
    <n v="119141"/>
    <s v="iPhone 16 Launch"/>
    <n v="7.7546772311798629E-2"/>
  </r>
  <r>
    <x v="124"/>
    <x v="2"/>
    <d v="2024-09-08T00:00:00"/>
    <x v="3"/>
    <x v="0"/>
    <x v="0"/>
    <n v="8090"/>
    <n v="570"/>
    <n v="399"/>
    <n v="1862"/>
    <n v="34088"/>
    <n v="52115"/>
    <s v="Apple Watch Ultra 2 Launch"/>
    <n v="0.17382711311522595"/>
  </r>
  <r>
    <x v="125"/>
    <x v="1"/>
    <d v="2025-03-28T00:00:00"/>
    <x v="0"/>
    <x v="6"/>
    <x v="6"/>
    <n v="13637"/>
    <n v="1135"/>
    <n v="540"/>
    <n v="1288"/>
    <n v="45183"/>
    <n v="79062"/>
    <s v="MacBook Air M3 Campaign"/>
    <n v="0.19367079001290127"/>
  </r>
  <r>
    <x v="126"/>
    <x v="3"/>
    <d v="2025-01-27T00:00:00"/>
    <x v="0"/>
    <x v="3"/>
    <x v="8"/>
    <n v="24415"/>
    <n v="860"/>
    <n v="931"/>
    <n v="320"/>
    <n v="65049"/>
    <n v="62911"/>
    <s v="Apple Watch Ultra 2 Launch"/>
    <n v="0.41655672298962027"/>
  </r>
  <r>
    <x v="127"/>
    <x v="2"/>
    <d v="2025-01-10T00:00:00"/>
    <x v="3"/>
    <x v="8"/>
    <x v="9"/>
    <n v="14647"/>
    <n v="1168"/>
    <n v="484"/>
    <n v="2650"/>
    <n v="27217"/>
    <n v="144061"/>
    <s v="iPhone 16 Launch"/>
    <n v="0.11313957281984714"/>
  </r>
  <r>
    <x v="128"/>
    <x v="1"/>
    <d v="2024-07-21T00:00:00"/>
    <x v="0"/>
    <x v="3"/>
    <x v="3"/>
    <n v="11911"/>
    <n v="1360"/>
    <n v="778"/>
    <n v="1168"/>
    <n v="16483"/>
    <n v="72556"/>
    <s v="Sustainability Awareness Drive"/>
    <n v="0.19362974805667346"/>
  </r>
  <r>
    <x v="129"/>
    <x v="1"/>
    <d v="2024-09-29T00:00:00"/>
    <x v="3"/>
    <x v="1"/>
    <x v="1"/>
    <n v="10472"/>
    <n v="401"/>
    <n v="668"/>
    <n v="383"/>
    <n v="37571"/>
    <n v="249203"/>
    <s v="Sustainability Awareness Drive"/>
    <n v="4.6311641513143903E-2"/>
  </r>
  <r>
    <x v="130"/>
    <x v="1"/>
    <d v="2024-10-21T00:00:00"/>
    <x v="0"/>
    <x v="7"/>
    <x v="7"/>
    <n v="20271"/>
    <n v="512"/>
    <n v="286"/>
    <n v="1982"/>
    <n v="43225"/>
    <n v="168335"/>
    <s v="iPhone 16 Launch"/>
    <n v="0.12516113701844536"/>
  </r>
  <r>
    <x v="131"/>
    <x v="2"/>
    <d v="2025-03-04T00:00:00"/>
    <x v="2"/>
    <x v="1"/>
    <x v="1"/>
    <n v="5266"/>
    <n v="316"/>
    <n v="837"/>
    <n v="2276"/>
    <n v="20967"/>
    <n v="41969"/>
    <s v="MacBook Air M3 Campaign"/>
    <n v="0.1529462222116324"/>
  </r>
  <r>
    <x v="132"/>
    <x v="2"/>
    <d v="2025-02-06T00:00:00"/>
    <x v="0"/>
    <x v="0"/>
    <x v="0"/>
    <n v="2666"/>
    <n v="1136"/>
    <n v="989"/>
    <n v="1710"/>
    <n v="36467"/>
    <n v="83753"/>
    <s v="Sustainability Awareness Drive"/>
    <n v="5.7203921053574198E-2"/>
  </r>
  <r>
    <x v="133"/>
    <x v="2"/>
    <d v="2025-10-01T00:00:00"/>
    <x v="3"/>
    <x v="4"/>
    <x v="4"/>
    <n v="6188"/>
    <n v="774"/>
    <n v="647"/>
    <n v="1830"/>
    <n v="55436"/>
    <n v="175542"/>
    <s v="Apple Event September 2025"/>
    <n v="4.3345752013763089E-2"/>
  </r>
  <r>
    <x v="134"/>
    <x v="0"/>
    <d v="2024-11-28T00:00:00"/>
    <x v="3"/>
    <x v="7"/>
    <x v="7"/>
    <n v="19055"/>
    <n v="443"/>
    <n v="976"/>
    <n v="869"/>
    <n v="75437"/>
    <n v="161863"/>
    <s v="Sustainability Awareness Drive"/>
    <n v="0.12648968572187591"/>
  </r>
  <r>
    <x v="135"/>
    <x v="2"/>
    <d v="2025-10-02T00:00:00"/>
    <x v="3"/>
    <x v="2"/>
    <x v="2"/>
    <n v="12161"/>
    <n v="736"/>
    <n v="876"/>
    <n v="1233"/>
    <n v="21337"/>
    <n v="50225"/>
    <s v="Apple Event September 2025"/>
    <n v="0.27422598307615731"/>
  </r>
  <r>
    <x v="136"/>
    <x v="2"/>
    <d v="2024-07-31T00:00:00"/>
    <x v="3"/>
    <x v="3"/>
    <x v="3"/>
    <n v="13314"/>
    <n v="274"/>
    <n v="626"/>
    <n v="2280"/>
    <n v="14639"/>
    <n v="163008"/>
    <s v="iPhone 16 Launch"/>
    <n v="8.7198174322732622E-2"/>
  </r>
  <r>
    <x v="137"/>
    <x v="2"/>
    <d v="2025-03-29T00:00:00"/>
    <x v="3"/>
    <x v="2"/>
    <x v="2"/>
    <n v="23508"/>
    <n v="585"/>
    <n v="743"/>
    <n v="2155"/>
    <n v="3704"/>
    <n v="194268"/>
    <s v="iPhone 16 Launch"/>
    <n v="0.1278440093067309"/>
  </r>
  <r>
    <x v="138"/>
    <x v="0"/>
    <d v="2024-10-29T00:00:00"/>
    <x v="1"/>
    <x v="3"/>
    <x v="8"/>
    <n v="23969"/>
    <n v="1433"/>
    <n v="372"/>
    <n v="1092"/>
    <n v="32147"/>
    <n v="145823"/>
    <s v="Sustainability Awareness Drive"/>
    <n v="0.17674852389540743"/>
  </r>
  <r>
    <x v="139"/>
    <x v="2"/>
    <d v="2024-07-15T00:00:00"/>
    <x v="1"/>
    <x v="5"/>
    <x v="5"/>
    <n v="14891"/>
    <n v="674"/>
    <n v="521"/>
    <n v="1091"/>
    <n v="18101"/>
    <n v="53669"/>
    <s v="Apple Watch Ultra 2 Launch"/>
    <n v="0.29972609886526674"/>
  </r>
  <r>
    <x v="140"/>
    <x v="1"/>
    <d v="2025-10-03T00:00:00"/>
    <x v="0"/>
    <x v="7"/>
    <x v="7"/>
    <n v="6777"/>
    <n v="617"/>
    <n v="551"/>
    <n v="2109"/>
    <n v="18559"/>
    <n v="208452"/>
    <s v="Apple Event September 2025"/>
    <n v="3.8114290100358834E-2"/>
  </r>
  <r>
    <x v="141"/>
    <x v="2"/>
    <d v="2025-03-25T00:00:00"/>
    <x v="3"/>
    <x v="2"/>
    <x v="2"/>
    <n v="5900"/>
    <n v="546"/>
    <n v="592"/>
    <n v="1594"/>
    <n v="38627"/>
    <n v="164398"/>
    <s v="MacBook Air M3 Campaign"/>
    <n v="4.2810739790021778E-2"/>
  </r>
  <r>
    <x v="142"/>
    <x v="1"/>
    <d v="2024-10-02T00:00:00"/>
    <x v="0"/>
    <x v="2"/>
    <x v="2"/>
    <n v="15716"/>
    <n v="839"/>
    <n v="639"/>
    <n v="2839"/>
    <n v="349"/>
    <n v="150677"/>
    <s v="Sustainability Awareness Drive"/>
    <n v="0.11411164278556117"/>
  </r>
  <r>
    <x v="143"/>
    <x v="1"/>
    <d v="2024-10-28T00:00:00"/>
    <x v="3"/>
    <x v="8"/>
    <x v="9"/>
    <n v="8981"/>
    <n v="1138"/>
    <n v="764"/>
    <n v="2555"/>
    <n v="92810"/>
    <n v="88320"/>
    <s v="MacBook Air M3 Campaign"/>
    <n v="0.1232223731884058"/>
  </r>
  <r>
    <x v="144"/>
    <x v="1"/>
    <d v="2024-08-12T00:00:00"/>
    <x v="3"/>
    <x v="1"/>
    <x v="1"/>
    <n v="8376"/>
    <n v="1154"/>
    <n v="422"/>
    <n v="1907"/>
    <n v="36874"/>
    <n v="218486"/>
    <s v="Sustainability Awareness Drive"/>
    <n v="4.5549829279679245E-2"/>
  </r>
  <r>
    <x v="145"/>
    <x v="0"/>
    <d v="2024-06-05T00:00:00"/>
    <x v="1"/>
    <x v="8"/>
    <x v="9"/>
    <n v="18907"/>
    <n v="1075"/>
    <n v="675"/>
    <n v="1383"/>
    <n v="17875"/>
    <n v="186649"/>
    <s v="Apple Watch Ultra 2 Launch"/>
    <n v="0.11067297440650634"/>
  </r>
  <r>
    <x v="146"/>
    <x v="0"/>
    <d v="2024-10-21T00:00:00"/>
    <x v="1"/>
    <x v="7"/>
    <x v="7"/>
    <n v="20777"/>
    <n v="962"/>
    <n v="308"/>
    <n v="2777"/>
    <n v="25529"/>
    <n v="165354"/>
    <s v="Apple Watch Ultra 2 Launch"/>
    <n v="0.13333212380710477"/>
  </r>
  <r>
    <x v="147"/>
    <x v="0"/>
    <d v="2025-04-15T00:00:00"/>
    <x v="2"/>
    <x v="7"/>
    <x v="7"/>
    <n v="20977"/>
    <n v="1402"/>
    <n v="301"/>
    <n v="1284"/>
    <n v="24620"/>
    <n v="128009"/>
    <s v="Apple Watch Ultra 2 Launch"/>
    <n v="0.17717504237983267"/>
  </r>
  <r>
    <x v="148"/>
    <x v="2"/>
    <d v="2024-06-16T00:00:00"/>
    <x v="1"/>
    <x v="0"/>
    <x v="0"/>
    <n v="12160"/>
    <n v="1405"/>
    <n v="769"/>
    <n v="1980"/>
    <n v="33174"/>
    <n v="226481"/>
    <s v="Apple Watch Ultra 2 Launch"/>
    <n v="6.329007731332871E-2"/>
  </r>
  <r>
    <x v="149"/>
    <x v="1"/>
    <d v="2024-08-22T00:00:00"/>
    <x v="2"/>
    <x v="8"/>
    <x v="9"/>
    <n v="16124"/>
    <n v="863"/>
    <n v="337"/>
    <n v="819"/>
    <n v="85788"/>
    <n v="68625"/>
    <s v="iPhone 16 Launch"/>
    <n v="0.25244444444444447"/>
  </r>
  <r>
    <x v="150"/>
    <x v="0"/>
    <d v="2024-07-26T00:00:00"/>
    <x v="2"/>
    <x v="9"/>
    <x v="4"/>
    <n v="18282"/>
    <n v="224"/>
    <n v="962"/>
    <n v="890"/>
    <n v="35105"/>
    <n v="64089"/>
    <s v="iPhone 16 Launch"/>
    <n v="0.30376507669022768"/>
  </r>
  <r>
    <x v="151"/>
    <x v="0"/>
    <d v="2025-10-04T00:00:00"/>
    <x v="2"/>
    <x v="10"/>
    <x v="10"/>
    <n v="12488"/>
    <n v="1403"/>
    <n v="247"/>
    <n v="1350"/>
    <n v="28370"/>
    <n v="76487"/>
    <s v="Apple Event September 2025"/>
    <n v="0.18484186855282597"/>
  </r>
  <r>
    <x v="152"/>
    <x v="2"/>
    <d v="2025-01-01T00:00:00"/>
    <x v="2"/>
    <x v="1"/>
    <x v="1"/>
    <n v="24574"/>
    <n v="909"/>
    <n v="280"/>
    <n v="2009"/>
    <n v="6221"/>
    <n v="236910"/>
    <s v="MacBook Air M3 Campaign"/>
    <n v="0.10874593727575872"/>
  </r>
  <r>
    <x v="153"/>
    <x v="0"/>
    <d v="2024-10-09T00:00:00"/>
    <x v="2"/>
    <x v="7"/>
    <x v="7"/>
    <n v="7240"/>
    <n v="1384"/>
    <n v="954"/>
    <n v="2335"/>
    <n v="6757"/>
    <n v="150448"/>
    <s v="Sustainability Awareness Drive"/>
    <n v="6.3663192598106988E-2"/>
  </r>
  <r>
    <x v="154"/>
    <x v="2"/>
    <d v="2024-12-21T00:00:00"/>
    <x v="0"/>
    <x v="0"/>
    <x v="0"/>
    <n v="12453"/>
    <n v="376"/>
    <n v="320"/>
    <n v="2546"/>
    <n v="22617"/>
    <n v="90138"/>
    <s v="Sustainability Awareness Drive"/>
    <n v="0.14587632297144379"/>
  </r>
  <r>
    <x v="155"/>
    <x v="3"/>
    <d v="2024-10-22T00:00:00"/>
    <x v="1"/>
    <x v="5"/>
    <x v="5"/>
    <n v="12478"/>
    <n v="484"/>
    <n v="332"/>
    <n v="2734"/>
    <n v="43338"/>
    <n v="213895"/>
    <s v="iPhone 16 Launch"/>
    <n v="6.2151990462610156E-2"/>
  </r>
  <r>
    <x v="156"/>
    <x v="0"/>
    <d v="2024-07-23T00:00:00"/>
    <x v="2"/>
    <x v="8"/>
    <x v="9"/>
    <n v="24877"/>
    <n v="262"/>
    <n v="513"/>
    <n v="648"/>
    <n v="47544"/>
    <n v="208280"/>
    <s v="Sustainability Awareness Drive"/>
    <n v="0.12316112924908777"/>
  </r>
  <r>
    <x v="157"/>
    <x v="3"/>
    <d v="2024-08-11T00:00:00"/>
    <x v="3"/>
    <x v="1"/>
    <x v="1"/>
    <n v="14394"/>
    <n v="1202"/>
    <n v="188"/>
    <n v="1259"/>
    <n v="21925"/>
    <n v="94061"/>
    <s v="iPhone 16 Launch"/>
    <n v="0.1678059982351878"/>
  </r>
  <r>
    <x v="158"/>
    <x v="2"/>
    <d v="2025-10-05T00:00:00"/>
    <x v="1"/>
    <x v="5"/>
    <x v="5"/>
    <n v="21262"/>
    <n v="861"/>
    <n v="676"/>
    <n v="2263"/>
    <n v="12085"/>
    <n v="201731"/>
    <s v="Apple Event September 2025"/>
    <n v="0.11301683925623726"/>
  </r>
  <r>
    <x v="159"/>
    <x v="1"/>
    <d v="2024-08-24T00:00:00"/>
    <x v="1"/>
    <x v="8"/>
    <x v="9"/>
    <n v="22527"/>
    <n v="865"/>
    <n v="646"/>
    <n v="992"/>
    <n v="18654"/>
    <n v="141376"/>
    <s v="MacBook Air M3 Campaign"/>
    <n v="0.17002885921231325"/>
  </r>
  <r>
    <x v="160"/>
    <x v="0"/>
    <d v="2025-10-06T00:00:00"/>
    <x v="2"/>
    <x v="2"/>
    <x v="2"/>
    <n v="22028"/>
    <n v="355"/>
    <n v="665"/>
    <n v="1859"/>
    <n v="50565"/>
    <n v="202962"/>
    <s v="Apple Event September 2025"/>
    <n v="0.11355820301337197"/>
  </r>
  <r>
    <x v="161"/>
    <x v="2"/>
    <d v="2025-04-01T00:00:00"/>
    <x v="0"/>
    <x v="5"/>
    <x v="5"/>
    <n v="6432"/>
    <n v="1272"/>
    <n v="498"/>
    <n v="677"/>
    <n v="47305"/>
    <n v="119134"/>
    <s v="Apple Watch Ultra 2 Launch"/>
    <n v="6.8846844729464299E-2"/>
  </r>
  <r>
    <x v="162"/>
    <x v="1"/>
    <d v="2025-04-08T00:00:00"/>
    <x v="2"/>
    <x v="0"/>
    <x v="0"/>
    <n v="15568"/>
    <n v="1166"/>
    <n v="546"/>
    <n v="826"/>
    <n v="21836"/>
    <n v="87055"/>
    <s v="Apple Watch Ultra 2 Launch"/>
    <n v="0.19849520418126471"/>
  </r>
  <r>
    <x v="163"/>
    <x v="1"/>
    <d v="2025-02-27T00:00:00"/>
    <x v="0"/>
    <x v="1"/>
    <x v="1"/>
    <n v="16178"/>
    <n v="1048"/>
    <n v="871"/>
    <n v="2553"/>
    <n v="39025"/>
    <n v="59508"/>
    <s v="Apple Watch Ultra 2 Launch"/>
    <n v="0.30411037171472743"/>
  </r>
  <r>
    <x v="164"/>
    <x v="3"/>
    <d v="2025-10-07T00:00:00"/>
    <x v="3"/>
    <x v="6"/>
    <x v="6"/>
    <n v="19660"/>
    <n v="1307"/>
    <n v="310"/>
    <n v="2802"/>
    <n v="22171"/>
    <n v="213359"/>
    <s v="Apple Event September 2025"/>
    <n v="9.9723939463533293E-2"/>
  </r>
  <r>
    <x v="165"/>
    <x v="2"/>
    <d v="2025-02-16T00:00:00"/>
    <x v="1"/>
    <x v="3"/>
    <x v="8"/>
    <n v="24195"/>
    <n v="888"/>
    <n v="165"/>
    <n v="1559"/>
    <n v="11596"/>
    <n v="249988"/>
    <s v="Sustainability Awareness Drive"/>
    <n v="0.10099684784869674"/>
  </r>
  <r>
    <x v="166"/>
    <x v="1"/>
    <d v="2024-11-28T00:00:00"/>
    <x v="3"/>
    <x v="3"/>
    <x v="8"/>
    <n v="2302"/>
    <n v="347"/>
    <n v="642"/>
    <n v="2175"/>
    <n v="56378"/>
    <n v="198056"/>
    <s v="MacBook Air M3 Campaign"/>
    <n v="1.6616512501514722E-2"/>
  </r>
  <r>
    <x v="167"/>
    <x v="0"/>
    <d v="2024-11-12T00:00:00"/>
    <x v="0"/>
    <x v="1"/>
    <x v="1"/>
    <n v="19022"/>
    <n v="541"/>
    <n v="575"/>
    <n v="2063"/>
    <n v="42743"/>
    <n v="150169"/>
    <s v="Apple Watch Ultra 2 Launch"/>
    <n v="0.13410224480418728"/>
  </r>
  <r>
    <x v="168"/>
    <x v="0"/>
    <d v="2024-12-03T00:00:00"/>
    <x v="0"/>
    <x v="5"/>
    <x v="5"/>
    <n v="2055"/>
    <n v="675"/>
    <n v="257"/>
    <n v="820"/>
    <n v="33534"/>
    <n v="48125"/>
    <s v="Apple Watch Ultra 2 Launch"/>
    <n v="6.2067532467532466E-2"/>
  </r>
  <r>
    <x v="169"/>
    <x v="3"/>
    <d v="2025-04-28T00:00:00"/>
    <x v="3"/>
    <x v="8"/>
    <x v="9"/>
    <n v="15013"/>
    <n v="1286"/>
    <n v="599"/>
    <n v="2001"/>
    <n v="67839"/>
    <n v="76059"/>
    <s v="Apple Watch Ultra 2 Launch"/>
    <n v="0.22216963147030594"/>
  </r>
  <r>
    <x v="170"/>
    <x v="1"/>
    <d v="2024-12-31T00:00:00"/>
    <x v="0"/>
    <x v="0"/>
    <x v="0"/>
    <n v="10717"/>
    <n v="760"/>
    <n v="460"/>
    <n v="1316"/>
    <n v="18164"/>
    <n v="240641"/>
    <s v="MacBook Air M3 Campaign"/>
    <n v="4.9605013277039242E-2"/>
  </r>
  <r>
    <x v="171"/>
    <x v="2"/>
    <d v="2024-08-14T00:00:00"/>
    <x v="3"/>
    <x v="10"/>
    <x v="10"/>
    <n v="10150"/>
    <n v="526"/>
    <n v="888"/>
    <n v="1313"/>
    <n v="51605"/>
    <n v="143409"/>
    <s v="Apple Watch Ultra 2 Launch"/>
    <n v="8.0636501195880311E-2"/>
  </r>
  <r>
    <x v="172"/>
    <x v="0"/>
    <d v="2024-12-05T00:00:00"/>
    <x v="1"/>
    <x v="3"/>
    <x v="8"/>
    <n v="4125"/>
    <n v="1364"/>
    <n v="319"/>
    <n v="2848"/>
    <n v="15379"/>
    <n v="188159"/>
    <s v="MacBook Air M3 Campaign"/>
    <n v="3.0867510988047343E-2"/>
  </r>
  <r>
    <x v="173"/>
    <x v="1"/>
    <d v="2024-06-22T00:00:00"/>
    <x v="3"/>
    <x v="0"/>
    <x v="0"/>
    <n v="13479"/>
    <n v="1189"/>
    <n v="695"/>
    <n v="416"/>
    <n v="30229"/>
    <n v="45704"/>
    <s v="Apple Watch Ultra 2 Launch"/>
    <n v="0.33614125678277612"/>
  </r>
  <r>
    <x v="174"/>
    <x v="1"/>
    <d v="2025-10-08T00:00:00"/>
    <x v="1"/>
    <x v="3"/>
    <x v="8"/>
    <n v="17745"/>
    <n v="414"/>
    <n v="563"/>
    <n v="2733"/>
    <n v="995"/>
    <n v="231648"/>
    <s v="Apple Event September 2025"/>
    <n v="8.0820900676889074E-2"/>
  </r>
  <r>
    <x v="175"/>
    <x v="3"/>
    <d v="2025-10-09T00:00:00"/>
    <x v="3"/>
    <x v="2"/>
    <x v="2"/>
    <n v="18748"/>
    <n v="634"/>
    <n v="400"/>
    <n v="1667"/>
    <n v="75813"/>
    <n v="244456"/>
    <s v="Apple Event September 2025"/>
    <n v="8.0922538207284747E-2"/>
  </r>
  <r>
    <x v="176"/>
    <x v="0"/>
    <d v="2024-07-10T00:00:00"/>
    <x v="0"/>
    <x v="8"/>
    <x v="9"/>
    <n v="8809"/>
    <n v="1151"/>
    <n v="908"/>
    <n v="883"/>
    <n v="42921"/>
    <n v="151279"/>
    <s v="MacBook Air M3 Campaign"/>
    <n v="7.1840771025720687E-2"/>
  </r>
  <r>
    <x v="177"/>
    <x v="0"/>
    <d v="2025-10-10T00:00:00"/>
    <x v="3"/>
    <x v="2"/>
    <x v="2"/>
    <n v="6621"/>
    <n v="922"/>
    <n v="930"/>
    <n v="694"/>
    <n v="839"/>
    <n v="243532"/>
    <s v="Apple Event September 2025"/>
    <n v="3.479214230573395E-2"/>
  </r>
  <r>
    <x v="178"/>
    <x v="2"/>
    <d v="2024-07-15T00:00:00"/>
    <x v="0"/>
    <x v="3"/>
    <x v="8"/>
    <n v="17034"/>
    <n v="231"/>
    <n v="290"/>
    <n v="1387"/>
    <n v="63550"/>
    <n v="198280"/>
    <s v="MacBook Air M3 Campaign"/>
    <n v="8.8536413153116805E-2"/>
  </r>
  <r>
    <x v="179"/>
    <x v="0"/>
    <d v="2025-10-11T00:00:00"/>
    <x v="3"/>
    <x v="6"/>
    <x v="6"/>
    <n v="15623"/>
    <n v="869"/>
    <n v="423"/>
    <n v="371"/>
    <n v="47579"/>
    <n v="158516"/>
    <s v="Apple Event September 2025"/>
    <n v="0.10670847106916652"/>
  </r>
  <r>
    <x v="180"/>
    <x v="2"/>
    <d v="2025-10-12T00:00:00"/>
    <x v="3"/>
    <x v="6"/>
    <x v="6"/>
    <n v="7126"/>
    <n v="484"/>
    <n v="565"/>
    <n v="573"/>
    <n v="7389"/>
    <n v="237096"/>
    <s v="Apple Event September 2025"/>
    <n v="3.4479704423524646E-2"/>
  </r>
  <r>
    <x v="181"/>
    <x v="0"/>
    <d v="2024-07-31T00:00:00"/>
    <x v="2"/>
    <x v="2"/>
    <x v="2"/>
    <n v="7122"/>
    <n v="628"/>
    <n v="757"/>
    <n v="2313"/>
    <n v="50924"/>
    <n v="210954"/>
    <s v="MacBook Air M3 Campaign"/>
    <n v="4.0326327066564277E-2"/>
  </r>
  <r>
    <x v="182"/>
    <x v="3"/>
    <d v="2024-12-17T00:00:00"/>
    <x v="0"/>
    <x v="6"/>
    <x v="6"/>
    <n v="20030"/>
    <n v="485"/>
    <n v="888"/>
    <n v="1643"/>
    <n v="4322"/>
    <n v="196995"/>
    <s v="Sustainability Awareness Drive"/>
    <n v="0.10864742759968526"/>
  </r>
  <r>
    <x v="183"/>
    <x v="0"/>
    <d v="2025-10-13T00:00:00"/>
    <x v="2"/>
    <x v="3"/>
    <x v="8"/>
    <n v="19302"/>
    <n v="1367"/>
    <n v="188"/>
    <n v="637"/>
    <n v="31404"/>
    <n v="154044"/>
    <s v="Apple Event September 2025"/>
    <n v="0.13539638025499209"/>
  </r>
  <r>
    <x v="184"/>
    <x v="2"/>
    <d v="2025-01-11T00:00:00"/>
    <x v="0"/>
    <x v="1"/>
    <x v="1"/>
    <n v="21181"/>
    <n v="1242"/>
    <n v="963"/>
    <n v="1689"/>
    <n v="49329"/>
    <n v="69165"/>
    <s v="Apple Watch Ultra 2 Launch"/>
    <n v="0.33811899081905589"/>
  </r>
  <r>
    <x v="185"/>
    <x v="2"/>
    <d v="2024-08-24T00:00:00"/>
    <x v="2"/>
    <x v="2"/>
    <x v="2"/>
    <n v="24890"/>
    <n v="217"/>
    <n v="178"/>
    <n v="906"/>
    <n v="54826"/>
    <n v="107203"/>
    <s v="Sustainability Awareness Drive"/>
    <n v="0.23586093672751696"/>
  </r>
  <r>
    <x v="186"/>
    <x v="3"/>
    <d v="2024-12-22T00:00:00"/>
    <x v="1"/>
    <x v="10"/>
    <x v="10"/>
    <n v="7870"/>
    <n v="968"/>
    <n v="626"/>
    <n v="465"/>
    <n v="27184"/>
    <n v="44114"/>
    <s v="MacBook Air M3 Campaign"/>
    <n v="0.2145350682323072"/>
  </r>
  <r>
    <x v="187"/>
    <x v="0"/>
    <d v="2024-06-06T00:00:00"/>
    <x v="3"/>
    <x v="10"/>
    <x v="10"/>
    <n v="3531"/>
    <n v="789"/>
    <n v="467"/>
    <n v="1867"/>
    <n v="40816"/>
    <n v="236037"/>
    <s v="Sustainability Awareness Drive"/>
    <n v="2.0280718700881641E-2"/>
  </r>
  <r>
    <x v="188"/>
    <x v="0"/>
    <d v="2025-03-24T00:00:00"/>
    <x v="0"/>
    <x v="4"/>
    <x v="4"/>
    <n v="10172"/>
    <n v="1398"/>
    <n v="394"/>
    <n v="2358"/>
    <n v="59610"/>
    <n v="76321"/>
    <s v="iPhone 16 Launch"/>
    <n v="0.15675895231980713"/>
  </r>
  <r>
    <x v="189"/>
    <x v="3"/>
    <d v="2024-10-04T00:00:00"/>
    <x v="0"/>
    <x v="5"/>
    <x v="5"/>
    <n v="21729"/>
    <n v="1209"/>
    <n v="897"/>
    <n v="1624"/>
    <n v="38771"/>
    <n v="113297"/>
    <s v="iPhone 16 Launch"/>
    <n v="0.21037626768581694"/>
  </r>
  <r>
    <x v="190"/>
    <x v="0"/>
    <d v="2025-10-14T00:00:00"/>
    <x v="3"/>
    <x v="8"/>
    <x v="9"/>
    <n v="9673"/>
    <n v="393"/>
    <n v="846"/>
    <n v="1028"/>
    <n v="55556"/>
    <n v="136652"/>
    <s v="Apple Event September 2025"/>
    <n v="7.9852471972601938E-2"/>
  </r>
  <r>
    <x v="191"/>
    <x v="0"/>
    <d v="2025-10-15T00:00:00"/>
    <x v="0"/>
    <x v="6"/>
    <x v="6"/>
    <n v="8882"/>
    <n v="701"/>
    <n v="421"/>
    <n v="2343"/>
    <n v="13588"/>
    <n v="139304"/>
    <s v="Apple Event September 2025"/>
    <n v="7.1814161833113191E-2"/>
  </r>
  <r>
    <x v="192"/>
    <x v="2"/>
    <d v="2024-09-11T00:00:00"/>
    <x v="0"/>
    <x v="6"/>
    <x v="6"/>
    <n v="3906"/>
    <n v="1187"/>
    <n v="589"/>
    <n v="401"/>
    <n v="52687"/>
    <n v="196498"/>
    <s v="Apple Watch Ultra 2 Launch"/>
    <n v="2.8916324848090057E-2"/>
  </r>
  <r>
    <x v="193"/>
    <x v="0"/>
    <d v="2024-10-02T00:00:00"/>
    <x v="2"/>
    <x v="5"/>
    <x v="5"/>
    <n v="5086"/>
    <n v="1336"/>
    <n v="897"/>
    <n v="1715"/>
    <n v="60592"/>
    <n v="57772"/>
    <s v="Sustainability Awareness Drive"/>
    <n v="0.12668766876687668"/>
  </r>
  <r>
    <x v="194"/>
    <x v="0"/>
    <d v="2024-08-15T00:00:00"/>
    <x v="0"/>
    <x v="7"/>
    <x v="7"/>
    <n v="15503"/>
    <n v="313"/>
    <n v="388"/>
    <n v="1078"/>
    <n v="11500"/>
    <n v="143754"/>
    <s v="iPhone 16 Launch"/>
    <n v="0.1127203416948398"/>
  </r>
  <r>
    <x v="195"/>
    <x v="3"/>
    <d v="2025-09-18T00:00:00"/>
    <x v="1"/>
    <x v="9"/>
    <x v="4"/>
    <n v="10152"/>
    <n v="1445"/>
    <n v="526"/>
    <n v="513"/>
    <n v="18959"/>
    <n v="43712"/>
    <s v="Apple Event September 2025"/>
    <n v="0.27733803074670571"/>
  </r>
  <r>
    <x v="196"/>
    <x v="3"/>
    <d v="2024-10-22T00:00:00"/>
    <x v="1"/>
    <x v="2"/>
    <x v="2"/>
    <n v="7750"/>
    <n v="1146"/>
    <n v="415"/>
    <n v="1411"/>
    <n v="85339"/>
    <n v="172439"/>
    <s v="Sustainability Awareness Drive"/>
    <n v="5.3995905798572247E-2"/>
  </r>
  <r>
    <x v="197"/>
    <x v="1"/>
    <d v="2025-09-19T00:00:00"/>
    <x v="3"/>
    <x v="3"/>
    <x v="3"/>
    <n v="14772"/>
    <n v="1030"/>
    <n v="508"/>
    <n v="1876"/>
    <n v="8882"/>
    <n v="155142"/>
    <s v="Apple Event September 2025"/>
    <n v="0.10512949426976577"/>
  </r>
  <r>
    <x v="198"/>
    <x v="2"/>
    <d v="2025-09-20T00:00:00"/>
    <x v="0"/>
    <x v="6"/>
    <x v="6"/>
    <n v="12267"/>
    <n v="1487"/>
    <n v="489"/>
    <n v="2748"/>
    <n v="34685"/>
    <n v="131736"/>
    <s v="Apple Event September 2025"/>
    <n v="0.1081177506528208"/>
  </r>
  <r>
    <x v="199"/>
    <x v="0"/>
    <d v="2025-04-07T00:00:00"/>
    <x v="3"/>
    <x v="8"/>
    <x v="9"/>
    <n v="3062"/>
    <n v="1124"/>
    <n v="538"/>
    <n v="2935"/>
    <n v="69749"/>
    <n v="91924"/>
    <s v="iPhone 16 Launch"/>
    <n v="5.1390278926069365E-2"/>
  </r>
  <r>
    <x v="200"/>
    <x v="0"/>
    <d v="2025-01-15T00:00:00"/>
    <x v="1"/>
    <x v="4"/>
    <x v="4"/>
    <n v="20360"/>
    <n v="254"/>
    <n v="726"/>
    <n v="1995"/>
    <n v="14280"/>
    <n v="43726"/>
    <s v="iPhone 16 Launch"/>
    <n v="0.48803915290673738"/>
  </r>
  <r>
    <x v="201"/>
    <x v="1"/>
    <d v="2025-09-21T00:00:00"/>
    <x v="0"/>
    <x v="10"/>
    <x v="10"/>
    <n v="19680"/>
    <n v="999"/>
    <n v="838"/>
    <n v="891"/>
    <n v="29576"/>
    <n v="129152"/>
    <s v="Apple Event September 2025"/>
    <n v="0.16660214321110009"/>
  </r>
  <r>
    <x v="202"/>
    <x v="0"/>
    <d v="2024-11-21T00:00:00"/>
    <x v="0"/>
    <x v="6"/>
    <x v="6"/>
    <n v="8229"/>
    <n v="977"/>
    <n v="152"/>
    <n v="1633"/>
    <n v="71447"/>
    <n v="67723"/>
    <s v="MacBook Air M3 Campaign"/>
    <n v="0.13818052950991538"/>
  </r>
  <r>
    <x v="203"/>
    <x v="2"/>
    <d v="2025-09-22T00:00:00"/>
    <x v="3"/>
    <x v="4"/>
    <x v="4"/>
    <n v="18509"/>
    <n v="361"/>
    <n v="578"/>
    <n v="1409"/>
    <n v="10569"/>
    <n v="166969"/>
    <s v="Apple Event September 2025"/>
    <n v="0.11647671124580011"/>
  </r>
  <r>
    <x v="204"/>
    <x v="1"/>
    <d v="2025-09-23T00:00:00"/>
    <x v="1"/>
    <x v="3"/>
    <x v="8"/>
    <n v="17147"/>
    <n v="286"/>
    <n v="291"/>
    <n v="2439"/>
    <n v="45631"/>
    <n v="140494"/>
    <s v="Apple Event September 2025"/>
    <n v="0.12615485358805359"/>
  </r>
  <r>
    <x v="205"/>
    <x v="2"/>
    <d v="2024-06-24T00:00:00"/>
    <x v="0"/>
    <x v="3"/>
    <x v="8"/>
    <n v="6632"/>
    <n v="254"/>
    <n v="525"/>
    <n v="1013"/>
    <n v="13838"/>
    <n v="180180"/>
    <s v="Apple Watch Ultra 2 Launch"/>
    <n v="4.1131091131091133E-2"/>
  </r>
  <r>
    <x v="206"/>
    <x v="1"/>
    <d v="2024-12-29T00:00:00"/>
    <x v="3"/>
    <x v="9"/>
    <x v="4"/>
    <n v="8288"/>
    <n v="1401"/>
    <n v="819"/>
    <n v="1235"/>
    <n v="33446"/>
    <n v="248786"/>
    <s v="Apple Watch Ultra 2 Launch"/>
    <n v="4.2237103373984064E-2"/>
  </r>
  <r>
    <x v="207"/>
    <x v="1"/>
    <d v="2024-06-24T00:00:00"/>
    <x v="1"/>
    <x v="1"/>
    <x v="1"/>
    <n v="5596"/>
    <n v="1231"/>
    <n v="473"/>
    <n v="2251"/>
    <n v="43705"/>
    <n v="75643"/>
    <s v="Apple Watch Ultra 2 Launch"/>
    <n v="9.6505955607260427E-2"/>
  </r>
  <r>
    <x v="208"/>
    <x v="3"/>
    <d v="2025-03-19T00:00:00"/>
    <x v="3"/>
    <x v="3"/>
    <x v="3"/>
    <n v="13475"/>
    <n v="1032"/>
    <n v="295"/>
    <n v="541"/>
    <n v="43666"/>
    <n v="202396"/>
    <s v="MacBook Air M3 Campaign"/>
    <n v="7.3133856400324118E-2"/>
  </r>
  <r>
    <x v="209"/>
    <x v="2"/>
    <d v="2025-02-19T00:00:00"/>
    <x v="2"/>
    <x v="7"/>
    <x v="7"/>
    <n v="8168"/>
    <n v="512"/>
    <n v="442"/>
    <n v="2343"/>
    <n v="2753"/>
    <n v="143896"/>
    <s v="MacBook Air M3 Campaign"/>
    <n v="6.3393006059932172E-2"/>
  </r>
  <r>
    <x v="210"/>
    <x v="0"/>
    <d v="2025-09-24T00:00:00"/>
    <x v="0"/>
    <x v="9"/>
    <x v="4"/>
    <n v="11795"/>
    <n v="958"/>
    <n v="814"/>
    <n v="301"/>
    <n v="12564"/>
    <n v="179999"/>
    <s v="Apple Event September 2025"/>
    <n v="7.5372640959116444E-2"/>
  </r>
  <r>
    <x v="211"/>
    <x v="0"/>
    <d v="2025-03-03T00:00:00"/>
    <x v="2"/>
    <x v="0"/>
    <x v="0"/>
    <n v="9561"/>
    <n v="642"/>
    <n v="581"/>
    <n v="2572"/>
    <n v="38552"/>
    <n v="133680"/>
    <s v="Apple Watch Ultra 2 Launch"/>
    <n v="8.0670257330939563E-2"/>
  </r>
  <r>
    <x v="212"/>
    <x v="2"/>
    <d v="2025-05-01T00:00:00"/>
    <x v="1"/>
    <x v="7"/>
    <x v="7"/>
    <n v="10258"/>
    <n v="527"/>
    <n v="854"/>
    <n v="2068"/>
    <n v="45632"/>
    <n v="136546"/>
    <s v="MacBook Air M3 Campaign"/>
    <n v="8.5238674146441498E-2"/>
  </r>
  <r>
    <x v="213"/>
    <x v="0"/>
    <d v="2024-12-23T00:00:00"/>
    <x v="2"/>
    <x v="2"/>
    <x v="2"/>
    <n v="18616"/>
    <n v="1277"/>
    <n v="734"/>
    <n v="2249"/>
    <n v="3399"/>
    <n v="193515"/>
    <s v="iPhone 16 Launch"/>
    <n v="0.10659122031883833"/>
  </r>
  <r>
    <x v="214"/>
    <x v="0"/>
    <d v="2025-09-25T00:00:00"/>
    <x v="2"/>
    <x v="8"/>
    <x v="9"/>
    <n v="8371"/>
    <n v="960"/>
    <n v="548"/>
    <n v="2936"/>
    <n v="82543"/>
    <n v="119973"/>
    <s v="Apple Event September 2025"/>
    <n v="8.2343527293641069E-2"/>
  </r>
  <r>
    <x v="215"/>
    <x v="2"/>
    <d v="2024-07-29T00:00:00"/>
    <x v="1"/>
    <x v="0"/>
    <x v="0"/>
    <n v="22590"/>
    <n v="1462"/>
    <n v="966"/>
    <n v="2463"/>
    <n v="29689"/>
    <n v="103449"/>
    <s v="Sustainability Awareness Drive"/>
    <n v="0.24183897379385011"/>
  </r>
  <r>
    <x v="216"/>
    <x v="1"/>
    <d v="2025-09-26T00:00:00"/>
    <x v="3"/>
    <x v="0"/>
    <x v="0"/>
    <n v="16369"/>
    <n v="1452"/>
    <n v="493"/>
    <n v="1217"/>
    <n v="91440"/>
    <n v="149834"/>
    <s v="Apple Event September 2025"/>
    <n v="0.12222859965027964"/>
  </r>
  <r>
    <x v="217"/>
    <x v="2"/>
    <d v="2024-06-11T00:00:00"/>
    <x v="2"/>
    <x v="9"/>
    <x v="4"/>
    <n v="14910"/>
    <n v="778"/>
    <n v="289"/>
    <n v="2541"/>
    <n v="14309"/>
    <n v="247815"/>
    <s v="Sustainability Awareness Drive"/>
    <n v="6.4471480741682297E-2"/>
  </r>
  <r>
    <x v="218"/>
    <x v="1"/>
    <d v="2025-01-28T00:00:00"/>
    <x v="3"/>
    <x v="5"/>
    <x v="5"/>
    <n v="9943"/>
    <n v="1274"/>
    <n v="336"/>
    <n v="389"/>
    <n v="6145"/>
    <n v="231305"/>
    <s v="Apple Watch Ultra 2 Launch"/>
    <n v="4.9947039623008581E-2"/>
  </r>
  <r>
    <x v="219"/>
    <x v="0"/>
    <d v="2024-06-02T00:00:00"/>
    <x v="2"/>
    <x v="1"/>
    <x v="1"/>
    <n v="14199"/>
    <n v="1206"/>
    <n v="954"/>
    <n v="2009"/>
    <n v="8"/>
    <n v="65537"/>
    <s v="Sustainability Awareness Drive"/>
    <n v="0.24961472145505592"/>
  </r>
  <r>
    <x v="220"/>
    <x v="0"/>
    <d v="2025-03-23T00:00:00"/>
    <x v="3"/>
    <x v="5"/>
    <x v="5"/>
    <n v="17728"/>
    <n v="1487"/>
    <n v="210"/>
    <n v="2469"/>
    <n v="30565"/>
    <n v="117576"/>
    <s v="Apple Watch Ultra 2 Launch"/>
    <n v="0.16521228822208614"/>
  </r>
  <r>
    <x v="221"/>
    <x v="0"/>
    <d v="2024-10-08T00:00:00"/>
    <x v="1"/>
    <x v="9"/>
    <x v="4"/>
    <n v="8738"/>
    <n v="295"/>
    <n v="529"/>
    <n v="442"/>
    <n v="25286"/>
    <n v="147522"/>
    <s v="iPhone 16 Launch"/>
    <n v="6.4817450956467515E-2"/>
  </r>
  <r>
    <x v="222"/>
    <x v="3"/>
    <d v="2024-11-12T00:00:00"/>
    <x v="2"/>
    <x v="2"/>
    <x v="2"/>
    <n v="17913"/>
    <n v="1311"/>
    <n v="859"/>
    <n v="405"/>
    <n v="59842"/>
    <n v="62612"/>
    <s v="Sustainability Awareness Drive"/>
    <n v="0.32075321024723696"/>
  </r>
  <r>
    <x v="223"/>
    <x v="1"/>
    <d v="2025-09-07T00:00:00"/>
    <x v="1"/>
    <x v="10"/>
    <x v="10"/>
    <n v="4472"/>
    <n v="1301"/>
    <n v="956"/>
    <n v="1186"/>
    <n v="3363"/>
    <n v="46471"/>
    <s v="Apple Event September 2025"/>
    <n v="0.14479998278496267"/>
  </r>
  <r>
    <x v="224"/>
    <x v="3"/>
    <d v="2024-06-20T00:00:00"/>
    <x v="2"/>
    <x v="6"/>
    <x v="6"/>
    <n v="21123"/>
    <n v="1343"/>
    <n v="589"/>
    <n v="727"/>
    <n v="87833"/>
    <n v="206703"/>
    <s v="Apple Watch Ultra 2 Launch"/>
    <n v="0.11153684271636116"/>
  </r>
  <r>
    <x v="225"/>
    <x v="3"/>
    <d v="2025-09-08T00:00:00"/>
    <x v="1"/>
    <x v="6"/>
    <x v="6"/>
    <n v="23785"/>
    <n v="1013"/>
    <n v="468"/>
    <n v="1628"/>
    <n v="8272"/>
    <n v="71348"/>
    <s v="Apple Event September 2025"/>
    <n v="0.35412345125301342"/>
  </r>
  <r>
    <x v="226"/>
    <x v="2"/>
    <d v="2024-06-12T00:00:00"/>
    <x v="1"/>
    <x v="1"/>
    <x v="1"/>
    <n v="17679"/>
    <n v="690"/>
    <n v="451"/>
    <n v="2195"/>
    <n v="4390"/>
    <n v="235804"/>
    <s v="MacBook Air M3 Campaign"/>
    <n v="7.9812047293514959E-2"/>
  </r>
  <r>
    <x v="227"/>
    <x v="3"/>
    <d v="2024-07-01T00:00:00"/>
    <x v="2"/>
    <x v="2"/>
    <x v="2"/>
    <n v="3761"/>
    <n v="651"/>
    <n v="493"/>
    <n v="2294"/>
    <n v="71696"/>
    <n v="41177"/>
    <s v="Apple Watch Ultra 2 Launch"/>
    <n v="0.11911989702989532"/>
  </r>
  <r>
    <x v="228"/>
    <x v="2"/>
    <d v="2024-07-03T00:00:00"/>
    <x v="2"/>
    <x v="1"/>
    <x v="1"/>
    <n v="12167"/>
    <n v="364"/>
    <n v="160"/>
    <n v="616"/>
    <n v="42228"/>
    <n v="175832"/>
    <s v="Sustainability Awareness Drive"/>
    <n v="7.2176850630146963E-2"/>
  </r>
  <r>
    <x v="229"/>
    <x v="2"/>
    <d v="2024-07-15T00:00:00"/>
    <x v="2"/>
    <x v="4"/>
    <x v="4"/>
    <n v="12554"/>
    <n v="381"/>
    <n v="211"/>
    <n v="2286"/>
    <n v="50567"/>
    <n v="72779"/>
    <s v="Apple Watch Ultra 2 Launch"/>
    <n v="0.18062902760411656"/>
  </r>
  <r>
    <x v="230"/>
    <x v="3"/>
    <d v="2025-09-09T00:00:00"/>
    <x v="0"/>
    <x v="5"/>
    <x v="5"/>
    <n v="19260"/>
    <n v="668"/>
    <n v="994"/>
    <n v="934"/>
    <n v="20509"/>
    <n v="61636"/>
    <s v="Apple Event September 2025"/>
    <n v="0.33944448049841003"/>
  </r>
  <r>
    <x v="231"/>
    <x v="1"/>
    <d v="2025-04-29T00:00:00"/>
    <x v="3"/>
    <x v="6"/>
    <x v="6"/>
    <n v="16277"/>
    <n v="1109"/>
    <n v="375"/>
    <n v="2225"/>
    <n v="1044"/>
    <n v="121889"/>
    <s v="iPhone 16 Launch"/>
    <n v="0.14571454356012437"/>
  </r>
  <r>
    <x v="232"/>
    <x v="1"/>
    <d v="2025-03-08T00:00:00"/>
    <x v="0"/>
    <x v="0"/>
    <x v="0"/>
    <n v="5812"/>
    <n v="934"/>
    <n v="302"/>
    <n v="2356"/>
    <n v="37437"/>
    <n v="93551"/>
    <s v="Apple Watch Ultra 2 Launch"/>
    <n v="7.5338585370546551E-2"/>
  </r>
  <r>
    <x v="233"/>
    <x v="1"/>
    <d v="2024-06-01T00:00:00"/>
    <x v="0"/>
    <x v="5"/>
    <x v="5"/>
    <n v="19844"/>
    <n v="1022"/>
    <n v="860"/>
    <n v="2570"/>
    <n v="23719"/>
    <n v="182628"/>
    <s v="Sustainability Awareness Drive"/>
    <n v="0.11896313818253498"/>
  </r>
  <r>
    <x v="234"/>
    <x v="1"/>
    <d v="2024-12-22T00:00:00"/>
    <x v="1"/>
    <x v="3"/>
    <x v="3"/>
    <n v="20117"/>
    <n v="1143"/>
    <n v="713"/>
    <n v="1739"/>
    <n v="34444"/>
    <n v="198670"/>
    <s v="MacBook Air M3 Campaign"/>
    <n v="0.11060049328031409"/>
  </r>
  <r>
    <x v="235"/>
    <x v="1"/>
    <d v="2024-08-19T00:00:00"/>
    <x v="2"/>
    <x v="8"/>
    <x v="9"/>
    <n v="3605"/>
    <n v="206"/>
    <n v="921"/>
    <n v="852"/>
    <n v="11660"/>
    <n v="182635"/>
    <s v="iPhone 16 Launch"/>
    <n v="2.590960111698196E-2"/>
  </r>
  <r>
    <x v="236"/>
    <x v="3"/>
    <d v="2024-10-22T00:00:00"/>
    <x v="3"/>
    <x v="2"/>
    <x v="2"/>
    <n v="7622"/>
    <n v="529"/>
    <n v="720"/>
    <n v="1015"/>
    <n v="71322"/>
    <n v="86819"/>
    <s v="MacBook Air M3 Campaign"/>
    <n v="0.10217809465669957"/>
  </r>
  <r>
    <x v="237"/>
    <x v="3"/>
    <d v="2024-07-16T00:00:00"/>
    <x v="1"/>
    <x v="7"/>
    <x v="7"/>
    <n v="8767"/>
    <n v="974"/>
    <n v="733"/>
    <n v="1587"/>
    <n v="74927"/>
    <n v="113770"/>
    <s v="Apple Watch Ultra 2 Launch"/>
    <n v="9.2062933989628198E-2"/>
  </r>
  <r>
    <x v="238"/>
    <x v="0"/>
    <d v="2025-09-10T00:00:00"/>
    <x v="0"/>
    <x v="1"/>
    <x v="1"/>
    <n v="13613"/>
    <n v="350"/>
    <n v="809"/>
    <n v="2013"/>
    <n v="20471"/>
    <n v="198038"/>
    <s v="Apple Event September 2025"/>
    <n v="7.4591745018632791E-2"/>
  </r>
  <r>
    <x v="239"/>
    <x v="1"/>
    <d v="2025-09-11T00:00:00"/>
    <x v="2"/>
    <x v="5"/>
    <x v="5"/>
    <n v="21901"/>
    <n v="1308"/>
    <n v="724"/>
    <n v="2183"/>
    <n v="15996"/>
    <n v="230961"/>
    <s v="Apple Event September 2025"/>
    <n v="0.10362355549205277"/>
  </r>
  <r>
    <x v="240"/>
    <x v="3"/>
    <d v="2025-01-18T00:00:00"/>
    <x v="1"/>
    <x v="8"/>
    <x v="9"/>
    <n v="12589"/>
    <n v="346"/>
    <n v="459"/>
    <n v="1407"/>
    <n v="29254"/>
    <n v="198059"/>
    <s v="Sustainability Awareness Drive"/>
    <n v="6.7626313371268162E-2"/>
  </r>
  <r>
    <x v="241"/>
    <x v="0"/>
    <d v="2025-09-12T00:00:00"/>
    <x v="2"/>
    <x v="5"/>
    <x v="5"/>
    <n v="15918"/>
    <n v="1114"/>
    <n v="392"/>
    <n v="1641"/>
    <n v="28044"/>
    <n v="118714"/>
    <s v="Apple Event September 2025"/>
    <n v="0.14677291642097814"/>
  </r>
  <r>
    <x v="242"/>
    <x v="1"/>
    <d v="2025-03-06T00:00:00"/>
    <x v="1"/>
    <x v="7"/>
    <x v="7"/>
    <n v="22119"/>
    <n v="899"/>
    <n v="642"/>
    <n v="410"/>
    <n v="49490"/>
    <n v="229420"/>
    <s v="iPhone 16 Launch"/>
    <n v="0.10312963124400662"/>
  </r>
  <r>
    <x v="243"/>
    <x v="2"/>
    <d v="2025-09-13T00:00:00"/>
    <x v="2"/>
    <x v="8"/>
    <x v="9"/>
    <n v="15046"/>
    <n v="281"/>
    <n v="515"/>
    <n v="550"/>
    <n v="22583"/>
    <n v="64596"/>
    <s v="Apple Event September 2025"/>
    <n v="0.24524738373893121"/>
  </r>
  <r>
    <x v="244"/>
    <x v="0"/>
    <d v="2025-01-12T00:00:00"/>
    <x v="0"/>
    <x v="3"/>
    <x v="3"/>
    <n v="4590"/>
    <n v="713"/>
    <n v="479"/>
    <n v="2730"/>
    <n v="41050"/>
    <n v="204246"/>
    <s v="Sustainability Awareness Drive"/>
    <n v="2.8308999931455206E-2"/>
  </r>
  <r>
    <x v="245"/>
    <x v="3"/>
    <d v="2024-10-11T00:00:00"/>
    <x v="3"/>
    <x v="7"/>
    <x v="7"/>
    <n v="19447"/>
    <n v="1014"/>
    <n v="256"/>
    <n v="2354"/>
    <n v="5472"/>
    <n v="104106"/>
    <s v="Apple Watch Ultra 2 Launch"/>
    <n v="0.19899909707413599"/>
  </r>
  <r>
    <x v="246"/>
    <x v="2"/>
    <d v="2024-08-27T00:00:00"/>
    <x v="0"/>
    <x v="9"/>
    <x v="4"/>
    <n v="6324"/>
    <n v="908"/>
    <n v="375"/>
    <n v="758"/>
    <n v="34850"/>
    <n v="241039"/>
    <s v="Apple Watch Ultra 2 Launch"/>
    <n v="3.1559208260903839E-2"/>
  </r>
  <r>
    <x v="247"/>
    <x v="2"/>
    <d v="2025-09-14T00:00:00"/>
    <x v="3"/>
    <x v="3"/>
    <x v="8"/>
    <n v="12787"/>
    <n v="945"/>
    <n v="974"/>
    <n v="1407"/>
    <n v="4037"/>
    <n v="99182"/>
    <s v="Apple Event September 2025"/>
    <n v="0.14827287209372669"/>
  </r>
  <r>
    <x v="248"/>
    <x v="2"/>
    <d v="2024-07-18T00:00:00"/>
    <x v="2"/>
    <x v="9"/>
    <x v="4"/>
    <n v="11111"/>
    <n v="1222"/>
    <n v="367"/>
    <n v="507"/>
    <n v="14129"/>
    <n v="127163"/>
    <s v="MacBook Air M3 Campaign"/>
    <n v="9.9871818060284834E-2"/>
  </r>
  <r>
    <x v="249"/>
    <x v="0"/>
    <d v="2024-06-22T00:00:00"/>
    <x v="1"/>
    <x v="6"/>
    <x v="6"/>
    <n v="7342"/>
    <n v="906"/>
    <n v="902"/>
    <n v="1199"/>
    <n v="68488"/>
    <n v="79310"/>
    <s v="Apple Watch Ultra 2 Launch"/>
    <n v="0.1153700668263775"/>
  </r>
  <r>
    <x v="250"/>
    <x v="3"/>
    <d v="2025-09-15T00:00:00"/>
    <x v="0"/>
    <x v="5"/>
    <x v="5"/>
    <n v="18389"/>
    <n v="670"/>
    <n v="655"/>
    <n v="321"/>
    <n v="21869"/>
    <n v="96088"/>
    <s v="Apple Event September 2025"/>
    <n v="0.2051660977437349"/>
  </r>
  <r>
    <x v="251"/>
    <x v="2"/>
    <d v="2025-04-28T00:00:00"/>
    <x v="3"/>
    <x v="3"/>
    <x v="8"/>
    <n v="10659"/>
    <n v="1342"/>
    <n v="408"/>
    <n v="709"/>
    <n v="16309"/>
    <n v="168803"/>
    <s v="Sustainability Awareness Drive"/>
    <n v="7.3511726687321907E-2"/>
  </r>
  <r>
    <x v="252"/>
    <x v="1"/>
    <d v="2025-09-16T00:00:00"/>
    <x v="0"/>
    <x v="9"/>
    <x v="4"/>
    <n v="16043"/>
    <n v="595"/>
    <n v="923"/>
    <n v="1194"/>
    <n v="52613"/>
    <n v="179978"/>
    <s v="Apple Event September 2025"/>
    <n v="9.757303670448611E-2"/>
  </r>
  <r>
    <x v="253"/>
    <x v="2"/>
    <d v="2025-01-14T00:00:00"/>
    <x v="3"/>
    <x v="3"/>
    <x v="8"/>
    <n v="24350"/>
    <n v="460"/>
    <n v="666"/>
    <n v="814"/>
    <n v="21120"/>
    <n v="76914"/>
    <s v="Apple Watch Ultra 2 Launch"/>
    <n v="0.33122708479600593"/>
  </r>
  <r>
    <x v="254"/>
    <x v="2"/>
    <d v="2025-04-03T00:00:00"/>
    <x v="0"/>
    <x v="10"/>
    <x v="10"/>
    <n v="10837"/>
    <n v="1004"/>
    <n v="922"/>
    <n v="1108"/>
    <n v="36807"/>
    <n v="150350"/>
    <s v="Sustainability Awareness Drive"/>
    <n v="8.4888593282341204E-2"/>
  </r>
  <r>
    <x v="255"/>
    <x v="0"/>
    <d v="2025-09-17T00:00:00"/>
    <x v="3"/>
    <x v="5"/>
    <x v="5"/>
    <n v="2117"/>
    <n v="1133"/>
    <n v="203"/>
    <n v="1173"/>
    <n v="40125"/>
    <n v="85379"/>
    <s v="Apple Event September 2025"/>
    <n v="4.0443200318579509E-2"/>
  </r>
  <r>
    <x v="256"/>
    <x v="0"/>
    <d v="2025-04-06T00:00:00"/>
    <x v="3"/>
    <x v="3"/>
    <x v="8"/>
    <n v="15917"/>
    <n v="1479"/>
    <n v="196"/>
    <n v="313"/>
    <n v="48524"/>
    <n v="249684"/>
    <s v="iPhone 16 Launch"/>
    <n v="7.0457057720959296E-2"/>
  </r>
  <r>
    <x v="257"/>
    <x v="3"/>
    <d v="2024-08-05T00:00:00"/>
    <x v="2"/>
    <x v="0"/>
    <x v="0"/>
    <n v="20935"/>
    <n v="1104"/>
    <n v="876"/>
    <n v="1270"/>
    <n v="21454"/>
    <n v="208722"/>
    <s v="Sustainability Awareness Drive"/>
    <n v="0.10978718103506099"/>
  </r>
  <r>
    <x v="258"/>
    <x v="1"/>
    <d v="2025-02-10T00:00:00"/>
    <x v="3"/>
    <x v="1"/>
    <x v="1"/>
    <n v="16309"/>
    <n v="1449"/>
    <n v="838"/>
    <n v="2434"/>
    <n v="2940"/>
    <n v="217953"/>
    <s v="iPhone 16 Launch"/>
    <n v="8.5321147219813445E-2"/>
  </r>
  <r>
    <x v="259"/>
    <x v="0"/>
    <d v="2025-02-12T00:00:00"/>
    <x v="2"/>
    <x v="1"/>
    <x v="1"/>
    <n v="15234"/>
    <n v="1276"/>
    <n v="670"/>
    <n v="1860"/>
    <n v="60397"/>
    <n v="86413"/>
    <s v="MacBook Air M3 Campaign"/>
    <n v="0.19881267864788862"/>
  </r>
  <r>
    <x v="260"/>
    <x v="2"/>
    <d v="2024-10-27T00:00:00"/>
    <x v="3"/>
    <x v="0"/>
    <x v="0"/>
    <n v="7560"/>
    <n v="1139"/>
    <n v="248"/>
    <n v="1624"/>
    <n v="72237"/>
    <n v="177084"/>
    <s v="Sustainability Awareness Drive"/>
    <n v="5.0524045085947912E-2"/>
  </r>
  <r>
    <x v="261"/>
    <x v="3"/>
    <d v="2025-01-18T00:00:00"/>
    <x v="1"/>
    <x v="8"/>
    <x v="9"/>
    <n v="22673"/>
    <n v="1053"/>
    <n v="169"/>
    <n v="1566"/>
    <n v="9417"/>
    <n v="221187"/>
    <s v="iPhone 16 Launch"/>
    <n v="0.10803076130152314"/>
  </r>
  <r>
    <x v="262"/>
    <x v="2"/>
    <d v="2024-08-20T00:00:00"/>
    <x v="1"/>
    <x v="4"/>
    <x v="4"/>
    <n v="2846"/>
    <n v="792"/>
    <n v="902"/>
    <n v="2469"/>
    <n v="12130"/>
    <n v="47151"/>
    <s v="Apple Watch Ultra 2 Launch"/>
    <n v="9.6286399015927546E-2"/>
  </r>
  <r>
    <x v="263"/>
    <x v="2"/>
    <d v="2025-01-30T00:00:00"/>
    <x v="1"/>
    <x v="8"/>
    <x v="9"/>
    <n v="12954"/>
    <n v="913"/>
    <n v="722"/>
    <n v="1049"/>
    <n v="475"/>
    <n v="97716"/>
    <s v="Apple Watch Ultra 2 Launch"/>
    <n v="0.14930001228048631"/>
  </r>
  <r>
    <x v="264"/>
    <x v="0"/>
    <d v="2025-02-20T00:00:00"/>
    <x v="3"/>
    <x v="7"/>
    <x v="7"/>
    <n v="15703"/>
    <n v="1381"/>
    <n v="639"/>
    <n v="984"/>
    <n v="10967"/>
    <n v="133747"/>
    <s v="MacBook Air M3 Campaign"/>
    <n v="0.13251138343289942"/>
  </r>
  <r>
    <x v="265"/>
    <x v="3"/>
    <d v="2024-11-25T00:00:00"/>
    <x v="2"/>
    <x v="7"/>
    <x v="7"/>
    <n v="17385"/>
    <n v="831"/>
    <n v="568"/>
    <n v="2227"/>
    <n v="49351"/>
    <n v="207450"/>
    <s v="Sustainability Awareness Drive"/>
    <n v="9.0547119787900698E-2"/>
  </r>
  <r>
    <x v="266"/>
    <x v="1"/>
    <d v="2024-10-04T00:00:00"/>
    <x v="2"/>
    <x v="3"/>
    <x v="8"/>
    <n v="15746"/>
    <n v="258"/>
    <n v="839"/>
    <n v="2656"/>
    <n v="66614"/>
    <n v="213724"/>
    <s v="Sustainability Awareness Drive"/>
    <n v="7.8807246729426739E-2"/>
  </r>
  <r>
    <x v="267"/>
    <x v="1"/>
    <d v="2025-04-13T00:00:00"/>
    <x v="3"/>
    <x v="9"/>
    <x v="4"/>
    <n v="24700"/>
    <n v="327"/>
    <n v="999"/>
    <n v="994"/>
    <n v="59400"/>
    <n v="243502"/>
    <s v="Sustainability Awareness Drive"/>
    <n v="0.10688207899729776"/>
  </r>
  <r>
    <x v="268"/>
    <x v="0"/>
    <d v="2024-11-05T00:00:00"/>
    <x v="1"/>
    <x v="9"/>
    <x v="4"/>
    <n v="8469"/>
    <n v="935"/>
    <n v="211"/>
    <n v="2635"/>
    <n v="21890"/>
    <n v="184539"/>
    <s v="MacBook Air M3 Campaign"/>
    <n v="5.2102807536618279E-2"/>
  </r>
  <r>
    <x v="269"/>
    <x v="0"/>
    <d v="2025-01-15T00:00:00"/>
    <x v="1"/>
    <x v="1"/>
    <x v="1"/>
    <n v="11333"/>
    <n v="920"/>
    <n v="294"/>
    <n v="606"/>
    <n v="59490"/>
    <n v="202082"/>
    <s v="Sustainability Awareness Drive"/>
    <n v="6.2088657079799291E-2"/>
  </r>
  <r>
    <x v="270"/>
    <x v="3"/>
    <d v="2024-10-17T00:00:00"/>
    <x v="2"/>
    <x v="2"/>
    <x v="2"/>
    <n v="18608"/>
    <n v="1338"/>
    <n v="365"/>
    <n v="2289"/>
    <n v="20785"/>
    <n v="161999"/>
    <s v="Apple Watch Ultra 2 Launch"/>
    <n v="0.12537731714393299"/>
  </r>
  <r>
    <x v="271"/>
    <x v="1"/>
    <d v="2025-03-27T00:00:00"/>
    <x v="1"/>
    <x v="8"/>
    <x v="9"/>
    <n v="14819"/>
    <n v="1432"/>
    <n v="152"/>
    <n v="961"/>
    <n v="39154"/>
    <n v="154793"/>
    <s v="iPhone 16 Launch"/>
    <n v="0.10596732410380315"/>
  </r>
  <r>
    <x v="272"/>
    <x v="1"/>
    <d v="2024-10-12T00:00:00"/>
    <x v="0"/>
    <x v="10"/>
    <x v="10"/>
    <n v="6208"/>
    <n v="725"/>
    <n v="309"/>
    <n v="848"/>
    <n v="39319"/>
    <n v="225763"/>
    <s v="Apple Watch Ultra 2 Launch"/>
    <n v="3.207788698768177E-2"/>
  </r>
  <r>
    <x v="273"/>
    <x v="1"/>
    <d v="2025-01-01T00:00:00"/>
    <x v="2"/>
    <x v="5"/>
    <x v="5"/>
    <n v="8283"/>
    <n v="720"/>
    <n v="888"/>
    <n v="611"/>
    <n v="52791"/>
    <n v="235229"/>
    <s v="Apple Watch Ultra 2 Launch"/>
    <n v="4.2048386891072105E-2"/>
  </r>
  <r>
    <x v="274"/>
    <x v="2"/>
    <d v="2024-08-05T00:00:00"/>
    <x v="1"/>
    <x v="6"/>
    <x v="6"/>
    <n v="4048"/>
    <n v="751"/>
    <n v="930"/>
    <n v="1382"/>
    <n v="16844"/>
    <n v="148177"/>
    <s v="iPhone 16 Launch"/>
    <n v="3.8663220337839206E-2"/>
  </r>
  <r>
    <x v="275"/>
    <x v="1"/>
    <d v="2024-06-07T00:00:00"/>
    <x v="2"/>
    <x v="3"/>
    <x v="3"/>
    <n v="8233"/>
    <n v="436"/>
    <n v="269"/>
    <n v="2037"/>
    <n v="8875"/>
    <n v="52289"/>
    <s v="Apple Watch Ultra 2 Launch"/>
    <n v="0.17093461339861157"/>
  </r>
  <r>
    <x v="276"/>
    <x v="2"/>
    <d v="2025-04-06T00:00:00"/>
    <x v="0"/>
    <x v="9"/>
    <x v="4"/>
    <n v="14941"/>
    <n v="1424"/>
    <n v="238"/>
    <n v="1054"/>
    <n v="20516"/>
    <n v="216048"/>
    <s v="MacBook Air M3 Campaign"/>
    <n v="7.6848663260016298E-2"/>
  </r>
  <r>
    <x v="277"/>
    <x v="3"/>
    <d v="2024-11-26T00:00:00"/>
    <x v="2"/>
    <x v="5"/>
    <x v="5"/>
    <n v="14607"/>
    <n v="1458"/>
    <n v="478"/>
    <n v="334"/>
    <n v="49257"/>
    <n v="214668"/>
    <s v="iPhone 16 Launch"/>
    <n v="7.7063185942944451E-2"/>
  </r>
  <r>
    <x v="278"/>
    <x v="2"/>
    <d v="2024-09-02T00:00:00"/>
    <x v="2"/>
    <x v="3"/>
    <x v="3"/>
    <n v="11765"/>
    <n v="693"/>
    <n v="729"/>
    <n v="744"/>
    <n v="97772"/>
    <n v="194243"/>
    <s v="Apple Watch Ultra 2 Launch"/>
    <n v="6.7889190344053579E-2"/>
  </r>
  <r>
    <x v="279"/>
    <x v="3"/>
    <d v="2025-09-18T00:00:00"/>
    <x v="2"/>
    <x v="5"/>
    <x v="5"/>
    <n v="3828"/>
    <n v="203"/>
    <n v="506"/>
    <n v="2440"/>
    <n v="63650"/>
    <n v="126365"/>
    <s v="Apple Event September 2025"/>
    <n v="3.5903929094290347E-2"/>
  </r>
  <r>
    <x v="280"/>
    <x v="1"/>
    <d v="2025-03-22T00:00:00"/>
    <x v="2"/>
    <x v="3"/>
    <x v="8"/>
    <n v="3917"/>
    <n v="865"/>
    <n v="759"/>
    <n v="2282"/>
    <n v="56125"/>
    <n v="154014"/>
    <s v="Apple Watch Ultra 2 Launch"/>
    <n v="3.5977248821535704E-2"/>
  </r>
  <r>
    <x v="281"/>
    <x v="1"/>
    <d v="2024-10-03T00:00:00"/>
    <x v="0"/>
    <x v="3"/>
    <x v="3"/>
    <n v="22618"/>
    <n v="641"/>
    <n v="416"/>
    <n v="1530"/>
    <n v="18395"/>
    <n v="215211"/>
    <s v="MacBook Air M3 Campaign"/>
    <n v="0.1100083174187193"/>
  </r>
  <r>
    <x v="282"/>
    <x v="3"/>
    <d v="2025-05-09T00:00:00"/>
    <x v="3"/>
    <x v="6"/>
    <x v="6"/>
    <n v="8988"/>
    <n v="228"/>
    <n v="766"/>
    <n v="652"/>
    <n v="63789"/>
    <n v="219785"/>
    <s v="Sustainability Awareness Drive"/>
    <n v="4.541711217781013E-2"/>
  </r>
  <r>
    <x v="283"/>
    <x v="0"/>
    <d v="2024-09-17T00:00:00"/>
    <x v="2"/>
    <x v="5"/>
    <x v="5"/>
    <n v="20410"/>
    <n v="1332"/>
    <n v="472"/>
    <n v="1202"/>
    <n v="9418"/>
    <n v="200806"/>
    <s v="Apple Watch Ultra 2 Launch"/>
    <n v="0.11062418453631864"/>
  </r>
  <r>
    <x v="284"/>
    <x v="3"/>
    <d v="2024-07-18T00:00:00"/>
    <x v="2"/>
    <x v="0"/>
    <x v="0"/>
    <n v="16594"/>
    <n v="809"/>
    <n v="784"/>
    <n v="1655"/>
    <n v="35505"/>
    <n v="112588"/>
    <s v="Sustainability Awareness Drive"/>
    <n v="0.16153586527871533"/>
  </r>
  <r>
    <x v="285"/>
    <x v="0"/>
    <d v="2025-09-19T00:00:00"/>
    <x v="1"/>
    <x v="6"/>
    <x v="6"/>
    <n v="22128"/>
    <n v="1004"/>
    <n v="690"/>
    <n v="2048"/>
    <n v="19443"/>
    <n v="103646"/>
    <s v="Apple Event September 2025"/>
    <n v="0.22984003241803833"/>
  </r>
  <r>
    <x v="286"/>
    <x v="2"/>
    <d v="2024-08-15T00:00:00"/>
    <x v="2"/>
    <x v="3"/>
    <x v="3"/>
    <n v="14977"/>
    <n v="274"/>
    <n v="798"/>
    <n v="458"/>
    <n v="6636"/>
    <n v="43654"/>
    <s v="Apple Watch Ultra 2 Launch"/>
    <n v="0.36764099509781462"/>
  </r>
  <r>
    <x v="287"/>
    <x v="2"/>
    <d v="2025-04-17T00:00:00"/>
    <x v="1"/>
    <x v="6"/>
    <x v="6"/>
    <n v="2009"/>
    <n v="1037"/>
    <n v="344"/>
    <n v="2277"/>
    <n v="85743"/>
    <n v="58743"/>
    <s v="iPhone 16 Launch"/>
    <n v="5.7709003625963942E-2"/>
  </r>
  <r>
    <x v="288"/>
    <x v="2"/>
    <d v="2024-11-28T00:00:00"/>
    <x v="3"/>
    <x v="5"/>
    <x v="5"/>
    <n v="18644"/>
    <n v="1369"/>
    <n v="887"/>
    <n v="1256"/>
    <n v="43415"/>
    <n v="88368"/>
    <s v="Sustainability Awareness Drive"/>
    <n v="0.23651095419156257"/>
  </r>
  <r>
    <x v="289"/>
    <x v="1"/>
    <d v="2025-09-20T00:00:00"/>
    <x v="0"/>
    <x v="4"/>
    <x v="4"/>
    <n v="24422"/>
    <n v="327"/>
    <n v="481"/>
    <n v="2371"/>
    <n v="35340"/>
    <n v="245244"/>
    <s v="Apple Event September 2025"/>
    <n v="0.10287713460879777"/>
  </r>
  <r>
    <x v="290"/>
    <x v="2"/>
    <d v="2024-11-06T00:00:00"/>
    <x v="0"/>
    <x v="5"/>
    <x v="5"/>
    <n v="11865"/>
    <n v="241"/>
    <n v="319"/>
    <n v="703"/>
    <n v="69596"/>
    <n v="177513"/>
    <s v="iPhone 16 Launch"/>
    <n v="6.999487361489018E-2"/>
  </r>
  <r>
    <x v="291"/>
    <x v="0"/>
    <d v="2024-11-17T00:00:00"/>
    <x v="3"/>
    <x v="5"/>
    <x v="5"/>
    <n v="4219"/>
    <n v="240"/>
    <n v="670"/>
    <n v="815"/>
    <n v="11978"/>
    <n v="159735"/>
    <s v="iPhone 16 Launch"/>
    <n v="3.2109431245500357E-2"/>
  </r>
  <r>
    <x v="292"/>
    <x v="2"/>
    <d v="2025-05-14T00:00:00"/>
    <x v="0"/>
    <x v="3"/>
    <x v="8"/>
    <n v="9041"/>
    <n v="1133"/>
    <n v="612"/>
    <n v="1687"/>
    <n v="28102"/>
    <n v="195683"/>
    <s v="iPhone 16 Launch"/>
    <n v="5.5119760020032396E-2"/>
  </r>
  <r>
    <x v="293"/>
    <x v="3"/>
    <d v="2024-06-19T00:00:00"/>
    <x v="3"/>
    <x v="8"/>
    <x v="9"/>
    <n v="20444"/>
    <n v="233"/>
    <n v="189"/>
    <n v="2879"/>
    <n v="28185"/>
    <n v="159891"/>
    <s v="iPhone 16 Launch"/>
    <n v="0.13050140408153055"/>
  </r>
  <r>
    <x v="294"/>
    <x v="3"/>
    <d v="2025-05-06T00:00:00"/>
    <x v="3"/>
    <x v="0"/>
    <x v="0"/>
    <n v="7287"/>
    <n v="1240"/>
    <n v="686"/>
    <n v="1255"/>
    <n v="15403"/>
    <n v="147971"/>
    <s v="Apple Watch Ultra 2 Launch"/>
    <n v="6.2262200025680704E-2"/>
  </r>
  <r>
    <x v="295"/>
    <x v="1"/>
    <d v="2025-02-11T00:00:00"/>
    <x v="3"/>
    <x v="10"/>
    <x v="10"/>
    <n v="3619"/>
    <n v="1376"/>
    <n v="410"/>
    <n v="2499"/>
    <n v="58146"/>
    <n v="52149"/>
    <s v="Apple Watch Ultra 2 Launch"/>
    <n v="0.10364532397553165"/>
  </r>
  <r>
    <x v="296"/>
    <x v="3"/>
    <d v="2024-12-24T00:00:00"/>
    <x v="0"/>
    <x v="9"/>
    <x v="4"/>
    <n v="10512"/>
    <n v="1197"/>
    <n v="544"/>
    <n v="2012"/>
    <n v="10245"/>
    <n v="140102"/>
    <s v="Apple Watch Ultra 2 Launch"/>
    <n v="8.745770938316369E-2"/>
  </r>
  <r>
    <x v="297"/>
    <x v="0"/>
    <d v="2025-09-24T00:00:00"/>
    <x v="1"/>
    <x v="7"/>
    <x v="7"/>
    <n v="3342"/>
    <n v="787"/>
    <n v="375"/>
    <n v="907"/>
    <n v="85823"/>
    <n v="99189"/>
    <s v="Apple Event September 2025"/>
    <n v="4.5408260996683103E-2"/>
  </r>
  <r>
    <x v="298"/>
    <x v="2"/>
    <d v="2025-09-25T00:00:00"/>
    <x v="3"/>
    <x v="8"/>
    <x v="9"/>
    <n v="12568"/>
    <n v="541"/>
    <n v="273"/>
    <n v="2767"/>
    <n v="22331"/>
    <n v="192747"/>
    <s v="Apple Event September 2025"/>
    <n v="6.9427799135654514E-2"/>
  </r>
  <r>
    <x v="299"/>
    <x v="1"/>
    <d v="2025-09-26T00:00:00"/>
    <x v="2"/>
    <x v="7"/>
    <x v="7"/>
    <n v="21216"/>
    <n v="226"/>
    <n v="187"/>
    <n v="1573"/>
    <n v="62688"/>
    <n v="111031"/>
    <s v="Apple Event September 2025"/>
    <n v="0.1948014518467815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n v="4138"/>
    <n v="361"/>
    <n v="103777"/>
    <n v="56.637790647253247"/>
    <n v="23944"/>
    <n v="3.6395347716738774E-2"/>
  </r>
  <r>
    <x v="1"/>
    <x v="0"/>
    <n v="7721"/>
    <n v="506"/>
    <n v="134418"/>
    <n v="35.577824398518047"/>
    <n v="25379"/>
    <n v="5.3675846984778827E-2"/>
  </r>
  <r>
    <x v="2"/>
    <x v="0"/>
    <n v="8373"/>
    <n v="921"/>
    <n v="157717"/>
    <n v="12.2263294381709"/>
    <n v="15110"/>
    <n v="4.7249186834646864E-2"/>
  </r>
  <r>
    <x v="3"/>
    <x v="0"/>
    <n v="3964"/>
    <n v="378"/>
    <n v="246766"/>
    <n v="13.6355899921383"/>
    <n v="23109"/>
    <n v="1.453198576789347E-2"/>
  </r>
  <r>
    <x v="4"/>
    <x v="0"/>
    <n v="3494"/>
    <n v="281"/>
    <n v="309517"/>
    <n v="27.765518533715429"/>
    <n v="39197"/>
    <n v="1.0380689913639638E-2"/>
  </r>
  <r>
    <x v="5"/>
    <x v="0"/>
    <n v="7488"/>
    <n v="568"/>
    <n v="354010"/>
    <n v="13.47730290104799"/>
    <n v="46727"/>
    <n v="1.9547470410440384E-2"/>
  </r>
  <r>
    <x v="6"/>
    <x v="0"/>
    <n v="6448"/>
    <n v="928"/>
    <n v="396672"/>
    <n v="30.118586640851881"/>
    <n v="53922"/>
    <n v="1.3915779283639884E-2"/>
  </r>
  <r>
    <x v="7"/>
    <x v="0"/>
    <n v="7907"/>
    <n v="465"/>
    <n v="420811"/>
    <n v="33.257448118038738"/>
    <n v="22693"/>
    <n v="1.76848989213685E-2"/>
  </r>
  <r>
    <x v="8"/>
    <x v="0"/>
    <n v="1419"/>
    <n v="110"/>
    <n v="455286"/>
    <n v="31.554451487636339"/>
    <n v="58831"/>
    <n v="2.8751158612388694E-3"/>
  </r>
  <r>
    <x v="9"/>
    <x v="0"/>
    <n v="8870"/>
    <n v="509"/>
    <n v="480320"/>
    <n v="25.077864756828781"/>
    <n v="15469"/>
    <n v="1.7407145236508995E-2"/>
  </r>
  <r>
    <x v="10"/>
    <x v="0"/>
    <n v="8758"/>
    <n v="1193"/>
    <n v="538906"/>
    <n v="3.4213758985797149"/>
    <n v="26184"/>
    <n v="1.4037698596786824E-2"/>
  </r>
  <r>
    <x v="11"/>
    <x v="0"/>
    <n v="5798"/>
    <n v="592"/>
    <n v="631128"/>
    <n v="1.6774727155188811"/>
    <n v="13471"/>
    <n v="8.2487229214992831E-3"/>
  </r>
  <r>
    <x v="12"/>
    <x v="0"/>
    <n v="8961"/>
    <n v="476"/>
    <n v="655645"/>
    <n v="15.458517947974901"/>
    <n v="44865"/>
    <n v="1.2941454598143812E-2"/>
  </r>
  <r>
    <x v="13"/>
    <x v="0"/>
    <n v="1593"/>
    <n v="224"/>
    <n v="677154"/>
    <n v="4.1495730660972248"/>
    <n v="52845"/>
    <n v="2.0216966893793729E-3"/>
  </r>
  <r>
    <x v="14"/>
    <x v="0"/>
    <n v="4191"/>
    <n v="599"/>
    <n v="713549"/>
    <n v="11.56416728213479"/>
    <n v="27833"/>
    <n v="5.033992059410076E-3"/>
  </r>
  <r>
    <x v="15"/>
    <x v="0"/>
    <n v="9754"/>
    <n v="629"/>
    <n v="938068"/>
    <n v="3.4123325814333292"/>
    <n v="19435"/>
    <n v="9.7274398018054129E-3"/>
  </r>
  <r>
    <x v="16"/>
    <x v="0"/>
    <n v="5941"/>
    <n v="450"/>
    <n v="1117854"/>
    <n v="12.414411899944"/>
    <n v="58330"/>
    <n v="4.9120904876665469E-3"/>
  </r>
  <r>
    <x v="17"/>
    <x v="0"/>
    <n v="3196"/>
    <n v="391"/>
    <n v="1170816"/>
    <n v="7.2439221876024931"/>
    <n v="28745"/>
    <n v="2.3957650049196456E-3"/>
  </r>
  <r>
    <x v="18"/>
    <x v="1"/>
    <n v="5917"/>
    <n v="475"/>
    <n v="210260"/>
    <n v="17.894035955483691"/>
    <n v="28313"/>
    <n v="2.5882241034909159E-2"/>
  </r>
  <r>
    <x v="19"/>
    <x v="1"/>
    <n v="8340"/>
    <n v="911"/>
    <n v="264494"/>
    <n v="37.302925586213682"/>
    <n v="48659"/>
    <n v="2.8087593669421613E-2"/>
  </r>
  <r>
    <x v="20"/>
    <x v="1"/>
    <n v="1845"/>
    <n v="104"/>
    <n v="291024"/>
    <n v="28.158158777282971"/>
    <n v="37766"/>
    <n v="5.9823244818296775E-3"/>
  </r>
  <r>
    <x v="21"/>
    <x v="1"/>
    <n v="1689"/>
    <n v="176"/>
    <n v="371865"/>
    <n v="38.012181840183942"/>
    <n v="26029"/>
    <n v="4.068680838476329E-3"/>
  </r>
  <r>
    <x v="22"/>
    <x v="1"/>
    <n v="2549"/>
    <n v="128"/>
    <n v="492814"/>
    <n v="12.734216154573531"/>
    <n v="43937"/>
    <n v="4.9126039438814641E-3"/>
  </r>
  <r>
    <x v="23"/>
    <x v="1"/>
    <n v="1571"/>
    <n v="204"/>
    <n v="730928"/>
    <n v="19.449384891535139"/>
    <n v="39252"/>
    <n v="1.8702252479040344E-3"/>
  </r>
  <r>
    <x v="24"/>
    <x v="1"/>
    <n v="9433"/>
    <n v="1233"/>
    <n v="756944"/>
    <n v="11.391727789638329"/>
    <n v="12096"/>
    <n v="1.0833033883616226E-2"/>
  </r>
  <r>
    <x v="25"/>
    <x v="1"/>
    <n v="9980"/>
    <n v="726"/>
    <n v="781868"/>
    <n v="4.0220344099003924"/>
    <n v="58709"/>
    <n v="1.1835757442432739E-2"/>
  </r>
  <r>
    <x v="26"/>
    <x v="1"/>
    <n v="7869"/>
    <n v="398"/>
    <n v="807142"/>
    <n v="15.211945357818079"/>
    <n v="25078"/>
    <n v="9.2561160241940079E-3"/>
  </r>
  <r>
    <x v="27"/>
    <x v="1"/>
    <n v="8083"/>
    <n v="823"/>
    <n v="853477"/>
    <n v="4.6300017457998282"/>
    <n v="27069"/>
    <n v="8.5063803711172073E-3"/>
  </r>
  <r>
    <x v="28"/>
    <x v="1"/>
    <n v="3711"/>
    <n v="291"/>
    <n v="900862"/>
    <n v="14.24879726306582"/>
    <n v="55603"/>
    <n v="3.7963639269943676E-3"/>
  </r>
  <r>
    <x v="29"/>
    <x v="1"/>
    <n v="7979"/>
    <n v="470"/>
    <n v="1005094"/>
    <n v="10.43086517280971"/>
    <n v="42972"/>
    <n v="7.4709430162750948E-3"/>
  </r>
  <r>
    <x v="30"/>
    <x v="1"/>
    <n v="9561"/>
    <n v="517"/>
    <n v="1034649"/>
    <n v="6.4086467971263694"/>
    <n v="15347"/>
    <n v="8.741128633961856E-3"/>
  </r>
  <r>
    <x v="31"/>
    <x v="1"/>
    <n v="8569"/>
    <n v="720"/>
    <n v="1095217"/>
    <n v="9.589697749395782"/>
    <n v="41358"/>
    <n v="7.1666162961312686E-3"/>
  </r>
  <r>
    <x v="32"/>
    <x v="1"/>
    <n v="1685"/>
    <n v="173"/>
    <n v="1135945"/>
    <n v="8.7776256772995165"/>
    <n v="49110"/>
    <n v="1.331050358952238E-3"/>
  </r>
  <r>
    <x v="33"/>
    <x v="1"/>
    <n v="1038"/>
    <n v="145"/>
    <n v="1152775"/>
    <n v="11.093752033137431"/>
    <n v="55951"/>
    <n v="7.7465246904209403E-4"/>
  </r>
  <r>
    <x v="34"/>
    <x v="2"/>
    <n v="9984"/>
    <n v="1330"/>
    <n v="184850"/>
    <n v="57.524479307546663"/>
    <n v="44947"/>
    <n v="4.6816337571003515E-2"/>
  </r>
  <r>
    <x v="35"/>
    <x v="2"/>
    <n v="8045"/>
    <n v="894"/>
    <n v="231802"/>
    <n v="47.634187798207087"/>
    <n v="33705"/>
    <n v="3.084960440375838E-2"/>
  </r>
  <r>
    <x v="36"/>
    <x v="2"/>
    <n v="6179"/>
    <n v="384"/>
    <n v="326199"/>
    <n v="14.71218489327067"/>
    <n v="33225"/>
    <n v="1.7765229200580015E-2"/>
  </r>
  <r>
    <x v="37"/>
    <x v="2"/>
    <n v="8898"/>
    <n v="1131"/>
    <n v="515737"/>
    <n v="2.1877429775253669"/>
    <n v="35051"/>
    <n v="1.5060001512398761E-2"/>
  </r>
  <r>
    <x v="38"/>
    <x v="2"/>
    <n v="8380"/>
    <n v="1162"/>
    <n v="596704"/>
    <n v="18.05853488496809"/>
    <n v="40447"/>
    <n v="1.2096449831072022E-2"/>
  </r>
  <r>
    <x v="39"/>
    <x v="2"/>
    <n v="1163"/>
    <n v="146"/>
    <n v="607188"/>
    <n v="21.77776899411715"/>
    <n v="28509"/>
    <n v="1.6749342872388782E-3"/>
  </r>
  <r>
    <x v="40"/>
    <x v="2"/>
    <n v="7164"/>
    <n v="522"/>
    <n v="700757"/>
    <n v="13.449169969047761"/>
    <n v="34570"/>
    <n v="9.4783213011072308E-3"/>
  </r>
  <r>
    <x v="41"/>
    <x v="2"/>
    <n v="9080"/>
    <n v="562"/>
    <n v="826926"/>
    <n v="7.1083748727213809"/>
    <n v="13384"/>
    <n v="1.0300800797169276E-2"/>
  </r>
  <r>
    <x v="42"/>
    <x v="2"/>
    <n v="1365"/>
    <n v="75"/>
    <n v="912374"/>
    <n v="9.2688963078737441"/>
    <n v="19067"/>
    <n v="1.4138938637006315E-3"/>
  </r>
  <r>
    <x v="43"/>
    <x v="2"/>
    <n v="9551"/>
    <n v="828"/>
    <n v="988501"/>
    <n v="1.525036393488727"/>
    <n v="38047"/>
    <n v="8.8244726105487E-3"/>
  </r>
  <r>
    <x v="44"/>
    <x v="2"/>
    <n v="6978"/>
    <n v="706"/>
    <n v="1057293"/>
    <n v="5.057443868445171"/>
    <n v="28681"/>
    <n v="5.9321304501212058E-3"/>
  </r>
  <r>
    <x v="45"/>
    <x v="3"/>
    <n v="7928"/>
    <n v="704"/>
    <n v="445769"/>
    <n v="11.194362999670229"/>
    <n v="31817"/>
    <n v="1.6205702953772022E-2"/>
  </r>
  <r>
    <x v="46"/>
    <x v="3"/>
    <n v="7007"/>
    <n v="568"/>
    <n v="568671"/>
    <n v="11.50507059442103"/>
    <n v="22448"/>
    <n v="1.1322891443382905E-2"/>
  </r>
  <r>
    <x v="47"/>
    <x v="3"/>
    <n v="4456"/>
    <n v="651"/>
    <n v="872714"/>
    <n v="9.5052903929580594"/>
    <n v="17736"/>
    <n v="4.3599621410908961E-3"/>
  </r>
  <r>
    <x v="48"/>
    <x v="3"/>
    <n v="7511"/>
    <n v="880"/>
    <n v="966020"/>
    <n v="4.6083932009689246"/>
    <n v="29675"/>
    <n v="6.8642471170369144E-3"/>
  </r>
  <r>
    <x v="49"/>
    <x v="3"/>
    <n v="7303"/>
    <n v="869"/>
    <n v="1073082"/>
    <n v="8.1237966902808925"/>
    <n v="27073"/>
    <n v="5.9958139266151145E-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A1"/>
    <x v="0"/>
    <x v="0"/>
    <x v="0"/>
    <s v="#AppleWatchUltra2"/>
    <s v="#HealthTech"/>
    <x v="0"/>
    <x v="0"/>
    <x v="0"/>
    <n v="2675"/>
    <n v="23275"/>
    <n v="202932"/>
    <x v="0"/>
    <n v="0.13041807107799658"/>
    <n v="1.3181755464884789E-2"/>
    <n v="14.359982654288137"/>
  </r>
  <r>
    <s v="A2"/>
    <x v="1"/>
    <x v="1"/>
    <x v="0"/>
    <s v="#MacBookAirM3"/>
    <s v="#AppleInnovation"/>
    <x v="1"/>
    <x v="1"/>
    <x v="1"/>
    <n v="1574"/>
    <n v="77167"/>
    <n v="71585"/>
    <x v="1"/>
    <n v="8.8356499266606131E-2"/>
    <n v="2.1987846615911154E-2"/>
    <n v="11.034434588251729"/>
  </r>
  <r>
    <s v="A3"/>
    <x v="2"/>
    <x v="2"/>
    <x v="1"/>
    <s v="#AppleDesign"/>
    <s v="#Innovation"/>
    <x v="2"/>
    <x v="2"/>
    <x v="2"/>
    <n v="1499"/>
    <n v="52307"/>
    <n v="193087"/>
    <x v="2"/>
    <n v="0.11093962825047776"/>
    <n v="7.7633398416257953E-3"/>
    <n v="11.870296809210355"/>
  </r>
  <r>
    <s v="A4"/>
    <x v="0"/>
    <x v="3"/>
    <x v="2"/>
    <s v="#AppleEvent"/>
    <s v="#iPadPro"/>
    <x v="3"/>
    <x v="3"/>
    <x v="3"/>
    <n v="1925"/>
    <n v="18636"/>
    <n v="248611"/>
    <x v="3"/>
    <n v="2.0023249172401864E-2"/>
    <n v="7.7430202203442322E-3"/>
    <n v="2.7766269392746095"/>
  </r>
  <r>
    <s v="A5"/>
    <x v="0"/>
    <x v="4"/>
    <x v="2"/>
    <s v="#AppleWatchUltra2"/>
    <s v="#HealthTech"/>
    <x v="4"/>
    <x v="4"/>
    <x v="4"/>
    <n v="1213"/>
    <n v="70701"/>
    <n v="83585"/>
    <x v="1"/>
    <n v="0.26870850032900639"/>
    <n v="1.4512173236824789E-2"/>
    <n v="28.322067356583119"/>
  </r>
  <r>
    <s v="A6"/>
    <x v="1"/>
    <x v="5"/>
    <x v="0"/>
    <s v="#ShotOniPhone"/>
    <m/>
    <x v="5"/>
    <x v="5"/>
    <x v="5"/>
    <n v="753"/>
    <n v="23275"/>
    <n v="66958"/>
    <x v="1"/>
    <n v="0.23849278652289496"/>
    <n v="1.1245855610980017E-2"/>
    <n v="24.973864213387497"/>
  </r>
  <r>
    <s v="A7"/>
    <x v="2"/>
    <x v="6"/>
    <x v="3"/>
    <s v="#AppleMusic"/>
    <s v="#AppleLifestyle"/>
    <x v="6"/>
    <x v="6"/>
    <x v="6"/>
    <n v="336"/>
    <n v="61660"/>
    <n v="66017"/>
    <x v="3"/>
    <n v="0.13185997546086614"/>
    <n v="5.0895981338140179E-3"/>
    <n v="13.694957359468015"/>
  </r>
  <r>
    <s v="A8"/>
    <x v="2"/>
    <x v="7"/>
    <x v="2"/>
    <s v="#AppleWatch"/>
    <s v="#Health"/>
    <x v="7"/>
    <x v="7"/>
    <x v="7"/>
    <n v="2011"/>
    <n v="42841"/>
    <n v="247779"/>
    <x v="3"/>
    <n v="8.4337252148083575E-2"/>
    <n v="8.1161034631667735E-3"/>
    <n v="9.2453355611250352"/>
  </r>
  <r>
    <s v="A9"/>
    <x v="0"/>
    <x v="8"/>
    <x v="3"/>
    <s v="#MacBookAirM3"/>
    <s v="#AppleInnovation"/>
    <x v="8"/>
    <x v="8"/>
    <x v="8"/>
    <n v="1095"/>
    <n v="56343"/>
    <n v="164677"/>
    <x v="0"/>
    <n v="5.1986616224487935E-2"/>
    <n v="6.6493803020458231E-3"/>
    <n v="5.8635996526533756"/>
  </r>
  <r>
    <s v="A10"/>
    <x v="3"/>
    <x v="9"/>
    <x v="2"/>
    <s v="#iPhone16Launch"/>
    <s v="#AppleEvent"/>
    <x v="9"/>
    <x v="9"/>
    <x v="9"/>
    <n v="1272"/>
    <n v="71598"/>
    <n v="216422"/>
    <x v="2"/>
    <n v="9.9518533235992648E-2"/>
    <n v="5.8774061786694516E-3"/>
    <n v="10.53959394146621"/>
  </r>
  <r>
    <s v="A11"/>
    <x v="0"/>
    <x v="10"/>
    <x v="3"/>
    <s v="#AppleEvent"/>
    <s v="#iPadPro"/>
    <x v="10"/>
    <x v="10"/>
    <x v="10"/>
    <n v="892"/>
    <n v="24675"/>
    <n v="183273"/>
    <x v="2"/>
    <n v="7.6863476889667326E-2"/>
    <n v="4.8670562494202638E-3"/>
    <n v="8.1730533139087598"/>
  </r>
  <r>
    <s v="A12"/>
    <x v="0"/>
    <x v="11"/>
    <x v="1"/>
    <s v="#MacBookAirM3"/>
    <s v="#AppleInnovation"/>
    <x v="11"/>
    <x v="11"/>
    <x v="11"/>
    <n v="1437"/>
    <n v="22982"/>
    <n v="69426"/>
    <x v="3"/>
    <n v="5.2300290957278256E-2"/>
    <n v="2.069829746780745E-2"/>
    <n v="7.2998588425085709"/>
  </r>
  <r>
    <s v="A13"/>
    <x v="0"/>
    <x v="12"/>
    <x v="3"/>
    <s v="#AppleMusic"/>
    <s v="#AppleLifestyle"/>
    <x v="12"/>
    <x v="12"/>
    <x v="12"/>
    <n v="1624"/>
    <n v="21282"/>
    <n v="57778"/>
    <x v="4"/>
    <n v="0.40382152376337016"/>
    <n v="2.8107584201599225E-2"/>
    <n v="43.192910796496939"/>
  </r>
  <r>
    <s v="A14"/>
    <x v="0"/>
    <x v="13"/>
    <x v="1"/>
    <s v="#AppleWatch"/>
    <s v="#Health"/>
    <x v="13"/>
    <x v="13"/>
    <x v="13"/>
    <n v="2571"/>
    <n v="33802"/>
    <n v="216313"/>
    <x v="1"/>
    <n v="3.9036026498638549E-2"/>
    <n v="1.1885554728564627E-2"/>
    <n v="5.092158122720317"/>
  </r>
  <r>
    <s v="A15"/>
    <x v="1"/>
    <x v="14"/>
    <x v="1"/>
    <s v="#AppleDesign"/>
    <s v="#Innovation"/>
    <x v="14"/>
    <x v="14"/>
    <x v="14"/>
    <n v="617"/>
    <n v="77167"/>
    <n v="82229"/>
    <x v="1"/>
    <n v="5.8312760704860814E-2"/>
    <n v="7.5034355276119135E-3"/>
    <n v="6.5816196232472732"/>
  </r>
  <r>
    <s v="A16"/>
    <x v="2"/>
    <x v="15"/>
    <x v="3"/>
    <s v="#AppleWatch"/>
    <s v="#Health"/>
    <x v="15"/>
    <x v="15"/>
    <x v="15"/>
    <n v="2696"/>
    <n v="55075"/>
    <n v="126652"/>
    <x v="3"/>
    <n v="4.5984271863057827E-2"/>
    <n v="2.1286675299245175E-2"/>
    <n v="6.7270947162303001"/>
  </r>
  <r>
    <s v="A17"/>
    <x v="1"/>
    <x v="16"/>
    <x v="1"/>
    <s v="#AppleEvent"/>
    <s v="#iPhone16"/>
    <x v="16"/>
    <x v="16"/>
    <x v="16"/>
    <n v="2462"/>
    <n v="53082"/>
    <n v="168267"/>
    <x v="4"/>
    <n v="7.4453101321114656E-2"/>
    <n v="1.4631508257709473E-2"/>
    <n v="8.9084609578824132"/>
  </r>
  <r>
    <s v="A18"/>
    <x v="1"/>
    <x v="17"/>
    <x v="0"/>
    <s v="#AppleWatch"/>
    <s v="#Health"/>
    <x v="17"/>
    <x v="17"/>
    <x v="17"/>
    <n v="1646"/>
    <n v="35819"/>
    <n v="219436"/>
    <x v="0"/>
    <n v="7.306458375107093E-2"/>
    <n v="7.5010481415993726E-3"/>
    <n v="8.0565631892670293"/>
  </r>
  <r>
    <s v="A19"/>
    <x v="1"/>
    <x v="18"/>
    <x v="1"/>
    <s v="#AppleEvent"/>
    <s v="#iPhone16"/>
    <x v="18"/>
    <x v="18"/>
    <x v="18"/>
    <n v="1891"/>
    <n v="15865"/>
    <n v="166503"/>
    <x v="3"/>
    <n v="0.1113073037723044"/>
    <n v="1.1357152723974943E-2"/>
    <n v="12.266445649627935"/>
  </r>
  <r>
    <s v="A20"/>
    <x v="0"/>
    <x v="19"/>
    <x v="2"/>
    <s v="#AppleDesign"/>
    <s v="#Innovation"/>
    <x v="19"/>
    <x v="19"/>
    <x v="19"/>
    <n v="2189"/>
    <n v="76881"/>
    <n v="124878"/>
    <x v="3"/>
    <n v="5.563029516808405E-2"/>
    <n v="1.7529108409807974E-2"/>
    <n v="7.3159403577892022"/>
  </r>
  <r>
    <s v="A21"/>
    <x v="3"/>
    <x v="20"/>
    <x v="3"/>
    <s v="#iPhonePhotography"/>
    <s v="#ShotOniPhone"/>
    <x v="20"/>
    <x v="20"/>
    <x v="20"/>
    <n v="2387"/>
    <n v="72396"/>
    <n v="97056"/>
    <x v="1"/>
    <n v="0.24662050774810418"/>
    <n v="2.4594048796571052E-2"/>
    <n v="27.121455654467525"/>
  </r>
  <r>
    <s v="A22"/>
    <x v="2"/>
    <x v="21"/>
    <x v="0"/>
    <s v="#AppleMusic"/>
    <s v="#AppleLifestyle"/>
    <x v="21"/>
    <x v="21"/>
    <x v="21"/>
    <n v="2296"/>
    <n v="24613"/>
    <n v="198562"/>
    <x v="3"/>
    <n v="5.1716844109144754E-2"/>
    <n v="1.1563138969188464E-2"/>
    <n v="6.3279983078333215"/>
  </r>
  <r>
    <s v="A23"/>
    <x v="3"/>
    <x v="22"/>
    <x v="3"/>
    <s v="#AppleEvent"/>
    <s v="#iPhone16"/>
    <x v="22"/>
    <x v="22"/>
    <x v="22"/>
    <n v="2072"/>
    <n v="31736"/>
    <n v="59975"/>
    <x v="3"/>
    <n v="0.17640683618174238"/>
    <n v="3.4547728220091702E-2"/>
    <n v="21.095456440183408"/>
  </r>
  <r>
    <s v="A24"/>
    <x v="1"/>
    <x v="23"/>
    <x v="2"/>
    <s v="#iPhone16Launch"/>
    <s v="#AppleEvent"/>
    <x v="23"/>
    <x v="23"/>
    <x v="23"/>
    <n v="1612"/>
    <n v="66615"/>
    <n v="197795"/>
    <x v="3"/>
    <n v="0.12575646502692181"/>
    <n v="8.1498521196187966E-3"/>
    <n v="13.390631714654061"/>
  </r>
  <r>
    <s v="A25"/>
    <x v="1"/>
    <x v="24"/>
    <x v="2"/>
    <s v="#AppleWatch"/>
    <s v="#Health"/>
    <x v="24"/>
    <x v="24"/>
    <x v="24"/>
    <n v="1585"/>
    <n v="59182"/>
    <n v="194351"/>
    <x v="1"/>
    <n v="8.5309568769905988E-2"/>
    <n v="8.1553477985706266E-3"/>
    <n v="9.346491656847661"/>
  </r>
  <r>
    <s v="A26"/>
    <x v="3"/>
    <x v="25"/>
    <x v="2"/>
    <s v="#AppleWatch"/>
    <s v="#Health"/>
    <x v="25"/>
    <x v="25"/>
    <x v="25"/>
    <n v="515"/>
    <n v="41309"/>
    <n v="249373"/>
    <x v="0"/>
    <n v="9.5952649244304716E-2"/>
    <n v="2.0651794701110385E-3"/>
    <n v="9.8017828714415742"/>
  </r>
  <r>
    <s v="A27"/>
    <x v="3"/>
    <x v="26"/>
    <x v="1"/>
    <s v="#iPhone16Launch"/>
    <s v="#AppleEvent"/>
    <x v="26"/>
    <x v="26"/>
    <x v="26"/>
    <n v="2683"/>
    <n v="32244"/>
    <n v="182633"/>
    <x v="0"/>
    <n v="0.11328730295182141"/>
    <n v="1.4690663790224111E-2"/>
    <n v="12.79779667420455"/>
  </r>
  <r>
    <s v="A28"/>
    <x v="3"/>
    <x v="27"/>
    <x v="1"/>
    <s v="#ShotOniPhone"/>
    <m/>
    <x v="27"/>
    <x v="27"/>
    <x v="27"/>
    <n v="2439"/>
    <n v="6259"/>
    <n v="237133"/>
    <x v="3"/>
    <n v="5.6748744375519224E-2"/>
    <n v="1.0285367283338885E-2"/>
    <n v="6.7034111658858118"/>
  </r>
  <r>
    <s v="A29"/>
    <x v="1"/>
    <x v="28"/>
    <x v="3"/>
    <s v="#MacBookProM3"/>
    <m/>
    <x v="28"/>
    <x v="28"/>
    <x v="28"/>
    <n v="2700"/>
    <n v="12264"/>
    <n v="128397"/>
    <x v="1"/>
    <n v="8.7174933993784898E-2"/>
    <n v="2.102852870394168E-2"/>
    <n v="10.820346269772656"/>
  </r>
  <r>
    <s v="A30"/>
    <x v="1"/>
    <x v="29"/>
    <x v="3"/>
    <s v="#iPhonePhotography"/>
    <s v="#ShotOniPhone"/>
    <x v="29"/>
    <x v="29"/>
    <x v="29"/>
    <n v="2918"/>
    <n v="54808"/>
    <n v="220225"/>
    <x v="0"/>
    <n v="5.3436258372119426E-2"/>
    <n v="1.3250085140197525E-2"/>
    <n v="6.6686343512316952"/>
  </r>
  <r>
    <s v="A31"/>
    <x v="2"/>
    <x v="30"/>
    <x v="0"/>
    <s v="#AppleEvent"/>
    <s v="#iPadPro"/>
    <x v="30"/>
    <x v="30"/>
    <x v="30"/>
    <n v="2004"/>
    <n v="2701"/>
    <n v="73142"/>
    <x v="0"/>
    <n v="5.1817013480626728E-2"/>
    <n v="2.7398758579202102E-2"/>
    <n v="7.9215772059828824"/>
  </r>
  <r>
    <s v="A32"/>
    <x v="2"/>
    <x v="31"/>
    <x v="0"/>
    <s v="#AppleEvent"/>
    <s v="#iPhone16"/>
    <x v="31"/>
    <x v="31"/>
    <x v="31"/>
    <n v="662"/>
    <n v="12676"/>
    <n v="66916"/>
    <x v="0"/>
    <n v="5.7370434574690654E-2"/>
    <n v="9.8930001793293091E-3"/>
    <n v="6.7263434754019968"/>
  </r>
  <r>
    <s v="A33"/>
    <x v="1"/>
    <x v="32"/>
    <x v="3"/>
    <s v="#iPhone16Launch"/>
    <s v="#AppleEvent"/>
    <x v="32"/>
    <x v="32"/>
    <x v="32"/>
    <n v="2904"/>
    <n v="15954"/>
    <n v="104324"/>
    <x v="1"/>
    <n v="0.10871899083624094"/>
    <n v="2.7836355967946015E-2"/>
    <n v="13.655534680418697"/>
  </r>
  <r>
    <s v="A34"/>
    <x v="3"/>
    <x v="33"/>
    <x v="1"/>
    <s v="#AppleDesign"/>
    <s v="#Innovation"/>
    <x v="33"/>
    <x v="33"/>
    <x v="33"/>
    <n v="2016"/>
    <n v="28771"/>
    <n v="216037"/>
    <x v="1"/>
    <n v="8.6151909163708074E-2"/>
    <n v="9.3317348417169283E-3"/>
    <n v="9.5483644005424999"/>
  </r>
  <r>
    <s v="A35"/>
    <x v="3"/>
    <x v="34"/>
    <x v="2"/>
    <s v="#AppleEvent"/>
    <s v="#iPhone16"/>
    <x v="34"/>
    <x v="34"/>
    <x v="34"/>
    <n v="1493"/>
    <n v="33310"/>
    <n v="165932"/>
    <x v="3"/>
    <n v="9.6202058674637797E-2"/>
    <n v="8.9976616927416042E-3"/>
    <n v="10.51997203673794"/>
  </r>
  <r>
    <s v="A36"/>
    <x v="2"/>
    <x v="35"/>
    <x v="3"/>
    <s v="#MacBookProM3"/>
    <m/>
    <x v="35"/>
    <x v="35"/>
    <x v="35"/>
    <n v="655"/>
    <n v="67621"/>
    <n v="175720"/>
    <x v="2"/>
    <n v="0.12340086501251991"/>
    <n v="3.7275210562258136E-3"/>
    <n v="12.712838606874573"/>
  </r>
  <r>
    <s v="A37"/>
    <x v="1"/>
    <x v="36"/>
    <x v="0"/>
    <s v="#AppleDesign"/>
    <s v="#Innovation"/>
    <x v="36"/>
    <x v="36"/>
    <x v="36"/>
    <n v="490"/>
    <n v="23518"/>
    <n v="206205"/>
    <x v="0"/>
    <n v="6.8868359157149436E-2"/>
    <n v="2.3762760359836085E-3"/>
    <n v="7.1244635193133039"/>
  </r>
  <r>
    <s v="A38"/>
    <x v="2"/>
    <x v="37"/>
    <x v="1"/>
    <s v="#MacBookAirM3"/>
    <s v="#AppleInnovation"/>
    <x v="37"/>
    <x v="37"/>
    <x v="37"/>
    <n v="2769"/>
    <n v="27550"/>
    <n v="221749"/>
    <x v="2"/>
    <n v="4.3161412227338117E-2"/>
    <n v="1.248709126083996E-2"/>
    <n v="5.5648503488178074"/>
  </r>
  <r>
    <s v="A39"/>
    <x v="2"/>
    <x v="38"/>
    <x v="3"/>
    <s v="#AppleMusic"/>
    <s v="#AppleLifestyle"/>
    <x v="38"/>
    <x v="38"/>
    <x v="38"/>
    <n v="999"/>
    <n v="59627"/>
    <n v="136059"/>
    <x v="1"/>
    <n v="0.13425793222058077"/>
    <n v="7.3424029281414678E-3"/>
    <n v="14.160033514872225"/>
  </r>
  <r>
    <s v="A40"/>
    <x v="0"/>
    <x v="39"/>
    <x v="3"/>
    <s v="#AppleWatch"/>
    <s v="#Health"/>
    <x v="39"/>
    <x v="39"/>
    <x v="39"/>
    <n v="2354"/>
    <n v="37792"/>
    <n v="138317"/>
    <x v="1"/>
    <n v="0.15262765965138053"/>
    <n v="1.701887692763724E-2"/>
    <n v="16.964653657901778"/>
  </r>
  <r>
    <s v="A41"/>
    <x v="0"/>
    <x v="40"/>
    <x v="1"/>
    <s v="#MacBookAirM3"/>
    <s v="#AppleInnovation"/>
    <x v="40"/>
    <x v="40"/>
    <x v="40"/>
    <n v="2480"/>
    <n v="7377"/>
    <n v="241207"/>
    <x v="1"/>
    <n v="2.5467751765081443E-2"/>
    <n v="1.0281625325964836E-2"/>
    <n v="3.5749377091046282"/>
  </r>
  <r>
    <s v="A42"/>
    <x v="0"/>
    <x v="41"/>
    <x v="3"/>
    <s v="#AppleEvent"/>
    <s v="#iPhone16"/>
    <x v="41"/>
    <x v="41"/>
    <x v="41"/>
    <n v="856"/>
    <n v="11496"/>
    <n v="75046"/>
    <x v="2"/>
    <n v="0.19921115049436347"/>
    <n v="1.1406337446366229E-2"/>
    <n v="21.061748794072972"/>
  </r>
  <r>
    <s v="A43"/>
    <x v="3"/>
    <x v="42"/>
    <x v="1"/>
    <s v="#MacBookProM3"/>
    <m/>
    <x v="42"/>
    <x v="42"/>
    <x v="42"/>
    <n v="1125"/>
    <n v="12206"/>
    <n v="218136"/>
    <x v="1"/>
    <n v="3.6761469908680823E-2"/>
    <n v="5.1573330399383869E-3"/>
    <n v="4.1918802948619209"/>
  </r>
  <r>
    <s v="A44"/>
    <x v="1"/>
    <x v="43"/>
    <x v="2"/>
    <s v="#iPhonePhotography"/>
    <s v="#ShotOniPhone"/>
    <x v="43"/>
    <x v="43"/>
    <x v="43"/>
    <n v="1354"/>
    <n v="34475"/>
    <n v="141459"/>
    <x v="3"/>
    <n v="0.17140655596321194"/>
    <n v="9.5716780127103971E-3"/>
    <n v="18.097823397592233"/>
  </r>
  <r>
    <s v="A45"/>
    <x v="1"/>
    <x v="44"/>
    <x v="1"/>
    <s v="#AppleMusic"/>
    <s v="#AppleLifestyle"/>
    <x v="44"/>
    <x v="44"/>
    <x v="44"/>
    <n v="2882"/>
    <n v="49816"/>
    <n v="240422"/>
    <x v="1"/>
    <n v="6.9049421433978589E-2"/>
    <n v="1.1987255741987007E-2"/>
    <n v="8.1036677175965597"/>
  </r>
  <r>
    <s v="A46"/>
    <x v="1"/>
    <x v="45"/>
    <x v="1"/>
    <s v="#AppleEvent"/>
    <s v="#iPhone16"/>
    <x v="45"/>
    <x v="45"/>
    <x v="45"/>
    <n v="725"/>
    <n v="8710"/>
    <n v="85893"/>
    <x v="4"/>
    <n v="0.22195056640238436"/>
    <n v="8.4407344021049449E-3"/>
    <n v="23.039130080448931"/>
  </r>
  <r>
    <s v="A47"/>
    <x v="1"/>
    <x v="46"/>
    <x v="1"/>
    <s v="#iPhone16Launch"/>
    <s v="#AppleEvent"/>
    <x v="46"/>
    <x v="46"/>
    <x v="46"/>
    <n v="2710"/>
    <n v="20792"/>
    <n v="141520"/>
    <x v="2"/>
    <n v="0.18511871113623515"/>
    <n v="1.9149236856981347E-2"/>
    <n v="20.426794799321652"/>
  </r>
  <r>
    <s v="A48"/>
    <x v="0"/>
    <x v="9"/>
    <x v="3"/>
    <s v="#AppleWatchUltra2"/>
    <s v="#HealthTech"/>
    <x v="47"/>
    <x v="47"/>
    <x v="47"/>
    <n v="1874"/>
    <n v="36272"/>
    <n v="165818"/>
    <x v="4"/>
    <n v="5.8335042034037318E-2"/>
    <n v="1.1301547479766973E-2"/>
    <n v="6.9636589513804292"/>
  </r>
  <r>
    <s v="A49"/>
    <x v="3"/>
    <x v="47"/>
    <x v="3"/>
    <s v="#AppleEvent"/>
    <s v="#iPhone16"/>
    <x v="48"/>
    <x v="48"/>
    <x v="48"/>
    <n v="2429"/>
    <n v="27361"/>
    <n v="101272"/>
    <x v="1"/>
    <n v="5.5652105221581483E-2"/>
    <n v="2.3984911920372859E-2"/>
    <n v="7.9637017141954338"/>
  </r>
  <r>
    <s v="A50"/>
    <x v="3"/>
    <x v="48"/>
    <x v="1"/>
    <s v="#AppleMusic"/>
    <s v="#AppleLifestyle"/>
    <x v="49"/>
    <x v="49"/>
    <x v="49"/>
    <n v="2703"/>
    <n v="21288"/>
    <n v="107649"/>
    <x v="3"/>
    <n v="0.1531737405828201"/>
    <n v="2.5109383273416382E-2"/>
    <n v="17.828312385623647"/>
  </r>
  <r>
    <s v="A51"/>
    <x v="0"/>
    <x v="49"/>
    <x v="3"/>
    <s v="#AppleWatch"/>
    <s v="#Health"/>
    <x v="50"/>
    <x v="50"/>
    <x v="50"/>
    <n v="888"/>
    <n v="36938"/>
    <n v="104674"/>
    <x v="0"/>
    <n v="0.24061371496264594"/>
    <n v="8.4834820490284121E-3"/>
    <n v="24.909719701167436"/>
  </r>
  <r>
    <s v="A52"/>
    <x v="3"/>
    <x v="50"/>
    <x v="0"/>
    <s v="#AppleWatch"/>
    <s v="#Health"/>
    <x v="51"/>
    <x v="51"/>
    <x v="51"/>
    <n v="2312"/>
    <n v="9730"/>
    <n v="184832"/>
    <x v="1"/>
    <n v="0.10829293628808864"/>
    <n v="1.2508656509695291E-2"/>
    <n v="12.080159279778394"/>
  </r>
  <r>
    <s v="A53"/>
    <x v="0"/>
    <x v="46"/>
    <x v="0"/>
    <s v="#AppleEvent"/>
    <s v="#iPhone16"/>
    <x v="52"/>
    <x v="52"/>
    <x v="52"/>
    <n v="1847"/>
    <n v="3144"/>
    <n v="192999"/>
    <x v="3"/>
    <n v="0.12912502137316773"/>
    <n v="9.5699977720091808E-3"/>
    <n v="13.86950191451769"/>
  </r>
  <r>
    <s v="A54"/>
    <x v="1"/>
    <x v="51"/>
    <x v="3"/>
    <s v="#AppleDesign"/>
    <s v="#Innovation"/>
    <x v="53"/>
    <x v="53"/>
    <x v="53"/>
    <n v="594"/>
    <n v="18171"/>
    <n v="126475"/>
    <x v="2"/>
    <n v="6.4684720300454635E-2"/>
    <n v="4.6965803518481918E-3"/>
    <n v="6.9381300652302826"/>
  </r>
  <r>
    <s v="A55"/>
    <x v="0"/>
    <x v="52"/>
    <x v="3"/>
    <s v="#AppleWatchUltra2"/>
    <s v="#HealthTech"/>
    <x v="54"/>
    <x v="54"/>
    <x v="54"/>
    <n v="2285"/>
    <n v="14049"/>
    <n v="101367"/>
    <x v="4"/>
    <n v="8.5718231771681114E-2"/>
    <n v="2.2541852871250011E-2"/>
    <n v="10.826008464293114"/>
  </r>
  <r>
    <s v="A56"/>
    <x v="1"/>
    <x v="53"/>
    <x v="1"/>
    <s v="#iPhone16Launch"/>
    <s v="#AppleEvent"/>
    <x v="55"/>
    <x v="55"/>
    <x v="55"/>
    <n v="1547"/>
    <n v="28527"/>
    <n v="183660"/>
    <x v="4"/>
    <n v="9.0574975498203203E-2"/>
    <n v="8.4231732549275833E-3"/>
    <n v="9.8998148753130781"/>
  </r>
  <r>
    <s v="A57"/>
    <x v="1"/>
    <x v="54"/>
    <x v="2"/>
    <s v="#AppleEvent"/>
    <s v="#iPhone16"/>
    <x v="56"/>
    <x v="56"/>
    <x v="56"/>
    <n v="1848"/>
    <n v="44739"/>
    <n v="161750"/>
    <x v="4"/>
    <n v="8.7845440494590421E-2"/>
    <n v="1.1425038639876352E-2"/>
    <n v="9.9270479134466765"/>
  </r>
  <r>
    <s v="A58"/>
    <x v="2"/>
    <x v="55"/>
    <x v="3"/>
    <s v="#AppleDesign"/>
    <s v="#Innovation"/>
    <x v="57"/>
    <x v="57"/>
    <x v="57"/>
    <n v="1990"/>
    <n v="410"/>
    <n v="158154"/>
    <x v="2"/>
    <n v="4.5683321319726342E-2"/>
    <n v="1.2582672584948848E-2"/>
    <n v="5.8265993904675195"/>
  </r>
  <r>
    <s v="A59"/>
    <x v="0"/>
    <x v="56"/>
    <x v="0"/>
    <s v="#AppleWatch"/>
    <s v="#Health"/>
    <x v="58"/>
    <x v="58"/>
    <x v="58"/>
    <n v="1436"/>
    <n v="30059"/>
    <n v="223305"/>
    <x v="3"/>
    <n v="7.8063634938760881E-2"/>
    <n v="6.4306665771030657E-3"/>
    <n v="8.4494301515863945"/>
  </r>
  <r>
    <s v="A60"/>
    <x v="2"/>
    <x v="57"/>
    <x v="1"/>
    <s v="#AppleWatch"/>
    <s v="#Health"/>
    <x v="59"/>
    <x v="59"/>
    <x v="59"/>
    <n v="1556"/>
    <n v="11580"/>
    <n v="84738"/>
    <x v="2"/>
    <n v="0.13390686586891359"/>
    <n v="1.8362482003351506E-2"/>
    <n v="15.22693478722651"/>
  </r>
  <r>
    <s v="A61"/>
    <x v="0"/>
    <x v="58"/>
    <x v="3"/>
    <s v="#MacBookProM3"/>
    <m/>
    <x v="60"/>
    <x v="60"/>
    <x v="60"/>
    <n v="2364"/>
    <n v="43239"/>
    <n v="73397"/>
    <x v="4"/>
    <n v="0.23480523727127811"/>
    <n v="3.2208400888319687E-2"/>
    <n v="26.701363815959777"/>
  </r>
  <r>
    <s v="A62"/>
    <x v="0"/>
    <x v="59"/>
    <x v="0"/>
    <s v="#AppleEvent"/>
    <s v="#iPhone16"/>
    <x v="61"/>
    <x v="61"/>
    <x v="61"/>
    <n v="659"/>
    <n v="7"/>
    <n v="122189"/>
    <x v="1"/>
    <n v="0.16149571565361859"/>
    <n v="5.3932841745165279E-3"/>
    <n v="16.688899982813513"/>
  </r>
  <r>
    <s v="A63"/>
    <x v="2"/>
    <x v="31"/>
    <x v="0"/>
    <s v="#AppleWatchUltra2"/>
    <s v="#HealthTech"/>
    <x v="62"/>
    <x v="62"/>
    <x v="62"/>
    <n v="999"/>
    <n v="89591"/>
    <n v="116367"/>
    <x v="0"/>
    <n v="0.11749035379446063"/>
    <n v="8.5849080925004505E-3"/>
    <n v="12.607526188696108"/>
  </r>
  <r>
    <s v="A64"/>
    <x v="2"/>
    <x v="60"/>
    <x v="2"/>
    <s v="#ShotOniPhone"/>
    <m/>
    <x v="63"/>
    <x v="63"/>
    <x v="63"/>
    <n v="747"/>
    <n v="42667"/>
    <n v="242332"/>
    <x v="2"/>
    <n v="8.6113266097750191E-2"/>
    <n v="3.0825479094795569E-3"/>
    <n v="8.9195814007229739"/>
  </r>
  <r>
    <s v="A65"/>
    <x v="0"/>
    <x v="61"/>
    <x v="1"/>
    <s v="#AppleWatchUltra2"/>
    <s v="#HealthTech"/>
    <x v="64"/>
    <x v="64"/>
    <x v="64"/>
    <n v="2712"/>
    <n v="19987"/>
    <n v="160585"/>
    <x v="2"/>
    <n v="4.9357038328611019E-2"/>
    <n v="1.6888252327427841E-2"/>
    <n v="6.6245290656038858"/>
  </r>
  <r>
    <s v="A66"/>
    <x v="3"/>
    <x v="62"/>
    <x v="1"/>
    <s v="#AppleWatch"/>
    <s v="#Health"/>
    <x v="65"/>
    <x v="65"/>
    <x v="65"/>
    <n v="974"/>
    <n v="2285"/>
    <n v="116619"/>
    <x v="3"/>
    <n v="0.12041777068916729"/>
    <n v="8.351983810528301E-3"/>
    <n v="12.876975449969558"/>
  </r>
  <r>
    <s v="A67"/>
    <x v="1"/>
    <x v="63"/>
    <x v="2"/>
    <s v="#AppleWatch"/>
    <s v="#Health"/>
    <x v="66"/>
    <x v="66"/>
    <x v="29"/>
    <n v="1307"/>
    <n v="84691"/>
    <n v="151453"/>
    <x v="3"/>
    <n v="0.14055845707909384"/>
    <n v="8.6297399193149028E-3"/>
    <n v="14.918819699840874"/>
  </r>
  <r>
    <s v="A68"/>
    <x v="2"/>
    <x v="64"/>
    <x v="2"/>
    <s v="#MacBookAirM3"/>
    <s v="#AppleInnovation"/>
    <x v="67"/>
    <x v="67"/>
    <x v="66"/>
    <n v="1649"/>
    <n v="15145"/>
    <n v="59816"/>
    <x v="2"/>
    <n v="0.19404507155276179"/>
    <n v="2.7567874816102716E-2"/>
    <n v="22.161294636886449"/>
  </r>
  <r>
    <s v="A69"/>
    <x v="1"/>
    <x v="65"/>
    <x v="1"/>
    <s v="#AppleWatch"/>
    <s v="#Health"/>
    <x v="68"/>
    <x v="68"/>
    <x v="67"/>
    <n v="2814"/>
    <n v="24916"/>
    <n v="213312"/>
    <x v="4"/>
    <n v="5.530396789678968E-2"/>
    <n v="1.3191944194419441E-2"/>
    <n v="6.8495912091209119"/>
  </r>
  <r>
    <s v="A70"/>
    <x v="3"/>
    <x v="66"/>
    <x v="1"/>
    <s v="#iPhone16Launch"/>
    <s v="#AppleEvent"/>
    <x v="69"/>
    <x v="69"/>
    <x v="68"/>
    <n v="2761"/>
    <n v="2988"/>
    <n v="177348"/>
    <x v="0"/>
    <n v="4.3073505198818141E-2"/>
    <n v="1.5568261271624152E-2"/>
    <n v="5.8641766470442294"/>
  </r>
  <r>
    <s v="A71"/>
    <x v="3"/>
    <x v="67"/>
    <x v="3"/>
    <s v="#AppleEvent"/>
    <s v="#iPadPro"/>
    <x v="70"/>
    <x v="70"/>
    <x v="69"/>
    <n v="885"/>
    <n v="30360"/>
    <n v="119530"/>
    <x v="3"/>
    <n v="0.1120806492094035"/>
    <n v="7.4039989960679323E-3"/>
    <n v="11.948464820547143"/>
  </r>
  <r>
    <s v="A72"/>
    <x v="3"/>
    <x v="68"/>
    <x v="3"/>
    <s v="#AppleEvent"/>
    <s v="#iPhone16"/>
    <x v="71"/>
    <x v="71"/>
    <x v="70"/>
    <n v="1556"/>
    <n v="5239"/>
    <n v="194571"/>
    <x v="4"/>
    <n v="0.13314933880177415"/>
    <n v="7.9970807571529152E-3"/>
    <n v="14.114641955892706"/>
  </r>
  <r>
    <s v="A73"/>
    <x v="2"/>
    <x v="69"/>
    <x v="2"/>
    <s v="#AppleWatchUltra2"/>
    <s v="#HealthTech"/>
    <x v="72"/>
    <x v="72"/>
    <x v="71"/>
    <n v="1547"/>
    <n v="77798"/>
    <n v="148856"/>
    <x v="1"/>
    <n v="0.16575751061428495"/>
    <n v="1.0392594184984146E-2"/>
    <n v="17.615010479926909"/>
  </r>
  <r>
    <s v="A74"/>
    <x v="3"/>
    <x v="70"/>
    <x v="3"/>
    <s v="#AppleEvent"/>
    <s v="#iPadPro"/>
    <x v="73"/>
    <x v="73"/>
    <x v="72"/>
    <n v="1293"/>
    <n v="16330"/>
    <n v="111635"/>
    <x v="3"/>
    <n v="0.20473865723115511"/>
    <n v="1.1582389035696691E-2"/>
    <n v="21.63210462668518"/>
  </r>
  <r>
    <s v="A75"/>
    <x v="2"/>
    <x v="71"/>
    <x v="0"/>
    <s v="#AppleDesign"/>
    <s v="#Innovation"/>
    <x v="74"/>
    <x v="72"/>
    <x v="73"/>
    <n v="1735"/>
    <n v="20998"/>
    <n v="147803"/>
    <x v="4"/>
    <n v="0.15781817689762725"/>
    <n v="1.1738597998687442E-2"/>
    <n v="16.955677489631469"/>
  </r>
  <r>
    <s v="A76"/>
    <x v="3"/>
    <x v="72"/>
    <x v="3"/>
    <s v="#ShotOniPhone"/>
    <m/>
    <x v="75"/>
    <x v="74"/>
    <x v="74"/>
    <n v="871"/>
    <n v="14957"/>
    <n v="75946"/>
    <x v="4"/>
    <n v="0.24296210465330631"/>
    <n v="1.1468675111263265E-2"/>
    <n v="25.443077976456959"/>
  </r>
  <r>
    <s v="A77"/>
    <x v="1"/>
    <x v="27"/>
    <x v="3"/>
    <s v="#iPhone16Launch"/>
    <s v="#AppleEvent"/>
    <x v="76"/>
    <x v="75"/>
    <x v="75"/>
    <n v="2682"/>
    <n v="8538"/>
    <n v="95204"/>
    <x v="0"/>
    <n v="0.14992017142136885"/>
    <n v="2.8171085248518971E-2"/>
    <n v="17.809125666988781"/>
  </r>
  <r>
    <s v="A78"/>
    <x v="1"/>
    <x v="52"/>
    <x v="0"/>
    <s v="#AppleMusic"/>
    <s v="#AppleLifestyle"/>
    <x v="77"/>
    <x v="76"/>
    <x v="76"/>
    <n v="1545"/>
    <n v="18859"/>
    <n v="222958"/>
    <x v="0"/>
    <n v="2.2165609666394567E-2"/>
    <n v="6.9295562392917053E-3"/>
    <n v="2.9095165905686273"/>
  </r>
  <r>
    <s v="A79"/>
    <x v="0"/>
    <x v="73"/>
    <x v="2"/>
    <s v="#Sustainability"/>
    <s v="#AppleEarth"/>
    <x v="78"/>
    <x v="77"/>
    <x v="77"/>
    <n v="2384"/>
    <n v="39404"/>
    <n v="242724"/>
    <x v="1"/>
    <n v="3.9975445361810122E-2"/>
    <n v="9.821855275951287E-3"/>
    <n v="4.9797300637761408"/>
  </r>
  <r>
    <s v="A80"/>
    <x v="1"/>
    <x v="49"/>
    <x v="0"/>
    <s v="#AppleWatchUltra2"/>
    <s v="#HealthTech"/>
    <x v="79"/>
    <x v="78"/>
    <x v="78"/>
    <n v="1288"/>
    <n v="39466"/>
    <n v="55563"/>
    <x v="4"/>
    <n v="0.26499649047027696"/>
    <n v="2.3180893760236129E-2"/>
    <n v="28.81773842305131"/>
  </r>
  <r>
    <s v="A81"/>
    <x v="0"/>
    <x v="74"/>
    <x v="3"/>
    <s v="#AppleEvent"/>
    <s v="#iPadPro"/>
    <x v="80"/>
    <x v="79"/>
    <x v="79"/>
    <n v="577"/>
    <n v="19262"/>
    <n v="132324"/>
    <x v="4"/>
    <n v="5.9097367068710133E-2"/>
    <n v="4.3605090535352616E-3"/>
    <n v="6.3457876122245391"/>
  </r>
  <r>
    <s v="A82"/>
    <x v="1"/>
    <x v="75"/>
    <x v="2"/>
    <s v="#AppleMusic"/>
    <s v="#AppleLifestyle"/>
    <x v="81"/>
    <x v="80"/>
    <x v="80"/>
    <n v="1519"/>
    <n v="13637"/>
    <n v="49847"/>
    <x v="0"/>
    <n v="0.49054105563022848"/>
    <n v="3.0473248139306276E-2"/>
    <n v="52.101430376953473"/>
  </r>
  <r>
    <s v="A83"/>
    <x v="2"/>
    <x v="76"/>
    <x v="3"/>
    <s v="#ShotOniPhone"/>
    <m/>
    <x v="82"/>
    <x v="81"/>
    <x v="81"/>
    <n v="2187"/>
    <n v="9609"/>
    <n v="66155"/>
    <x v="3"/>
    <n v="0.29326581513113142"/>
    <n v="3.3058725719900234E-2"/>
    <n v="32.63245408510317"/>
  </r>
  <r>
    <s v="A84"/>
    <x v="1"/>
    <x v="77"/>
    <x v="0"/>
    <s v="#MacBookAirM3"/>
    <s v="#AppleInnovation"/>
    <x v="83"/>
    <x v="82"/>
    <x v="82"/>
    <n v="783"/>
    <n v="34154"/>
    <n v="119671"/>
    <x v="3"/>
    <n v="0.13010670922779954"/>
    <n v="6.5429385565425211E-3"/>
    <n v="13.664964778434207"/>
  </r>
  <r>
    <s v="A85"/>
    <x v="0"/>
    <x v="35"/>
    <x v="0"/>
    <s v="#AppleMusic"/>
    <s v="#AppleLifestyle"/>
    <x v="84"/>
    <x v="83"/>
    <x v="83"/>
    <n v="1565"/>
    <n v="24847"/>
    <n v="156891"/>
    <x v="2"/>
    <n v="6.223429004850501E-2"/>
    <n v="9.9750782390321951E-3"/>
    <n v="7.2209368287537217"/>
  </r>
  <r>
    <s v="A86"/>
    <x v="0"/>
    <x v="78"/>
    <x v="3"/>
    <s v="#iPhone16Launch"/>
    <s v="#AppleEvent"/>
    <x v="85"/>
    <x v="59"/>
    <x v="84"/>
    <n v="1030"/>
    <n v="58052"/>
    <n v="123310"/>
    <x v="0"/>
    <n v="8.7989619657773091E-2"/>
    <n v="8.3529316357148654E-3"/>
    <n v="9.6342551293487961"/>
  </r>
  <r>
    <s v="A87"/>
    <x v="3"/>
    <x v="79"/>
    <x v="1"/>
    <s v="#iPhone16Launch"/>
    <s v="#AppleEvent"/>
    <x v="86"/>
    <x v="84"/>
    <x v="85"/>
    <n v="2539"/>
    <n v="12701"/>
    <n v="238350"/>
    <x v="2"/>
    <n v="5.6026851269142017E-2"/>
    <n v="1.065240192993497E-2"/>
    <n v="6.6679253199076989"/>
  </r>
  <r>
    <s v="A88"/>
    <x v="2"/>
    <x v="80"/>
    <x v="1"/>
    <s v="#MacBookAirM3"/>
    <s v="#AppleInnovation"/>
    <x v="87"/>
    <x v="53"/>
    <x v="86"/>
    <n v="1340"/>
    <n v="4890"/>
    <n v="189381"/>
    <x v="0"/>
    <n v="0.13500298340382616"/>
    <n v="7.0756834106906188E-3"/>
    <n v="14.207866681451678"/>
  </r>
  <r>
    <s v="A89"/>
    <x v="1"/>
    <x v="81"/>
    <x v="0"/>
    <s v="#Sustainability"/>
    <s v="#AppleEarth"/>
    <x v="88"/>
    <x v="85"/>
    <x v="87"/>
    <n v="2871"/>
    <n v="14800"/>
    <n v="171691"/>
    <x v="1"/>
    <n v="7.1873307278774071E-2"/>
    <n v="1.6721901555701812E-2"/>
    <n v="8.8595208834475887"/>
  </r>
  <r>
    <s v="A90"/>
    <x v="3"/>
    <x v="82"/>
    <x v="0"/>
    <s v="#AppleEvent"/>
    <s v="#iPhone16"/>
    <x v="89"/>
    <x v="86"/>
    <x v="66"/>
    <n v="1217"/>
    <n v="68817"/>
    <n v="221180"/>
    <x v="4"/>
    <n v="4.5293426168731353E-2"/>
    <n v="5.5023058142689213E-3"/>
    <n v="5.0795731983000278"/>
  </r>
  <r>
    <s v="A91"/>
    <x v="1"/>
    <x v="83"/>
    <x v="1"/>
    <s v="#AppleMusic"/>
    <s v="#AppleLifestyle"/>
    <x v="90"/>
    <x v="87"/>
    <x v="88"/>
    <n v="2748"/>
    <n v="24615"/>
    <n v="74707"/>
    <x v="1"/>
    <n v="0.17280843829895459"/>
    <n v="3.678370166115625E-2"/>
    <n v="20.959213996011083"/>
  </r>
  <r>
    <s v="A92"/>
    <x v="1"/>
    <x v="54"/>
    <x v="1"/>
    <s v="#MacBookAirM3"/>
    <s v="#AppleInnovation"/>
    <x v="91"/>
    <x v="67"/>
    <x v="89"/>
    <n v="1185"/>
    <n v="37625"/>
    <n v="191409"/>
    <x v="0"/>
    <n v="0.11204802282024356"/>
    <n v="6.1909314609030919E-3"/>
    <n v="11.823895428114666"/>
  </r>
  <r>
    <s v="A93"/>
    <x v="3"/>
    <x v="84"/>
    <x v="3"/>
    <s v="#iPhone16Launch"/>
    <s v="#AppleEvent"/>
    <x v="92"/>
    <x v="88"/>
    <x v="90"/>
    <n v="321"/>
    <n v="8396"/>
    <n v="121537"/>
    <x v="4"/>
    <n v="0.19880365649966678"/>
    <n v="2.641171001423435E-3"/>
    <n v="20.14448275010902"/>
  </r>
  <r>
    <s v="A94"/>
    <x v="3"/>
    <x v="72"/>
    <x v="3"/>
    <s v="#iPhone16Launch"/>
    <s v="#AppleEvent"/>
    <x v="93"/>
    <x v="89"/>
    <x v="91"/>
    <n v="773"/>
    <n v="17841"/>
    <n v="237576"/>
    <x v="3"/>
    <n v="5.3443950567397383E-2"/>
    <n v="3.2536956594942249E-3"/>
    <n v="5.6697646226891605"/>
  </r>
  <r>
    <s v="A95"/>
    <x v="3"/>
    <x v="85"/>
    <x v="1"/>
    <s v="#AppleEvent"/>
    <s v="#iPadPro"/>
    <x v="94"/>
    <x v="90"/>
    <x v="92"/>
    <n v="2557"/>
    <n v="56890"/>
    <n v="218686"/>
    <x v="3"/>
    <n v="0.11443347996671026"/>
    <n v="1.1692563767227897E-2"/>
    <n v="12.612604373393815"/>
  </r>
  <r>
    <s v="A96"/>
    <x v="3"/>
    <x v="86"/>
    <x v="3"/>
    <s v="#AppleWatch"/>
    <s v="#Health"/>
    <x v="95"/>
    <x v="91"/>
    <x v="93"/>
    <n v="2653"/>
    <n v="19334"/>
    <n v="131155"/>
    <x v="2"/>
    <n v="5.6368419046166747E-2"/>
    <n v="2.0227974533948381E-2"/>
    <n v="7.6596393580115132"/>
  </r>
  <r>
    <s v="A97"/>
    <x v="3"/>
    <x v="87"/>
    <x v="3"/>
    <s v="#Sustainability"/>
    <s v="#AppleEarth"/>
    <x v="96"/>
    <x v="92"/>
    <x v="94"/>
    <n v="1003"/>
    <n v="61333"/>
    <n v="40281"/>
    <x v="0"/>
    <n v="0.19210049402944315"/>
    <n v="2.4900076959360494E-2"/>
    <n v="21.700057098880364"/>
  </r>
  <r>
    <s v="A98"/>
    <x v="1"/>
    <x v="88"/>
    <x v="2"/>
    <s v="#AppleMusic"/>
    <s v="#AppleLifestyle"/>
    <x v="97"/>
    <x v="93"/>
    <x v="95"/>
    <n v="986"/>
    <n v="24826"/>
    <n v="198492"/>
    <x v="0"/>
    <n v="0.11407008846704149"/>
    <n v="4.9674546077423777E-3"/>
    <n v="11.903754307478387"/>
  </r>
  <r>
    <s v="A99"/>
    <x v="3"/>
    <x v="89"/>
    <x v="3"/>
    <s v="#AppleMusic"/>
    <s v="#AppleLifestyle"/>
    <x v="98"/>
    <x v="94"/>
    <x v="96"/>
    <n v="584"/>
    <n v="66634"/>
    <n v="210102"/>
    <x v="3"/>
    <n v="6.5882285746922925E-2"/>
    <n v="2.7796022884122949E-3"/>
    <n v="6.8661888035335226"/>
  </r>
  <r>
    <s v="A100"/>
    <x v="2"/>
    <x v="90"/>
    <x v="0"/>
    <s v="#ShotOniPhone"/>
    <m/>
    <x v="99"/>
    <x v="95"/>
    <x v="97"/>
    <n v="1015"/>
    <n v="24333"/>
    <n v="172130"/>
    <x v="1"/>
    <n v="0.13062801371056759"/>
    <n v="5.8967059780398534E-3"/>
    <n v="13.652471968860743"/>
  </r>
  <r>
    <s v="A101"/>
    <x v="0"/>
    <x v="91"/>
    <x v="3"/>
    <s v="#MacBookAirM3"/>
    <s v="#AppleInnovation"/>
    <x v="100"/>
    <x v="96"/>
    <x v="98"/>
    <n v="1062"/>
    <n v="75008"/>
    <n v="116260"/>
    <x v="4"/>
    <n v="7.7421297092723204E-2"/>
    <n v="9.1346980904868404E-3"/>
    <n v="8.6555995183210044"/>
  </r>
  <r>
    <s v="A102"/>
    <x v="3"/>
    <x v="92"/>
    <x v="3"/>
    <s v="#ShotOniPhone"/>
    <m/>
    <x v="101"/>
    <x v="33"/>
    <x v="99"/>
    <n v="1550"/>
    <n v="5221"/>
    <n v="199476"/>
    <x v="1"/>
    <n v="5.5370069582305642E-2"/>
    <n v="7.7703583388477812E-3"/>
    <n v="6.3140427921153428"/>
  </r>
  <r>
    <s v="A103"/>
    <x v="3"/>
    <x v="93"/>
    <x v="1"/>
    <s v="#MacBookAirM3"/>
    <s v="#AppleInnovation"/>
    <x v="102"/>
    <x v="97"/>
    <x v="100"/>
    <n v="1247"/>
    <n v="39588"/>
    <n v="200928"/>
    <x v="1"/>
    <n v="9.8433269628921807E-2"/>
    <n v="6.206203217072782E-3"/>
    <n v="10.46394728459946"/>
  </r>
  <r>
    <s v="A104"/>
    <x v="1"/>
    <x v="94"/>
    <x v="0"/>
    <s v="#AppleDesign"/>
    <s v="#Innovation"/>
    <x v="103"/>
    <x v="98"/>
    <x v="101"/>
    <n v="2728"/>
    <n v="32015"/>
    <n v="180272"/>
    <x v="3"/>
    <n v="0.1468281263867933"/>
    <n v="1.5132688382000532E-2"/>
    <n v="16.196081476879382"/>
  </r>
  <r>
    <s v="A105"/>
    <x v="3"/>
    <x v="95"/>
    <x v="3"/>
    <s v="#iPhone16Launch"/>
    <s v="#AppleEvent"/>
    <x v="104"/>
    <x v="99"/>
    <x v="102"/>
    <n v="2807"/>
    <n v="3647"/>
    <n v="104178"/>
    <x v="3"/>
    <n v="0.22742805582752595"/>
    <n v="2.6944268463591162E-2"/>
    <n v="25.43723242911171"/>
  </r>
  <r>
    <s v="A106"/>
    <x v="3"/>
    <x v="96"/>
    <x v="3"/>
    <s v="#AppleWatch"/>
    <s v="#Health"/>
    <x v="105"/>
    <x v="100"/>
    <x v="103"/>
    <n v="1330"/>
    <n v="69141"/>
    <n v="73997"/>
    <x v="3"/>
    <n v="0.33664878305877266"/>
    <n v="1.7973701636552833E-2"/>
    <n v="35.462248469532547"/>
  </r>
  <r>
    <s v="A107"/>
    <x v="3"/>
    <x v="97"/>
    <x v="2"/>
    <s v="#AppleEvent"/>
    <s v="#iPadPro"/>
    <x v="106"/>
    <x v="101"/>
    <x v="104"/>
    <n v="328"/>
    <n v="91296"/>
    <n v="196683"/>
    <x v="2"/>
    <n v="0.1183732198512327"/>
    <n v="1.6676581097502072E-3"/>
    <n v="12.004087796098291"/>
  </r>
  <r>
    <s v="A108"/>
    <x v="1"/>
    <x v="98"/>
    <x v="3"/>
    <s v="#AppleWatch"/>
    <s v="#Health"/>
    <x v="107"/>
    <x v="102"/>
    <x v="105"/>
    <n v="1206"/>
    <n v="51755"/>
    <n v="159273"/>
    <x v="1"/>
    <n v="0.14860020216860359"/>
    <n v="7.5719048426286942E-3"/>
    <n v="15.617210701123231"/>
  </r>
  <r>
    <s v="A109"/>
    <x v="3"/>
    <x v="99"/>
    <x v="3"/>
    <s v="#AppleWatch"/>
    <s v="#Health"/>
    <x v="108"/>
    <x v="103"/>
    <x v="106"/>
    <n v="2426"/>
    <n v="24963"/>
    <n v="212307"/>
    <x v="0"/>
    <n v="0.1230670679723231"/>
    <n v="1.1426848855666558E-2"/>
    <n v="13.449391682798966"/>
  </r>
  <r>
    <s v="A110"/>
    <x v="0"/>
    <x v="100"/>
    <x v="2"/>
    <s v="#AppleWatch"/>
    <s v="#Health"/>
    <x v="109"/>
    <x v="104"/>
    <x v="107"/>
    <n v="2806"/>
    <n v="38579"/>
    <n v="206129"/>
    <x v="4"/>
    <n v="3.4468706489625425E-2"/>
    <n v="1.3612834681194785E-2"/>
    <n v="4.8081541170820215"/>
  </r>
  <r>
    <s v="A111"/>
    <x v="1"/>
    <x v="101"/>
    <x v="1"/>
    <s v="#ShotOniPhone"/>
    <m/>
    <x v="110"/>
    <x v="105"/>
    <x v="108"/>
    <n v="869"/>
    <n v="40281"/>
    <n v="172311"/>
    <x v="2"/>
    <n v="6.6786217943137702E-2"/>
    <n v="5.043206759870235E-3"/>
    <n v="7.1829424703007936"/>
  </r>
  <r>
    <s v="A112"/>
    <x v="0"/>
    <x v="102"/>
    <x v="3"/>
    <s v="#MacBookAirM3"/>
    <s v="#AppleInnovation"/>
    <x v="111"/>
    <x v="106"/>
    <x v="6"/>
    <n v="2306"/>
    <n v="16865"/>
    <n v="236733"/>
    <x v="0"/>
    <n v="7.6089940988370866E-2"/>
    <n v="9.7409317670117818E-3"/>
    <n v="8.583087275538265"/>
  </r>
  <r>
    <s v="A113"/>
    <x v="1"/>
    <x v="103"/>
    <x v="2"/>
    <s v="#iPhonePhotography"/>
    <s v="#ShotOniPhone"/>
    <x v="112"/>
    <x v="107"/>
    <x v="109"/>
    <n v="1753"/>
    <n v="43582"/>
    <n v="166945"/>
    <x v="1"/>
    <n v="5.4964209769684629E-2"/>
    <n v="1.0500464224744677E-2"/>
    <n v="6.5464673994429301"/>
  </r>
  <r>
    <s v="A114"/>
    <x v="3"/>
    <x v="104"/>
    <x v="0"/>
    <s v="#AppleDesign"/>
    <s v="#Innovation"/>
    <x v="113"/>
    <x v="108"/>
    <x v="110"/>
    <n v="1037"/>
    <n v="39569"/>
    <n v="85272"/>
    <x v="3"/>
    <n v="9.6549863964724647E-2"/>
    <n v="1.2161084529505583E-2"/>
    <n v="10.871094849423022"/>
  </r>
  <r>
    <s v="A115"/>
    <x v="0"/>
    <x v="105"/>
    <x v="1"/>
    <s v="#AppleWatchUltra2"/>
    <s v="#HealthTech"/>
    <x v="114"/>
    <x v="109"/>
    <x v="111"/>
    <n v="815"/>
    <n v="41991"/>
    <n v="129393"/>
    <x v="1"/>
    <n v="7.0768897853825175E-2"/>
    <n v="6.2986405756107365E-3"/>
    <n v="7.7067538429435904"/>
  </r>
  <r>
    <s v="A116"/>
    <x v="1"/>
    <x v="106"/>
    <x v="0"/>
    <s v="#AppleWatch"/>
    <s v="#Health"/>
    <x v="115"/>
    <x v="110"/>
    <x v="112"/>
    <n v="2300"/>
    <n v="25081"/>
    <n v="101212"/>
    <x v="4"/>
    <n v="7.6641109749832043E-2"/>
    <n v="2.27245781132672E-2"/>
    <n v="9.9365687863099232"/>
  </r>
  <r>
    <s v="A117"/>
    <x v="2"/>
    <x v="107"/>
    <x v="0"/>
    <s v="#AppleEvent"/>
    <s v="#iPhone16"/>
    <x v="116"/>
    <x v="111"/>
    <x v="113"/>
    <n v="2744"/>
    <n v="20190"/>
    <n v="186470"/>
    <x v="2"/>
    <n v="8.1455462004611998E-2"/>
    <n v="1.4715503834396954E-2"/>
    <n v="9.6170965839008957"/>
  </r>
  <r>
    <s v="A118"/>
    <x v="3"/>
    <x v="107"/>
    <x v="2"/>
    <s v="#ShotOniPhone"/>
    <m/>
    <x v="117"/>
    <x v="112"/>
    <x v="114"/>
    <n v="338"/>
    <n v="67754"/>
    <n v="160030"/>
    <x v="2"/>
    <n v="9.8006623758045364E-2"/>
    <n v="2.1121039805036554E-3"/>
    <n v="10.011872773854902"/>
  </r>
  <r>
    <s v="A119"/>
    <x v="1"/>
    <x v="108"/>
    <x v="3"/>
    <s v="#Sustainability"/>
    <s v="#AppleEarth"/>
    <x v="118"/>
    <x v="51"/>
    <x v="115"/>
    <n v="1186"/>
    <n v="8924"/>
    <n v="96503"/>
    <x v="4"/>
    <n v="0.22627275835984373"/>
    <n v="1.2289773374920987E-2"/>
    <n v="23.856253173476471"/>
  </r>
  <r>
    <s v="A120"/>
    <x v="2"/>
    <x v="54"/>
    <x v="2"/>
    <s v="#AppleEvent"/>
    <s v="#iPadPro"/>
    <x v="119"/>
    <x v="113"/>
    <x v="116"/>
    <n v="2504"/>
    <n v="8081"/>
    <n v="177710"/>
    <x v="0"/>
    <n v="5.5281075910190762E-2"/>
    <n v="1.409037195430758E-2"/>
    <n v="6.9371447864498332"/>
  </r>
  <r>
    <s v="A121"/>
    <x v="1"/>
    <x v="100"/>
    <x v="2"/>
    <s v="#AppleWatchUltra2"/>
    <s v="#HealthTech"/>
    <x v="120"/>
    <x v="114"/>
    <x v="117"/>
    <n v="1398"/>
    <n v="4185"/>
    <n v="46570"/>
    <x v="0"/>
    <n v="0.454928065278076"/>
    <n v="3.0019325746188534E-2"/>
    <n v="48.49473910242645"/>
  </r>
  <r>
    <s v="A122"/>
    <x v="2"/>
    <x v="109"/>
    <x v="2"/>
    <s v="#iPhonePhotography"/>
    <s v="#ShotOniPhone"/>
    <x v="121"/>
    <x v="115"/>
    <x v="11"/>
    <n v="2123"/>
    <n v="53916"/>
    <n v="108785"/>
    <x v="2"/>
    <n v="0.10041825619340902"/>
    <n v="1.9515558211150433E-2"/>
    <n v="11.993381440455945"/>
  </r>
  <r>
    <s v="A123"/>
    <x v="3"/>
    <x v="95"/>
    <x v="2"/>
    <s v="#AppleEvent"/>
    <s v="#iPhone16"/>
    <x v="122"/>
    <x v="116"/>
    <x v="25"/>
    <n v="2010"/>
    <n v="21481"/>
    <n v="49110"/>
    <x v="2"/>
    <n v="0.39401343921808185"/>
    <n v="4.092852779474649E-2"/>
    <n v="43.494196701282831"/>
  </r>
  <r>
    <s v="A124"/>
    <x v="0"/>
    <x v="110"/>
    <x v="1"/>
    <s v="#iPhonePhotography"/>
    <s v="#ShotOniPhone"/>
    <x v="123"/>
    <x v="117"/>
    <x v="118"/>
    <n v="1273"/>
    <n v="4706"/>
    <n v="119141"/>
    <x v="3"/>
    <n v="7.7546772311798629E-2"/>
    <n v="1.0684818828111229E-2"/>
    <n v="8.823159113990986"/>
  </r>
  <r>
    <s v="A125"/>
    <x v="2"/>
    <x v="111"/>
    <x v="3"/>
    <s v="#AppleWatchUltra2"/>
    <s v="#HealthTech"/>
    <x v="124"/>
    <x v="118"/>
    <x v="119"/>
    <n v="1862"/>
    <n v="34088"/>
    <n v="52115"/>
    <x v="0"/>
    <n v="0.17382711311522595"/>
    <n v="3.572867696440564E-2"/>
    <n v="20.955579007963159"/>
  </r>
  <r>
    <s v="A126"/>
    <x v="1"/>
    <x v="61"/>
    <x v="0"/>
    <s v="#AppleWatch"/>
    <s v="#Health"/>
    <x v="125"/>
    <x v="119"/>
    <x v="120"/>
    <n v="1288"/>
    <n v="45183"/>
    <n v="79062"/>
    <x v="4"/>
    <n v="0.19367079001290127"/>
    <n v="1.6291012117072678E-2"/>
    <n v="20.996180212997395"/>
  </r>
  <r>
    <s v="A127"/>
    <x v="3"/>
    <x v="78"/>
    <x v="0"/>
    <s v="#AppleEvent"/>
    <s v="#iPhone16"/>
    <x v="126"/>
    <x v="120"/>
    <x v="121"/>
    <n v="320"/>
    <n v="65049"/>
    <n v="62911"/>
    <x v="0"/>
    <n v="0.41655672298962027"/>
    <n v="5.0865508416652093E-3"/>
    <n v="42.164327383128544"/>
  </r>
  <r>
    <s v="A128"/>
    <x v="2"/>
    <x v="112"/>
    <x v="3"/>
    <s v="#iPhonePhotography"/>
    <s v="#ShotOniPhone"/>
    <x v="127"/>
    <x v="121"/>
    <x v="122"/>
    <n v="2650"/>
    <n v="27217"/>
    <n v="144061"/>
    <x v="3"/>
    <n v="0.11313957281984714"/>
    <n v="1.8394985457549234E-2"/>
    <n v="13.153455827739638"/>
  </r>
  <r>
    <s v="A129"/>
    <x v="1"/>
    <x v="11"/>
    <x v="0"/>
    <s v="#AppleEvent"/>
    <s v="#iPadPro"/>
    <x v="128"/>
    <x v="7"/>
    <x v="123"/>
    <n v="1168"/>
    <n v="16483"/>
    <n v="72556"/>
    <x v="2"/>
    <n v="0.19362974805667346"/>
    <n v="1.609791057941452E-2"/>
    <n v="20.972765863608796"/>
  </r>
  <r>
    <s v="A130"/>
    <x v="1"/>
    <x v="113"/>
    <x v="3"/>
    <s v="#MacBookAirM3"/>
    <s v="#AppleInnovation"/>
    <x v="129"/>
    <x v="122"/>
    <x v="124"/>
    <n v="383"/>
    <n v="37571"/>
    <n v="249203"/>
    <x v="2"/>
    <n v="4.6311641513143903E-2"/>
    <n v="1.5368996360396946E-3"/>
    <n v="4.7848541149183594"/>
  </r>
  <r>
    <s v="A131"/>
    <x v="1"/>
    <x v="54"/>
    <x v="0"/>
    <s v="#iPhone16Launch"/>
    <s v="#AppleEvent"/>
    <x v="130"/>
    <x v="123"/>
    <x v="125"/>
    <n v="1982"/>
    <n v="43225"/>
    <n v="168335"/>
    <x v="3"/>
    <n v="0.12516113701844536"/>
    <n v="1.1774140850090592E-2"/>
    <n v="13.693527786853595"/>
  </r>
  <r>
    <s v="A132"/>
    <x v="2"/>
    <x v="27"/>
    <x v="2"/>
    <s v="#MacBookAirM3"/>
    <s v="#AppleInnovation"/>
    <x v="131"/>
    <x v="124"/>
    <x v="126"/>
    <n v="2276"/>
    <n v="20967"/>
    <n v="41969"/>
    <x v="4"/>
    <n v="0.1529462222116324"/>
    <n v="5.4230503466844576E-2"/>
    <n v="20.717672567847696"/>
  </r>
  <r>
    <s v="A133"/>
    <x v="2"/>
    <x v="114"/>
    <x v="0"/>
    <s v="#AppleWatchUltra2"/>
    <s v="#HealthTech"/>
    <x v="132"/>
    <x v="125"/>
    <x v="127"/>
    <n v="1710"/>
    <n v="36467"/>
    <n v="83753"/>
    <x v="2"/>
    <n v="5.7203921053574198E-2"/>
    <n v="2.0417179086122287E-2"/>
    <n v="7.7621100139696493"/>
  </r>
  <r>
    <s v="A134"/>
    <x v="2"/>
    <x v="115"/>
    <x v="3"/>
    <s v="#ShotOniPhone"/>
    <m/>
    <x v="133"/>
    <x v="31"/>
    <x v="76"/>
    <n v="1830"/>
    <n v="55436"/>
    <n v="175542"/>
    <x v="1"/>
    <n v="4.3345752013763089E-2"/>
    <n v="1.0424855590115186E-2"/>
    <n v="5.3770607603878275"/>
  </r>
  <r>
    <s v="A135"/>
    <x v="0"/>
    <x v="116"/>
    <x v="3"/>
    <s v="#iPhone16Launch"/>
    <s v="#AppleEvent"/>
    <x v="134"/>
    <x v="126"/>
    <x v="128"/>
    <n v="869"/>
    <n v="75437"/>
    <n v="161863"/>
    <x v="2"/>
    <n v="0.12648968572187591"/>
    <n v="5.368737759710372E-3"/>
    <n v="13.185842348158626"/>
  </r>
  <r>
    <s v="A136"/>
    <x v="2"/>
    <x v="117"/>
    <x v="3"/>
    <s v="#AppleDesign"/>
    <s v="#Innovation"/>
    <x v="135"/>
    <x v="127"/>
    <x v="101"/>
    <n v="1233"/>
    <n v="21337"/>
    <n v="50225"/>
    <x v="1"/>
    <n v="0.27422598307615731"/>
    <n v="2.4549527127924339E-2"/>
    <n v="29.877551020408166"/>
  </r>
  <r>
    <s v="A137"/>
    <x v="2"/>
    <x v="31"/>
    <x v="3"/>
    <s v="#AppleEvent"/>
    <s v="#iPadPro"/>
    <x v="136"/>
    <x v="128"/>
    <x v="129"/>
    <n v="2280"/>
    <n v="14639"/>
    <n v="163008"/>
    <x v="3"/>
    <n v="8.7198174322732622E-2"/>
    <n v="1.3987043580683157E-2"/>
    <n v="10.118521790341578"/>
  </r>
  <r>
    <s v="A138"/>
    <x v="2"/>
    <x v="63"/>
    <x v="3"/>
    <s v="#AppleDesign"/>
    <s v="#Innovation"/>
    <x v="137"/>
    <x v="129"/>
    <x v="130"/>
    <n v="2155"/>
    <n v="3704"/>
    <n v="194268"/>
    <x v="3"/>
    <n v="0.1278440093067309"/>
    <n v="1.1092923178289785E-2"/>
    <n v="13.893693248502068"/>
  </r>
  <r>
    <s v="A139"/>
    <x v="0"/>
    <x v="118"/>
    <x v="1"/>
    <s v="#AppleEvent"/>
    <s v="#iPhone16"/>
    <x v="138"/>
    <x v="95"/>
    <x v="131"/>
    <n v="1092"/>
    <n v="32147"/>
    <n v="145823"/>
    <x v="2"/>
    <n v="0.17674852389540743"/>
    <n v="7.4885306158836394E-3"/>
    <n v="18.423705451129109"/>
  </r>
  <r>
    <s v="A140"/>
    <x v="2"/>
    <x v="119"/>
    <x v="1"/>
    <s v="#AppleMusic"/>
    <s v="#AppleLifestyle"/>
    <x v="139"/>
    <x v="130"/>
    <x v="132"/>
    <n v="1091"/>
    <n v="18101"/>
    <n v="53669"/>
    <x v="0"/>
    <n v="0.29972609886526674"/>
    <n v="2.0328308707074846E-2"/>
    <n v="32.005440757234162"/>
  </r>
  <r>
    <s v="A141"/>
    <x v="1"/>
    <x v="120"/>
    <x v="0"/>
    <s v="#iPhone16Launch"/>
    <s v="#AppleEvent"/>
    <x v="140"/>
    <x v="131"/>
    <x v="133"/>
    <n v="2109"/>
    <n v="18559"/>
    <n v="208452"/>
    <x v="1"/>
    <n v="3.8114290100358834E-2"/>
    <n v="1.0117437107823384E-2"/>
    <n v="4.8231727208182216"/>
  </r>
  <r>
    <s v="A142"/>
    <x v="2"/>
    <x v="121"/>
    <x v="3"/>
    <s v="#AppleDesign"/>
    <s v="#Innovation"/>
    <x v="141"/>
    <x v="132"/>
    <x v="134"/>
    <n v="1594"/>
    <n v="38627"/>
    <n v="164398"/>
    <x v="4"/>
    <n v="4.2810739790021778E-2"/>
    <n v="9.6959817029404257E-3"/>
    <n v="5.2506721492962205"/>
  </r>
  <r>
    <s v="A143"/>
    <x v="1"/>
    <x v="109"/>
    <x v="0"/>
    <s v="#AppleDesign"/>
    <s v="#Innovation"/>
    <x v="142"/>
    <x v="133"/>
    <x v="135"/>
    <n v="2839"/>
    <n v="349"/>
    <n v="150677"/>
    <x v="2"/>
    <n v="0.11411164278556117"/>
    <n v="1.8841628118425505E-2"/>
    <n v="13.295327090398668"/>
  </r>
  <r>
    <s v="A144"/>
    <x v="1"/>
    <x v="70"/>
    <x v="3"/>
    <s v="#iPhonePhotography"/>
    <s v="#ShotOniPhone"/>
    <x v="143"/>
    <x v="134"/>
    <x v="136"/>
    <n v="2555"/>
    <n v="92810"/>
    <n v="88320"/>
    <x v="4"/>
    <n v="0.1232223731884058"/>
    <n v="2.8928894927536232E-2"/>
    <n v="15.215126811594203"/>
  </r>
  <r>
    <s v="A145"/>
    <x v="1"/>
    <x v="3"/>
    <x v="3"/>
    <s v="#MacBookAirM3"/>
    <s v="#AppleInnovation"/>
    <x v="144"/>
    <x v="135"/>
    <x v="137"/>
    <n v="1907"/>
    <n v="36874"/>
    <n v="218486"/>
    <x v="2"/>
    <n v="4.5549829279679245E-2"/>
    <n v="8.7282480341989883E-3"/>
    <n v="5.4278077313878237"/>
  </r>
  <r>
    <s v="A146"/>
    <x v="0"/>
    <x v="122"/>
    <x v="1"/>
    <s v="#iPhonePhotography"/>
    <s v="#ShotOniPhone"/>
    <x v="145"/>
    <x v="136"/>
    <x v="138"/>
    <n v="1383"/>
    <n v="17875"/>
    <n v="186649"/>
    <x v="0"/>
    <n v="0.11067297440650634"/>
    <n v="7.409629839966997E-3"/>
    <n v="11.808260424647333"/>
  </r>
  <r>
    <s v="A147"/>
    <x v="0"/>
    <x v="54"/>
    <x v="1"/>
    <s v="#iPhone16Launch"/>
    <s v="#AppleEvent"/>
    <x v="146"/>
    <x v="137"/>
    <x v="139"/>
    <n v="2777"/>
    <n v="25529"/>
    <n v="165354"/>
    <x v="0"/>
    <n v="0.13333212380710477"/>
    <n v="1.6794271683781462E-2"/>
    <n v="15.012639549088625"/>
  </r>
  <r>
    <s v="A148"/>
    <x v="0"/>
    <x v="55"/>
    <x v="2"/>
    <s v="#iPhone16Launch"/>
    <s v="#AppleEvent"/>
    <x v="147"/>
    <x v="45"/>
    <x v="140"/>
    <n v="1284"/>
    <n v="24620"/>
    <n v="128009"/>
    <x v="0"/>
    <n v="0.17717504237983267"/>
    <n v="1.003054472732386E-2"/>
    <n v="18.720558710715654"/>
  </r>
  <r>
    <s v="A149"/>
    <x v="2"/>
    <x v="123"/>
    <x v="1"/>
    <s v="#AppleWatchUltra2"/>
    <s v="#HealthTech"/>
    <x v="148"/>
    <x v="113"/>
    <x v="141"/>
    <n v="1980"/>
    <n v="33174"/>
    <n v="226481"/>
    <x v="0"/>
    <n v="6.329007731332871E-2"/>
    <n v="8.7424552169939208E-3"/>
    <n v="7.2032532530322628"/>
  </r>
  <r>
    <s v="A150"/>
    <x v="1"/>
    <x v="124"/>
    <x v="2"/>
    <s v="#iPhonePhotography"/>
    <s v="#ShotOniPhone"/>
    <x v="149"/>
    <x v="138"/>
    <x v="142"/>
    <n v="819"/>
    <n v="85788"/>
    <n v="68625"/>
    <x v="3"/>
    <n v="0.25244444444444447"/>
    <n v="1.1934426229508197E-2"/>
    <n v="26.437887067395266"/>
  </r>
  <r>
    <s v="A151"/>
    <x v="0"/>
    <x v="62"/>
    <x v="2"/>
    <s v="#MacBookProM3"/>
    <m/>
    <x v="150"/>
    <x v="139"/>
    <x v="143"/>
    <n v="890"/>
    <n v="35105"/>
    <n v="64089"/>
    <x v="3"/>
    <n v="0.30376507669022768"/>
    <n v="1.3886938476181559E-2"/>
    <n v="31.765201516640921"/>
  </r>
  <r>
    <s v="A152"/>
    <x v="0"/>
    <x v="125"/>
    <x v="2"/>
    <s v="#Sustainability"/>
    <s v="#AppleEarth"/>
    <x v="151"/>
    <x v="140"/>
    <x v="39"/>
    <n v="1350"/>
    <n v="28370"/>
    <n v="76487"/>
    <x v="1"/>
    <n v="0.18484186855282597"/>
    <n v="1.7650058179821407E-2"/>
    <n v="20.249192673264737"/>
  </r>
  <r>
    <s v="A153"/>
    <x v="2"/>
    <x v="126"/>
    <x v="2"/>
    <s v="#MacBookAirM3"/>
    <s v="#AppleInnovation"/>
    <x v="152"/>
    <x v="141"/>
    <x v="75"/>
    <n v="2009"/>
    <n v="6221"/>
    <n v="236910"/>
    <x v="4"/>
    <n v="0.10874593727575872"/>
    <n v="8.4800135072390353E-3"/>
    <n v="11.722595078299776"/>
  </r>
  <r>
    <s v="A154"/>
    <x v="0"/>
    <x v="127"/>
    <x v="2"/>
    <s v="#iPhone16Launch"/>
    <s v="#AppleEvent"/>
    <x v="153"/>
    <x v="142"/>
    <x v="144"/>
    <n v="2335"/>
    <n v="6757"/>
    <n v="150448"/>
    <x v="2"/>
    <n v="6.3663192598106988E-2"/>
    <n v="1.5520312666170372E-2"/>
    <n v="7.9183505264277363"/>
  </r>
  <r>
    <s v="A155"/>
    <x v="2"/>
    <x v="128"/>
    <x v="0"/>
    <s v="#AppleWatchUltra2"/>
    <s v="#HealthTech"/>
    <x v="154"/>
    <x v="143"/>
    <x v="145"/>
    <n v="2546"/>
    <n v="22617"/>
    <n v="90138"/>
    <x v="2"/>
    <n v="0.14587632297144379"/>
    <n v="2.824557900108722E-2"/>
    <n v="17.412190197253103"/>
  </r>
  <r>
    <s v="A156"/>
    <x v="3"/>
    <x v="129"/>
    <x v="1"/>
    <s v="#AppleMusic"/>
    <s v="#AppleLifestyle"/>
    <x v="155"/>
    <x v="144"/>
    <x v="146"/>
    <n v="2734"/>
    <n v="43338"/>
    <n v="213895"/>
    <x v="3"/>
    <n v="6.2151990462610156E-2"/>
    <n v="1.278197246312443E-2"/>
    <n v="7.4933962925734594"/>
  </r>
  <r>
    <s v="A157"/>
    <x v="0"/>
    <x v="130"/>
    <x v="2"/>
    <s v="#iPhonePhotography"/>
    <s v="#ShotOniPhone"/>
    <x v="156"/>
    <x v="145"/>
    <x v="147"/>
    <n v="648"/>
    <n v="47544"/>
    <n v="208280"/>
    <x v="2"/>
    <n v="0.12316112924908777"/>
    <n v="3.1111964662953718E-3"/>
    <n v="12.627232571538313"/>
  </r>
  <r>
    <s v="A158"/>
    <x v="3"/>
    <x v="131"/>
    <x v="3"/>
    <s v="#MacBookAirM3"/>
    <s v="#AppleInnovation"/>
    <x v="157"/>
    <x v="146"/>
    <x v="73"/>
    <n v="1259"/>
    <n v="21925"/>
    <n v="94061"/>
    <x v="3"/>
    <n v="0.1678059982351878"/>
    <n v="1.3384931055378956E-2"/>
    <n v="18.119092929056677"/>
  </r>
  <r>
    <s v="A159"/>
    <x v="2"/>
    <x v="132"/>
    <x v="1"/>
    <s v="#AppleMusic"/>
    <s v="#AppleLifestyle"/>
    <x v="158"/>
    <x v="147"/>
    <x v="148"/>
    <n v="2263"/>
    <n v="12085"/>
    <n v="201731"/>
    <x v="1"/>
    <n v="0.11301683925623726"/>
    <n v="1.121790899762555E-2"/>
    <n v="12.423474825386281"/>
  </r>
  <r>
    <s v="A160"/>
    <x v="1"/>
    <x v="133"/>
    <x v="1"/>
    <s v="#iPhonePhotography"/>
    <s v="#ShotOniPhone"/>
    <x v="159"/>
    <x v="148"/>
    <x v="91"/>
    <n v="992"/>
    <n v="18654"/>
    <n v="141376"/>
    <x v="4"/>
    <n v="0.17002885921231325"/>
    <n v="7.0167496604798549E-3"/>
    <n v="17.70456088727931"/>
  </r>
  <r>
    <s v="A161"/>
    <x v="0"/>
    <x v="134"/>
    <x v="2"/>
    <s v="#AppleDesign"/>
    <s v="#Innovation"/>
    <x v="160"/>
    <x v="149"/>
    <x v="149"/>
    <n v="1859"/>
    <n v="50565"/>
    <n v="202962"/>
    <x v="1"/>
    <n v="0.11355820301337197"/>
    <n v="9.1593500261132627E-3"/>
    <n v="12.271755303948522"/>
  </r>
  <r>
    <s v="A162"/>
    <x v="2"/>
    <x v="135"/>
    <x v="0"/>
    <s v="#AppleMusic"/>
    <s v="#AppleLifestyle"/>
    <x v="161"/>
    <x v="150"/>
    <x v="150"/>
    <n v="677"/>
    <n v="47305"/>
    <n v="119134"/>
    <x v="0"/>
    <n v="6.8846844729464299E-2"/>
    <n v="5.6826766498228884E-3"/>
    <n v="7.4529521379287189"/>
  </r>
  <r>
    <s v="A163"/>
    <x v="1"/>
    <x v="136"/>
    <x v="2"/>
    <s v="#AppleWatchUltra2"/>
    <s v="#HealthTech"/>
    <x v="162"/>
    <x v="151"/>
    <x v="151"/>
    <n v="826"/>
    <n v="21836"/>
    <n v="87055"/>
    <x v="0"/>
    <n v="0.19849520418126471"/>
    <n v="9.4882545517201763E-3"/>
    <n v="20.798345873298487"/>
  </r>
  <r>
    <s v="A164"/>
    <x v="1"/>
    <x v="21"/>
    <x v="0"/>
    <s v="#MacBookAirM3"/>
    <s v="#AppleInnovation"/>
    <x v="163"/>
    <x v="152"/>
    <x v="152"/>
    <n v="2553"/>
    <n v="39025"/>
    <n v="59508"/>
    <x v="0"/>
    <n v="0.30411037171472743"/>
    <n v="4.2901794716676753E-2"/>
    <n v="34.70121664314042"/>
  </r>
  <r>
    <s v="A165"/>
    <x v="3"/>
    <x v="137"/>
    <x v="3"/>
    <s v="#AppleWatch"/>
    <s v="#Health"/>
    <x v="164"/>
    <x v="153"/>
    <x v="153"/>
    <n v="2802"/>
    <n v="22171"/>
    <n v="213359"/>
    <x v="1"/>
    <n v="9.9723939463533293E-2"/>
    <n v="1.3132794960606303E-2"/>
    <n v="11.285673442413961"/>
  </r>
  <r>
    <s v="A166"/>
    <x v="2"/>
    <x v="138"/>
    <x v="1"/>
    <s v="#AppleEvent"/>
    <s v="#iPhone16"/>
    <x v="165"/>
    <x v="154"/>
    <x v="116"/>
    <n v="1559"/>
    <n v="11596"/>
    <n v="249988"/>
    <x v="2"/>
    <n v="0.10099684784869674"/>
    <n v="6.2362993423684338E-3"/>
    <n v="10.723314719106519"/>
  </r>
  <r>
    <s v="A167"/>
    <x v="1"/>
    <x v="116"/>
    <x v="3"/>
    <s v="#AppleEvent"/>
    <s v="#iPhone16"/>
    <x v="166"/>
    <x v="155"/>
    <x v="154"/>
    <n v="2175"/>
    <n v="56378"/>
    <n v="198056"/>
    <x v="4"/>
    <n v="1.6616512501514722E-2"/>
    <n v="1.0981742537464152E-2"/>
    <n v="2.7598255038978876"/>
  </r>
  <r>
    <s v="A168"/>
    <x v="0"/>
    <x v="139"/>
    <x v="0"/>
    <s v="#MacBookAirM3"/>
    <s v="#AppleInnovation"/>
    <x v="167"/>
    <x v="156"/>
    <x v="155"/>
    <n v="2063"/>
    <n v="42743"/>
    <n v="150169"/>
    <x v="0"/>
    <n v="0.13410224480418728"/>
    <n v="1.3737855349639406E-2"/>
    <n v="14.784010015382668"/>
  </r>
  <r>
    <s v="A169"/>
    <x v="0"/>
    <x v="140"/>
    <x v="0"/>
    <s v="#AppleMusic"/>
    <s v="#AppleLifestyle"/>
    <x v="168"/>
    <x v="157"/>
    <x v="78"/>
    <n v="820"/>
    <n v="33534"/>
    <n v="48125"/>
    <x v="0"/>
    <n v="6.2067532467532466E-2"/>
    <n v="1.7038961038961038E-2"/>
    <n v="7.9106493506493498"/>
  </r>
  <r>
    <s v="A170"/>
    <x v="3"/>
    <x v="141"/>
    <x v="3"/>
    <s v="#iPhonePhotography"/>
    <s v="#ShotOniPhone"/>
    <x v="169"/>
    <x v="158"/>
    <x v="62"/>
    <n v="2001"/>
    <n v="67839"/>
    <n v="76059"/>
    <x v="0"/>
    <n v="0.22216963147030594"/>
    <n v="2.6308523646116831E-2"/>
    <n v="24.847815511642278"/>
  </r>
  <r>
    <s v="A171"/>
    <x v="1"/>
    <x v="142"/>
    <x v="0"/>
    <s v="#AppleWatchUltra2"/>
    <s v="#HealthTech"/>
    <x v="170"/>
    <x v="159"/>
    <x v="156"/>
    <n v="1316"/>
    <n v="18164"/>
    <n v="240641"/>
    <x v="4"/>
    <n v="4.9605013277039242E-2"/>
    <n v="5.4687272742383886E-3"/>
    <n v="5.5073740551277632"/>
  </r>
  <r>
    <s v="A172"/>
    <x v="2"/>
    <x v="143"/>
    <x v="3"/>
    <s v="#Sustainability"/>
    <s v="#AppleEarth"/>
    <x v="171"/>
    <x v="160"/>
    <x v="53"/>
    <n v="1313"/>
    <n v="51605"/>
    <n v="143409"/>
    <x v="0"/>
    <n v="8.0636501195880311E-2"/>
    <n v="9.1556317943783157E-3"/>
    <n v="8.9792132990258615"/>
  </r>
  <r>
    <s v="A173"/>
    <x v="0"/>
    <x v="144"/>
    <x v="1"/>
    <s v="#AppleEvent"/>
    <s v="#iPhone16"/>
    <x v="172"/>
    <x v="161"/>
    <x v="157"/>
    <n v="2848"/>
    <n v="15379"/>
    <n v="188159"/>
    <x v="4"/>
    <n v="3.0867510988047343E-2"/>
    <n v="1.5136134864662334E-2"/>
    <n v="4.6003645852709676"/>
  </r>
  <r>
    <s v="A174"/>
    <x v="1"/>
    <x v="56"/>
    <x v="3"/>
    <s v="#AppleWatchUltra2"/>
    <s v="#HealthTech"/>
    <x v="173"/>
    <x v="162"/>
    <x v="158"/>
    <n v="416"/>
    <n v="30229"/>
    <n v="45704"/>
    <x v="0"/>
    <n v="0.33614125678277612"/>
    <n v="9.1020479607911778E-3"/>
    <n v="34.524330474356731"/>
  </r>
  <r>
    <s v="A175"/>
    <x v="1"/>
    <x v="145"/>
    <x v="1"/>
    <s v="#AppleEvent"/>
    <s v="#iPhone16"/>
    <x v="174"/>
    <x v="163"/>
    <x v="159"/>
    <n v="2733"/>
    <n v="995"/>
    <n v="231648"/>
    <x v="1"/>
    <n v="8.0820900676889074E-2"/>
    <n v="1.179807293825114E-2"/>
    <n v="9.2618973615140217"/>
  </r>
  <r>
    <s v="A176"/>
    <x v="3"/>
    <x v="146"/>
    <x v="3"/>
    <s v="#AppleDesign"/>
    <s v="#Innovation"/>
    <x v="175"/>
    <x v="164"/>
    <x v="160"/>
    <n v="1667"/>
    <n v="75813"/>
    <n v="244456"/>
    <x v="1"/>
    <n v="8.0922538207284747E-2"/>
    <n v="6.8192230912720491E-3"/>
    <n v="8.7741761298556789"/>
  </r>
  <r>
    <s v="A177"/>
    <x v="0"/>
    <x v="147"/>
    <x v="0"/>
    <s v="#iPhonePhotography"/>
    <s v="#ShotOniPhone"/>
    <x v="176"/>
    <x v="165"/>
    <x v="161"/>
    <n v="883"/>
    <n v="42921"/>
    <n v="151279"/>
    <x v="4"/>
    <n v="7.1840771025720687E-2"/>
    <n v="5.8368973882693565E-3"/>
    <n v="7.7677668413990038"/>
  </r>
  <r>
    <s v="A178"/>
    <x v="0"/>
    <x v="148"/>
    <x v="3"/>
    <s v="#AppleDesign"/>
    <s v="#Innovation"/>
    <x v="177"/>
    <x v="166"/>
    <x v="162"/>
    <n v="694"/>
    <n v="839"/>
    <n v="243532"/>
    <x v="1"/>
    <n v="3.479214230573395E-2"/>
    <n v="2.8497281671402527E-3"/>
    <n v="3.7641870472874208"/>
  </r>
  <r>
    <s v="A179"/>
    <x v="2"/>
    <x v="119"/>
    <x v="0"/>
    <s v="#AppleEvent"/>
    <s v="#iPhone16"/>
    <x v="178"/>
    <x v="167"/>
    <x v="163"/>
    <n v="1387"/>
    <n v="63550"/>
    <n v="198280"/>
    <x v="4"/>
    <n v="8.8536413153116805E-2"/>
    <n v="6.9951583619124466E-3"/>
    <n v="9.5531571515029245"/>
  </r>
  <r>
    <s v="A180"/>
    <x v="0"/>
    <x v="149"/>
    <x v="3"/>
    <s v="#AppleWatch"/>
    <s v="#Health"/>
    <x v="179"/>
    <x v="168"/>
    <x v="164"/>
    <n v="371"/>
    <n v="47579"/>
    <n v="158516"/>
    <x v="1"/>
    <n v="0.10670847106916652"/>
    <n v="2.3404577455903505E-3"/>
    <n v="10.904892881475686"/>
  </r>
  <r>
    <s v="A181"/>
    <x v="2"/>
    <x v="150"/>
    <x v="3"/>
    <s v="#AppleWatch"/>
    <s v="#Health"/>
    <x v="180"/>
    <x v="144"/>
    <x v="165"/>
    <n v="573"/>
    <n v="7389"/>
    <n v="237096"/>
    <x v="1"/>
    <n v="3.4479704423524646E-2"/>
    <n v="2.416742585281911E-3"/>
    <n v="3.6896447008806557"/>
  </r>
  <r>
    <s v="A182"/>
    <x v="0"/>
    <x v="31"/>
    <x v="2"/>
    <s v="#AppleDesign"/>
    <s v="#Innovation"/>
    <x v="181"/>
    <x v="169"/>
    <x v="166"/>
    <n v="2313"/>
    <n v="50924"/>
    <n v="210954"/>
    <x v="4"/>
    <n v="4.0326327066564277E-2"/>
    <n v="1.0964475667681106E-2"/>
    <n v="5.1290802734245382"/>
  </r>
  <r>
    <s v="A183"/>
    <x v="3"/>
    <x v="151"/>
    <x v="0"/>
    <s v="#AppleWatch"/>
    <s v="#Health"/>
    <x v="182"/>
    <x v="170"/>
    <x v="53"/>
    <n v="1643"/>
    <n v="4322"/>
    <n v="196995"/>
    <x v="2"/>
    <n v="0.10864742759968526"/>
    <n v="8.3403132059189315E-3"/>
    <n v="11.698774080560421"/>
  </r>
  <r>
    <s v="A184"/>
    <x v="0"/>
    <x v="152"/>
    <x v="2"/>
    <s v="#AppleEvent"/>
    <s v="#iPhone16"/>
    <x v="183"/>
    <x v="171"/>
    <x v="73"/>
    <n v="637"/>
    <n v="31404"/>
    <n v="154044"/>
    <x v="1"/>
    <n v="0.13539638025499209"/>
    <n v="4.1351821557477084E-3"/>
    <n v="13.95315624107398"/>
  </r>
  <r>
    <s v="A185"/>
    <x v="2"/>
    <x v="153"/>
    <x v="0"/>
    <s v="#MacBookAirM3"/>
    <s v="#AppleInnovation"/>
    <x v="184"/>
    <x v="172"/>
    <x v="167"/>
    <n v="1689"/>
    <n v="49329"/>
    <n v="69165"/>
    <x v="0"/>
    <n v="0.33811899081905589"/>
    <n v="2.4419865538928647E-2"/>
    <n v="36.253885635798454"/>
  </r>
  <r>
    <s v="A186"/>
    <x v="2"/>
    <x v="133"/>
    <x v="2"/>
    <s v="#AppleDesign"/>
    <s v="#Innovation"/>
    <x v="185"/>
    <x v="173"/>
    <x v="26"/>
    <n v="906"/>
    <n v="54826"/>
    <n v="107203"/>
    <x v="2"/>
    <n v="0.23586093672751696"/>
    <n v="8.45125602828279E-3"/>
    <n v="24.431219275579974"/>
  </r>
  <r>
    <s v="A187"/>
    <x v="3"/>
    <x v="154"/>
    <x v="1"/>
    <s v="#Sustainability"/>
    <s v="#AppleEarth"/>
    <x v="186"/>
    <x v="174"/>
    <x v="129"/>
    <n v="465"/>
    <n v="27184"/>
    <n v="44114"/>
    <x v="4"/>
    <n v="0.2145350682323072"/>
    <n v="1.0540871378700639E-2"/>
    <n v="22.507593961100785"/>
  </r>
  <r>
    <s v="A188"/>
    <x v="0"/>
    <x v="79"/>
    <x v="3"/>
    <s v="#Sustainability"/>
    <s v="#AppleEarth"/>
    <x v="187"/>
    <x v="175"/>
    <x v="94"/>
    <n v="1867"/>
    <n v="40816"/>
    <n v="236037"/>
    <x v="2"/>
    <n v="2.0280718700881641E-2"/>
    <n v="7.909776857018179E-3"/>
    <n v="2.8190495557899817"/>
  </r>
  <r>
    <s v="A189"/>
    <x v="0"/>
    <x v="155"/>
    <x v="0"/>
    <s v="#ShotOniPhone"/>
    <m/>
    <x v="188"/>
    <x v="176"/>
    <x v="168"/>
    <n v="2358"/>
    <n v="59610"/>
    <n v="76321"/>
    <x v="3"/>
    <n v="0.15675895231980713"/>
    <n v="3.0895821595628987E-2"/>
    <n v="18.765477391543612"/>
  </r>
  <r>
    <s v="A190"/>
    <x v="3"/>
    <x v="156"/>
    <x v="0"/>
    <s v="#AppleMusic"/>
    <s v="#AppleLifestyle"/>
    <x v="189"/>
    <x v="177"/>
    <x v="169"/>
    <n v="1624"/>
    <n v="38771"/>
    <n v="113297"/>
    <x v="3"/>
    <n v="0.21037626768581694"/>
    <n v="1.433400707873995E-2"/>
    <n v="22.471027476455689"/>
  </r>
  <r>
    <s v="A191"/>
    <x v="0"/>
    <x v="157"/>
    <x v="3"/>
    <s v="#iPhonePhotography"/>
    <s v="#ShotOniPhone"/>
    <x v="190"/>
    <x v="178"/>
    <x v="170"/>
    <n v="1028"/>
    <n v="55556"/>
    <n v="136652"/>
    <x v="1"/>
    <n v="7.9852471972601938E-2"/>
    <n v="7.5227585399408716E-3"/>
    <n v="8.7375230512542821"/>
  </r>
  <r>
    <s v="A192"/>
    <x v="0"/>
    <x v="158"/>
    <x v="0"/>
    <s v="#AppleWatch"/>
    <s v="#Health"/>
    <x v="191"/>
    <x v="179"/>
    <x v="171"/>
    <n v="2343"/>
    <n v="13588"/>
    <n v="139304"/>
    <x v="1"/>
    <n v="7.1814161833113191E-2"/>
    <n v="1.6819330385344285E-2"/>
    <n v="8.8633492218457484"/>
  </r>
  <r>
    <s v="A193"/>
    <x v="2"/>
    <x v="159"/>
    <x v="0"/>
    <s v="#AppleWatch"/>
    <s v="#Health"/>
    <x v="192"/>
    <x v="180"/>
    <x v="172"/>
    <n v="401"/>
    <n v="52687"/>
    <n v="196498"/>
    <x v="0"/>
    <n v="2.8916324848090057E-2"/>
    <n v="2.0407332390151552E-3"/>
    <n v="3.0957058087105209"/>
  </r>
  <r>
    <s v="A194"/>
    <x v="0"/>
    <x v="109"/>
    <x v="2"/>
    <s v="#AppleMusic"/>
    <s v="#AppleLifestyle"/>
    <x v="193"/>
    <x v="181"/>
    <x v="169"/>
    <n v="1715"/>
    <n v="60592"/>
    <n v="57772"/>
    <x v="2"/>
    <n v="0.12668766876687668"/>
    <n v="2.9685660873779687E-2"/>
    <n v="15.637332964065637"/>
  </r>
  <r>
    <s v="A195"/>
    <x v="0"/>
    <x v="160"/>
    <x v="0"/>
    <s v="#iPhone16Launch"/>
    <s v="#AppleEvent"/>
    <x v="194"/>
    <x v="182"/>
    <x v="173"/>
    <n v="1078"/>
    <n v="11500"/>
    <n v="143754"/>
    <x v="3"/>
    <n v="0.1127203416948398"/>
    <n v="7.4989217691333807E-3"/>
    <n v="12.021926346397318"/>
  </r>
  <r>
    <s v="A196"/>
    <x v="3"/>
    <x v="47"/>
    <x v="1"/>
    <s v="#MacBookProM3"/>
    <m/>
    <x v="195"/>
    <x v="183"/>
    <x v="174"/>
    <n v="513"/>
    <n v="18959"/>
    <n v="43712"/>
    <x v="1"/>
    <n v="0.27733803074670571"/>
    <n v="1.173590775988287E-2"/>
    <n v="28.907393850658856"/>
  </r>
  <r>
    <s v="A197"/>
    <x v="3"/>
    <x v="129"/>
    <x v="1"/>
    <s v="#AppleDesign"/>
    <s v="#Innovation"/>
    <x v="196"/>
    <x v="184"/>
    <x v="175"/>
    <n v="1411"/>
    <n v="85339"/>
    <n v="172439"/>
    <x v="2"/>
    <n v="5.3995905798572247E-2"/>
    <n v="8.1826037033385715E-3"/>
    <n v="6.2178509501910817"/>
  </r>
  <r>
    <s v="A198"/>
    <x v="1"/>
    <x v="50"/>
    <x v="3"/>
    <s v="#AppleEvent"/>
    <s v="#iPadPro"/>
    <x v="197"/>
    <x v="185"/>
    <x v="176"/>
    <n v="1876"/>
    <n v="8882"/>
    <n v="155142"/>
    <x v="1"/>
    <n v="0.10512949426976577"/>
    <n v="1.2092147838754173E-2"/>
    <n v="11.722164210851995"/>
  </r>
  <r>
    <s v="A199"/>
    <x v="2"/>
    <x v="59"/>
    <x v="0"/>
    <s v="#AppleWatch"/>
    <s v="#Health"/>
    <x v="198"/>
    <x v="186"/>
    <x v="177"/>
    <n v="2748"/>
    <n v="34685"/>
    <n v="131736"/>
    <x v="1"/>
    <n v="0.1081177506528208"/>
    <n v="2.0859901621424669E-2"/>
    <n v="12.897765227424546"/>
  </r>
  <r>
    <s v="A200"/>
    <x v="0"/>
    <x v="161"/>
    <x v="3"/>
    <s v="#iPhonePhotography"/>
    <s v="#ShotOniPhone"/>
    <x v="199"/>
    <x v="187"/>
    <x v="178"/>
    <n v="2935"/>
    <n v="69749"/>
    <n v="91924"/>
    <x v="3"/>
    <n v="5.1390278926069365E-2"/>
    <n v="3.1928549671467736E-2"/>
    <n v="8.3318828597537102"/>
  </r>
  <r>
    <s v="A201"/>
    <x v="0"/>
    <x v="162"/>
    <x v="1"/>
    <s v="#ShotOniPhone"/>
    <m/>
    <x v="200"/>
    <x v="188"/>
    <x v="179"/>
    <n v="1995"/>
    <n v="14280"/>
    <n v="43726"/>
    <x v="3"/>
    <n v="0.48803915290673738"/>
    <n v="4.5625028587110643E-2"/>
    <n v="53.366418149384799"/>
  </r>
  <r>
    <s v="A202"/>
    <x v="1"/>
    <x v="69"/>
    <x v="0"/>
    <s v="#Sustainability"/>
    <s v="#AppleEarth"/>
    <x v="201"/>
    <x v="28"/>
    <x v="180"/>
    <n v="891"/>
    <n v="29576"/>
    <n v="129152"/>
    <x v="1"/>
    <n v="0.16660214321110009"/>
    <n v="6.8988478691774033E-3"/>
    <n v="17.350099108027749"/>
  </r>
  <r>
    <s v="A203"/>
    <x v="0"/>
    <x v="163"/>
    <x v="0"/>
    <s v="#AppleWatch"/>
    <s v="#Health"/>
    <x v="202"/>
    <x v="189"/>
    <x v="181"/>
    <n v="1633"/>
    <n v="71447"/>
    <n v="67723"/>
    <x v="4"/>
    <n v="0.13818052950991538"/>
    <n v="2.41129306144146E-2"/>
    <n v="16.229346012432998"/>
  </r>
  <r>
    <s v="A204"/>
    <x v="2"/>
    <x v="73"/>
    <x v="3"/>
    <s v="#ShotOniPhone"/>
    <m/>
    <x v="203"/>
    <x v="190"/>
    <x v="182"/>
    <n v="1409"/>
    <n v="10569"/>
    <n v="166969"/>
    <x v="1"/>
    <n v="0.11647671124580011"/>
    <n v="8.4386922123268395E-3"/>
    <n v="12.491540345812695"/>
  </r>
  <r>
    <s v="A205"/>
    <x v="1"/>
    <x v="81"/>
    <x v="1"/>
    <s v="#AppleEvent"/>
    <s v="#iPhone16"/>
    <x v="204"/>
    <x v="191"/>
    <x v="183"/>
    <n v="2439"/>
    <n v="45631"/>
    <n v="140494"/>
    <x v="1"/>
    <n v="0.12615485358805359"/>
    <n v="1.736017196463906E-2"/>
    <n v="14.351502555269265"/>
  </r>
  <r>
    <s v="A206"/>
    <x v="2"/>
    <x v="6"/>
    <x v="0"/>
    <s v="#AppleEvent"/>
    <s v="#iPhone16"/>
    <x v="205"/>
    <x v="188"/>
    <x v="184"/>
    <n v="1013"/>
    <n v="13838"/>
    <n v="180180"/>
    <x v="0"/>
    <n v="4.1131091131091133E-2"/>
    <n v="5.6221556221556224E-3"/>
    <n v="4.6753246753246751"/>
  </r>
  <r>
    <s v="A207"/>
    <x v="1"/>
    <x v="164"/>
    <x v="3"/>
    <s v="#MacBookProM3"/>
    <m/>
    <x v="206"/>
    <x v="192"/>
    <x v="185"/>
    <n v="1235"/>
    <n v="33446"/>
    <n v="248786"/>
    <x v="0"/>
    <n v="4.2237103373984064E-2"/>
    <n v="4.9641056972659237E-3"/>
    <n v="4.7201209071249988"/>
  </r>
  <r>
    <s v="A208"/>
    <x v="1"/>
    <x v="6"/>
    <x v="1"/>
    <s v="#MacBookAirM3"/>
    <s v="#AppleInnovation"/>
    <x v="207"/>
    <x v="193"/>
    <x v="186"/>
    <n v="2251"/>
    <n v="43705"/>
    <n v="75643"/>
    <x v="0"/>
    <n v="9.6505955607260427E-2"/>
    <n v="2.9758206311225097E-2"/>
    <n v="12.626416191848552"/>
  </r>
  <r>
    <s v="A209"/>
    <x v="3"/>
    <x v="165"/>
    <x v="3"/>
    <s v="#AppleEvent"/>
    <s v="#iPadPro"/>
    <x v="208"/>
    <x v="194"/>
    <x v="187"/>
    <n v="541"/>
    <n v="43666"/>
    <n v="202396"/>
    <x v="4"/>
    <n v="7.3133856400324118E-2"/>
    <n v="2.672977726832546E-3"/>
    <n v="7.5806834127156666"/>
  </r>
  <r>
    <s v="A210"/>
    <x v="2"/>
    <x v="166"/>
    <x v="2"/>
    <s v="#iPhone16Launch"/>
    <s v="#AppleEvent"/>
    <x v="209"/>
    <x v="123"/>
    <x v="188"/>
    <n v="2343"/>
    <n v="2753"/>
    <n v="143896"/>
    <x v="4"/>
    <n v="6.3393006059932172E-2"/>
    <n v="1.6282592983821648E-2"/>
    <n v="7.9675599043753822"/>
  </r>
  <r>
    <s v="A211"/>
    <x v="0"/>
    <x v="83"/>
    <x v="0"/>
    <s v="#MacBookProM3"/>
    <m/>
    <x v="210"/>
    <x v="195"/>
    <x v="189"/>
    <n v="301"/>
    <n v="12564"/>
    <n v="179999"/>
    <x v="1"/>
    <n v="7.5372640959116444E-2"/>
    <n v="1.6722315123972912E-3"/>
    <n v="7.7044872471513735"/>
  </r>
  <r>
    <s v="A212"/>
    <x v="0"/>
    <x v="68"/>
    <x v="2"/>
    <s v="#AppleWatchUltra2"/>
    <s v="#HealthTech"/>
    <x v="211"/>
    <x v="196"/>
    <x v="190"/>
    <n v="2572"/>
    <n v="38552"/>
    <n v="133680"/>
    <x v="0"/>
    <n v="8.0670257330939563E-2"/>
    <n v="1.9239976062238182E-2"/>
    <n v="9.9910233393177741"/>
  </r>
  <r>
    <s v="A213"/>
    <x v="2"/>
    <x v="167"/>
    <x v="1"/>
    <s v="#iPhone16Launch"/>
    <s v="#AppleEvent"/>
    <x v="212"/>
    <x v="197"/>
    <x v="20"/>
    <n v="2068"/>
    <n v="45632"/>
    <n v="136546"/>
    <x v="4"/>
    <n v="8.5238674146441498E-2"/>
    <n v="1.5145079313930837E-2"/>
    <n v="10.038375346037233"/>
  </r>
  <r>
    <s v="A214"/>
    <x v="0"/>
    <x v="0"/>
    <x v="2"/>
    <s v="#AppleDesign"/>
    <s v="#Innovation"/>
    <x v="213"/>
    <x v="198"/>
    <x v="191"/>
    <n v="2249"/>
    <n v="3399"/>
    <n v="193515"/>
    <x v="3"/>
    <n v="0.10659122031883833"/>
    <n v="1.1621838100405653E-2"/>
    <n v="11.821305841924397"/>
  </r>
  <r>
    <s v="A215"/>
    <x v="0"/>
    <x v="90"/>
    <x v="2"/>
    <s v="#iPhonePhotography"/>
    <s v="#ShotOniPhone"/>
    <x v="214"/>
    <x v="199"/>
    <x v="192"/>
    <n v="2936"/>
    <n v="82543"/>
    <n v="119973"/>
    <x v="1"/>
    <n v="8.2343527293641069E-2"/>
    <n v="2.4472172905570421E-2"/>
    <n v="10.68157001992115"/>
  </r>
  <r>
    <s v="A216"/>
    <x v="2"/>
    <x v="100"/>
    <x v="1"/>
    <s v="#AppleWatchUltra2"/>
    <s v="#HealthTech"/>
    <x v="215"/>
    <x v="200"/>
    <x v="87"/>
    <n v="2463"/>
    <n v="29689"/>
    <n v="103449"/>
    <x v="2"/>
    <n v="0.24183897379385011"/>
    <n v="2.3808833338166632E-2"/>
    <n v="26.564780713201674"/>
  </r>
  <r>
    <s v="A217"/>
    <x v="1"/>
    <x v="92"/>
    <x v="3"/>
    <s v="#AppleWatchUltra2"/>
    <s v="#HealthTech"/>
    <x v="216"/>
    <x v="12"/>
    <x v="193"/>
    <n v="1217"/>
    <n v="91440"/>
    <n v="149834"/>
    <x v="1"/>
    <n v="0.12222859965027964"/>
    <n v="8.1223220363869347E-3"/>
    <n v="13.035092168666656"/>
  </r>
  <r>
    <s v="A218"/>
    <x v="2"/>
    <x v="168"/>
    <x v="2"/>
    <s v="#MacBookProM3"/>
    <m/>
    <x v="217"/>
    <x v="43"/>
    <x v="194"/>
    <n v="2541"/>
    <n v="14309"/>
    <n v="247815"/>
    <x v="2"/>
    <n v="6.4471480741682297E-2"/>
    <n v="1.0253616609164094E-2"/>
    <n v="7.4725097350846399"/>
  </r>
  <r>
    <s v="A219"/>
    <x v="1"/>
    <x v="57"/>
    <x v="3"/>
    <s v="#AppleMusic"/>
    <s v="#AppleLifestyle"/>
    <x v="218"/>
    <x v="201"/>
    <x v="34"/>
    <n v="389"/>
    <n v="6145"/>
    <n v="231305"/>
    <x v="0"/>
    <n v="4.9947039623008581E-2"/>
    <n v="1.6817621754825879E-3"/>
    <n v="5.1628801798491173"/>
  </r>
  <r>
    <s v="A220"/>
    <x v="0"/>
    <x v="169"/>
    <x v="2"/>
    <s v="#MacBookAirM3"/>
    <s v="#AppleInnovation"/>
    <x v="219"/>
    <x v="37"/>
    <x v="144"/>
    <n v="2009"/>
    <n v="8"/>
    <n v="65537"/>
    <x v="2"/>
    <n v="0.24961472145505592"/>
    <n v="3.0654439476936694E-2"/>
    <n v="28.026916093199262"/>
  </r>
  <r>
    <s v="A221"/>
    <x v="0"/>
    <x v="94"/>
    <x v="3"/>
    <s v="#AppleMusic"/>
    <s v="#AppleLifestyle"/>
    <x v="220"/>
    <x v="186"/>
    <x v="69"/>
    <n v="2469"/>
    <n v="30565"/>
    <n v="117576"/>
    <x v="0"/>
    <n v="0.16521228822208614"/>
    <n v="2.0999183506838132E-2"/>
    <n v="18.621147172892428"/>
  </r>
  <r>
    <s v="A222"/>
    <x v="0"/>
    <x v="170"/>
    <x v="1"/>
    <s v="#MacBookProM3"/>
    <m/>
    <x v="221"/>
    <x v="202"/>
    <x v="195"/>
    <n v="442"/>
    <n v="25286"/>
    <n v="147522"/>
    <x v="3"/>
    <n v="6.4817450956467515E-2"/>
    <n v="2.9961632841203345E-3"/>
    <n v="6.7813614240587849"/>
  </r>
  <r>
    <s v="A223"/>
    <x v="3"/>
    <x v="139"/>
    <x v="2"/>
    <s v="#AppleDesign"/>
    <s v="#Innovation"/>
    <x v="222"/>
    <x v="203"/>
    <x v="104"/>
    <n v="405"/>
    <n v="59842"/>
    <n v="62612"/>
    <x v="2"/>
    <n v="0.32075321024723696"/>
    <n v="6.4684086117677122E-3"/>
    <n v="32.722161885900469"/>
  </r>
  <r>
    <s v="A224"/>
    <x v="1"/>
    <x v="14"/>
    <x v="1"/>
    <s v="#Sustainability"/>
    <s v="#AppleEarth"/>
    <x v="223"/>
    <x v="204"/>
    <x v="35"/>
    <n v="1186"/>
    <n v="3363"/>
    <n v="46471"/>
    <x v="1"/>
    <n v="0.14479998278496267"/>
    <n v="2.5521292849303868E-2"/>
    <n v="17.032127563426656"/>
  </r>
  <r>
    <s v="A225"/>
    <x v="3"/>
    <x v="171"/>
    <x v="2"/>
    <s v="#AppleWatch"/>
    <s v="#Health"/>
    <x v="224"/>
    <x v="205"/>
    <x v="172"/>
    <n v="727"/>
    <n v="87833"/>
    <n v="206703"/>
    <x v="0"/>
    <n v="0.11153684271636116"/>
    <n v="3.5171236024634377E-3"/>
    <n v="11.50539663188246"/>
  </r>
  <r>
    <s v="A226"/>
    <x v="3"/>
    <x v="20"/>
    <x v="1"/>
    <s v="#AppleWatch"/>
    <s v="#Health"/>
    <x v="225"/>
    <x v="112"/>
    <x v="196"/>
    <n v="1628"/>
    <n v="8272"/>
    <n v="71348"/>
    <x v="1"/>
    <n v="0.35412345125301342"/>
    <n v="2.2817738408925269E-2"/>
    <n v="37.694118966193869"/>
  </r>
  <r>
    <s v="A227"/>
    <x v="2"/>
    <x v="172"/>
    <x v="1"/>
    <s v="#MacBookAirM3"/>
    <s v="#AppleInnovation"/>
    <x v="226"/>
    <x v="206"/>
    <x v="197"/>
    <n v="2195"/>
    <n v="4390"/>
    <n v="235804"/>
    <x v="4"/>
    <n v="7.9812047293514959E-2"/>
    <n v="9.3085783108004961E-3"/>
    <n v="8.9120625604315453"/>
  </r>
  <r>
    <s v="A228"/>
    <x v="3"/>
    <x v="173"/>
    <x v="2"/>
    <s v="#AppleDesign"/>
    <s v="#Innovation"/>
    <x v="227"/>
    <x v="207"/>
    <x v="193"/>
    <n v="2294"/>
    <n v="71696"/>
    <n v="41177"/>
    <x v="0"/>
    <n v="0.11911989702989532"/>
    <n v="5.5710712290841978E-2"/>
    <n v="17.48306093207373"/>
  </r>
  <r>
    <s v="A229"/>
    <x v="2"/>
    <x v="48"/>
    <x v="2"/>
    <s v="#MacBookAirM3"/>
    <s v="#AppleInnovation"/>
    <x v="228"/>
    <x v="208"/>
    <x v="30"/>
    <n v="616"/>
    <n v="42228"/>
    <n v="175832"/>
    <x v="2"/>
    <n v="7.2176850630146963E-2"/>
    <n v="3.503344101187497E-3"/>
    <n v="7.5680194731334458"/>
  </r>
  <r>
    <s v="A230"/>
    <x v="2"/>
    <x v="119"/>
    <x v="2"/>
    <s v="#ShotOniPhone"/>
    <m/>
    <x v="229"/>
    <x v="209"/>
    <x v="198"/>
    <n v="2286"/>
    <n v="50567"/>
    <n v="72779"/>
    <x v="0"/>
    <n v="0.18062902760411656"/>
    <n v="3.1410159524038528E-2"/>
    <n v="21.203918712815508"/>
  </r>
  <r>
    <s v="A231"/>
    <x v="3"/>
    <x v="24"/>
    <x v="0"/>
    <s v="#AppleMusic"/>
    <s v="#AppleLifestyle"/>
    <x v="230"/>
    <x v="210"/>
    <x v="199"/>
    <n v="934"/>
    <n v="20509"/>
    <n v="61636"/>
    <x v="1"/>
    <n v="0.33944448049841003"/>
    <n v="1.5153481731455642E-2"/>
    <n v="35.459796222986569"/>
  </r>
  <r>
    <s v="A232"/>
    <x v="1"/>
    <x v="174"/>
    <x v="3"/>
    <s v="#AppleWatch"/>
    <s v="#Health"/>
    <x v="231"/>
    <x v="211"/>
    <x v="200"/>
    <n v="2225"/>
    <n v="1044"/>
    <n v="121889"/>
    <x v="3"/>
    <n v="0.14571454356012437"/>
    <n v="1.8254313350671514E-2"/>
    <n v="16.396885691079589"/>
  </r>
  <r>
    <s v="A233"/>
    <x v="1"/>
    <x v="65"/>
    <x v="0"/>
    <s v="#AppleWatchUltra2"/>
    <s v="#HealthTech"/>
    <x v="232"/>
    <x v="212"/>
    <x v="201"/>
    <n v="2356"/>
    <n v="37437"/>
    <n v="93551"/>
    <x v="0"/>
    <n v="7.5338585370546551E-2"/>
    <n v="2.5184124167566355E-2"/>
    <n v="10.05227095381129"/>
  </r>
  <r>
    <s v="A234"/>
    <x v="1"/>
    <x v="175"/>
    <x v="0"/>
    <s v="#AppleMusic"/>
    <s v="#AppleLifestyle"/>
    <x v="39"/>
    <x v="213"/>
    <x v="117"/>
    <n v="2570"/>
    <n v="23719"/>
    <n v="182628"/>
    <x v="2"/>
    <n v="0.11896313818253498"/>
    <n v="1.4072321878353812E-2"/>
    <n v="13.303546006088879"/>
  </r>
  <r>
    <s v="A235"/>
    <x v="1"/>
    <x v="154"/>
    <x v="1"/>
    <s v="#AppleEvent"/>
    <s v="#iPadPro"/>
    <x v="233"/>
    <x v="214"/>
    <x v="202"/>
    <n v="1739"/>
    <n v="34444"/>
    <n v="198670"/>
    <x v="4"/>
    <n v="0.11060049328031409"/>
    <n v="8.7532088387778737E-3"/>
    <n v="11.935370211909197"/>
  </r>
  <r>
    <s v="A236"/>
    <x v="1"/>
    <x v="17"/>
    <x v="2"/>
    <s v="#iPhonePhotography"/>
    <s v="#ShotOniPhone"/>
    <x v="234"/>
    <x v="215"/>
    <x v="203"/>
    <n v="852"/>
    <n v="11660"/>
    <n v="182635"/>
    <x v="3"/>
    <n v="2.590960111698196E-2"/>
    <n v="4.6650422974785777E-3"/>
    <n v="3.0574643414460536"/>
  </r>
  <r>
    <s v="A237"/>
    <x v="3"/>
    <x v="129"/>
    <x v="3"/>
    <s v="#AppleDesign"/>
    <s v="#Innovation"/>
    <x v="235"/>
    <x v="216"/>
    <x v="110"/>
    <n v="1015"/>
    <n v="71322"/>
    <n v="86819"/>
    <x v="4"/>
    <n v="0.10217809465669957"/>
    <n v="1.1690989299577282E-2"/>
    <n v="11.386908395627685"/>
  </r>
  <r>
    <s v="A238"/>
    <x v="3"/>
    <x v="176"/>
    <x v="1"/>
    <s v="#iPhone16Launch"/>
    <s v="#AppleEvent"/>
    <x v="236"/>
    <x v="217"/>
    <x v="204"/>
    <n v="1587"/>
    <n v="74927"/>
    <n v="113770"/>
    <x v="0"/>
    <n v="9.2062933989628198E-2"/>
    <n v="1.3949195745802936E-2"/>
    <n v="10.601212973543113"/>
  </r>
  <r>
    <s v="A239"/>
    <x v="0"/>
    <x v="28"/>
    <x v="0"/>
    <s v="#MacBookAirM3"/>
    <s v="#AppleInnovation"/>
    <x v="237"/>
    <x v="218"/>
    <x v="205"/>
    <n v="2013"/>
    <n v="20471"/>
    <n v="198038"/>
    <x v="1"/>
    <n v="7.4591745018632791E-2"/>
    <n v="1.0164715862612226E-2"/>
    <n v="8.4756460881245008"/>
  </r>
  <r>
    <s v="A240"/>
    <x v="1"/>
    <x v="32"/>
    <x v="2"/>
    <s v="#AppleMusic"/>
    <s v="#AppleLifestyle"/>
    <x v="238"/>
    <x v="219"/>
    <x v="206"/>
    <n v="2183"/>
    <n v="15996"/>
    <n v="230961"/>
    <x v="1"/>
    <n v="0.10362355549205277"/>
    <n v="9.4518122107195585E-3"/>
    <n v="11.307536770277233"/>
  </r>
  <r>
    <s v="A241"/>
    <x v="3"/>
    <x v="177"/>
    <x v="1"/>
    <s v="#iPhonePhotography"/>
    <s v="#ShotOniPhone"/>
    <x v="239"/>
    <x v="220"/>
    <x v="38"/>
    <n v="1407"/>
    <n v="29254"/>
    <n v="198059"/>
    <x v="2"/>
    <n v="6.7626313371268162E-2"/>
    <n v="7.1039437743298716E-3"/>
    <n v="7.4730257145598031"/>
  </r>
  <r>
    <s v="A242"/>
    <x v="0"/>
    <x v="33"/>
    <x v="2"/>
    <s v="#AppleMusic"/>
    <s v="#AppleLifestyle"/>
    <x v="240"/>
    <x v="221"/>
    <x v="207"/>
    <n v="1641"/>
    <n v="28044"/>
    <n v="118714"/>
    <x v="1"/>
    <n v="0.14677291642097814"/>
    <n v="1.3823137961824217E-2"/>
    <n v="16.059605438280236"/>
  </r>
  <r>
    <s v="A243"/>
    <x v="1"/>
    <x v="178"/>
    <x v="1"/>
    <s v="#iPhone16Launch"/>
    <s v="#AppleEvent"/>
    <x v="241"/>
    <x v="222"/>
    <x v="154"/>
    <n v="410"/>
    <n v="49490"/>
    <n v="229420"/>
    <x v="3"/>
    <n v="0.10312963124400662"/>
    <n v="1.787115334321332E-3"/>
    <n v="10.491674657832794"/>
  </r>
  <r>
    <s v="A244"/>
    <x v="2"/>
    <x v="38"/>
    <x v="2"/>
    <s v="#iPhonePhotography"/>
    <s v="#ShotOniPhone"/>
    <x v="242"/>
    <x v="223"/>
    <x v="208"/>
    <n v="550"/>
    <n v="22583"/>
    <n v="64596"/>
    <x v="1"/>
    <n v="0.24524738373893121"/>
    <n v="8.5144590996346515E-3"/>
    <n v="25.376184283856585"/>
  </r>
  <r>
    <s v="A245"/>
    <x v="0"/>
    <x v="179"/>
    <x v="0"/>
    <s v="#AppleEvent"/>
    <s v="#iPadPro"/>
    <x v="243"/>
    <x v="224"/>
    <x v="88"/>
    <n v="2730"/>
    <n v="41050"/>
    <n v="204246"/>
    <x v="2"/>
    <n v="2.8308999931455206E-2"/>
    <n v="1.3366234834464322E-2"/>
    <n v="4.1675234765919527"/>
  </r>
  <r>
    <s v="A246"/>
    <x v="3"/>
    <x v="180"/>
    <x v="3"/>
    <s v="#iPhone16Launch"/>
    <s v="#AppleEvent"/>
    <x v="244"/>
    <x v="67"/>
    <x v="209"/>
    <n v="2354"/>
    <n v="5472"/>
    <n v="104106"/>
    <x v="0"/>
    <n v="0.19899909707413599"/>
    <n v="2.2611568977772653E-2"/>
    <n v="22.161066605190864"/>
  </r>
  <r>
    <s v="A247"/>
    <x v="2"/>
    <x v="181"/>
    <x v="0"/>
    <s v="#MacBookProM3"/>
    <m/>
    <x v="245"/>
    <x v="225"/>
    <x v="200"/>
    <n v="758"/>
    <n v="34850"/>
    <n v="241039"/>
    <x v="0"/>
    <n v="3.1559208260903839E-2"/>
    <n v="3.1447193192802826E-3"/>
    <n v="3.470392758018412"/>
  </r>
  <r>
    <s v="A248"/>
    <x v="2"/>
    <x v="39"/>
    <x v="3"/>
    <s v="#AppleEvent"/>
    <s v="#iPhone16"/>
    <x v="246"/>
    <x v="226"/>
    <x v="0"/>
    <n v="1407"/>
    <n v="4037"/>
    <n v="99182"/>
    <x v="1"/>
    <n v="0.14827287209372669"/>
    <n v="1.4186041822104818E-2"/>
    <n v="16.24589139158315"/>
  </r>
  <r>
    <s v="A249"/>
    <x v="2"/>
    <x v="182"/>
    <x v="2"/>
    <s v="#MacBookProM3"/>
    <m/>
    <x v="247"/>
    <x v="227"/>
    <x v="210"/>
    <n v="507"/>
    <n v="14129"/>
    <n v="127163"/>
    <x v="4"/>
    <n v="9.9871818060284834E-2"/>
    <n v="3.9870087997294808E-3"/>
    <n v="10.38588268600143"/>
  </r>
  <r>
    <s v="A250"/>
    <x v="0"/>
    <x v="56"/>
    <x v="1"/>
    <s v="#AppleWatch"/>
    <s v="#Health"/>
    <x v="248"/>
    <x v="228"/>
    <x v="211"/>
    <n v="1199"/>
    <n v="68488"/>
    <n v="79310"/>
    <x v="0"/>
    <n v="0.1153700668263775"/>
    <n v="1.5117891816920944E-2"/>
    <n v="13.048795864329845"/>
  </r>
  <r>
    <s v="A251"/>
    <x v="3"/>
    <x v="40"/>
    <x v="0"/>
    <s v="#AppleMusic"/>
    <s v="#AppleLifestyle"/>
    <x v="249"/>
    <x v="229"/>
    <x v="212"/>
    <n v="321"/>
    <n v="21869"/>
    <n v="96088"/>
    <x v="1"/>
    <n v="0.2051660977437349"/>
    <n v="3.3406877029389728E-3"/>
    <n v="20.850678544667385"/>
  </r>
  <r>
    <s v="A252"/>
    <x v="2"/>
    <x v="141"/>
    <x v="3"/>
    <s v="#AppleEvent"/>
    <s v="#iPhone16"/>
    <x v="250"/>
    <x v="230"/>
    <x v="213"/>
    <n v="709"/>
    <n v="16309"/>
    <n v="168803"/>
    <x v="2"/>
    <n v="7.3511726687321907E-2"/>
    <n v="4.2001623193900581E-3"/>
    <n v="7.7711889006711967"/>
  </r>
  <r>
    <s v="A253"/>
    <x v="1"/>
    <x v="42"/>
    <x v="0"/>
    <s v="#MacBookProM3"/>
    <m/>
    <x v="251"/>
    <x v="91"/>
    <x v="214"/>
    <n v="1194"/>
    <n v="52613"/>
    <n v="179978"/>
    <x v="1"/>
    <n v="9.757303670448611E-2"/>
    <n v="6.6341441731767219E-3"/>
    <n v="10.420718087766282"/>
  </r>
  <r>
    <s v="A254"/>
    <x v="2"/>
    <x v="183"/>
    <x v="3"/>
    <s v="#AppleEvent"/>
    <s v="#iPhone16"/>
    <x v="252"/>
    <x v="231"/>
    <x v="215"/>
    <n v="814"/>
    <n v="21120"/>
    <n v="76914"/>
    <x v="0"/>
    <n v="0.33122708479600593"/>
    <n v="1.0583248823361157E-2"/>
    <n v="34.181033361936706"/>
  </r>
  <r>
    <s v="A255"/>
    <x v="2"/>
    <x v="184"/>
    <x v="0"/>
    <s v="#Sustainability"/>
    <s v="#AppleEarth"/>
    <x v="253"/>
    <x v="232"/>
    <x v="216"/>
    <n v="1108"/>
    <n v="36807"/>
    <n v="150350"/>
    <x v="2"/>
    <n v="8.4888593282341204E-2"/>
    <n v="7.3694712337878283E-3"/>
    <n v="9.2258064516129021"/>
  </r>
  <r>
    <s v="A256"/>
    <x v="0"/>
    <x v="44"/>
    <x v="3"/>
    <s v="#AppleMusic"/>
    <s v="#AppleLifestyle"/>
    <x v="254"/>
    <x v="233"/>
    <x v="217"/>
    <n v="1173"/>
    <n v="40125"/>
    <n v="85379"/>
    <x v="1"/>
    <n v="4.0443200318579509E-2"/>
    <n v="1.3738741376685133E-2"/>
    <n v="5.4181941695264646"/>
  </r>
  <r>
    <s v="A257"/>
    <x v="0"/>
    <x v="110"/>
    <x v="3"/>
    <s v="#AppleEvent"/>
    <s v="#iPhone16"/>
    <x v="255"/>
    <x v="234"/>
    <x v="113"/>
    <n v="313"/>
    <n v="48524"/>
    <n v="249684"/>
    <x v="3"/>
    <n v="7.0457057720959296E-2"/>
    <n v="1.2535845308469906E-3"/>
    <n v="7.1710642251806291"/>
  </r>
  <r>
    <s v="A258"/>
    <x v="3"/>
    <x v="185"/>
    <x v="2"/>
    <s v="#AppleWatchUltra2"/>
    <s v="#HealthTech"/>
    <x v="256"/>
    <x v="235"/>
    <x v="101"/>
    <n v="1270"/>
    <n v="21454"/>
    <n v="208722"/>
    <x v="2"/>
    <n v="0.10978718103506099"/>
    <n v="6.0846484797960924E-3"/>
    <n v="11.587182951485708"/>
  </r>
  <r>
    <s v="A259"/>
    <x v="1"/>
    <x v="186"/>
    <x v="3"/>
    <s v="#MacBookAirM3"/>
    <s v="#AppleInnovation"/>
    <x v="257"/>
    <x v="236"/>
    <x v="180"/>
    <n v="2434"/>
    <n v="2940"/>
    <n v="217953"/>
    <x v="3"/>
    <n v="8.5321147219813445E-2"/>
    <n v="1.1167545296462999E-2"/>
    <n v="9.6488692516276444"/>
  </r>
  <r>
    <s v="A260"/>
    <x v="0"/>
    <x v="187"/>
    <x v="2"/>
    <s v="#MacBookAirM3"/>
    <s v="#AppleInnovation"/>
    <x v="258"/>
    <x v="237"/>
    <x v="218"/>
    <n v="1860"/>
    <n v="60397"/>
    <n v="86413"/>
    <x v="4"/>
    <n v="0.19881267864788862"/>
    <n v="2.1524539131843587E-2"/>
    <n v="22.03372177797322"/>
  </r>
  <r>
    <s v="A261"/>
    <x v="2"/>
    <x v="188"/>
    <x v="3"/>
    <s v="#AppleWatchUltra2"/>
    <s v="#HealthTech"/>
    <x v="259"/>
    <x v="238"/>
    <x v="219"/>
    <n v="1624"/>
    <n v="72237"/>
    <n v="177084"/>
    <x v="2"/>
    <n v="5.0524045085947912E-2"/>
    <n v="9.1707890040884556E-3"/>
    <n v="5.9694834090036366"/>
  </r>
  <r>
    <s v="A262"/>
    <x v="3"/>
    <x v="177"/>
    <x v="1"/>
    <s v="#iPhonePhotography"/>
    <s v="#ShotOniPhone"/>
    <x v="260"/>
    <x v="239"/>
    <x v="220"/>
    <n v="1566"/>
    <n v="9417"/>
    <n v="221187"/>
    <x v="3"/>
    <n v="0.10803076130152314"/>
    <n v="7.0799820965969972E-3"/>
    <n v="11.511074339812014"/>
  </r>
  <r>
    <s v="A263"/>
    <x v="2"/>
    <x v="189"/>
    <x v="1"/>
    <s v="#ShotOniPhone"/>
    <m/>
    <x v="261"/>
    <x v="240"/>
    <x v="211"/>
    <n v="2469"/>
    <n v="12130"/>
    <n v="47151"/>
    <x v="0"/>
    <n v="9.6286399015927546E-2"/>
    <n v="5.2363682636635489E-2"/>
    <n v="14.865008165256304"/>
  </r>
  <r>
    <s v="A264"/>
    <x v="2"/>
    <x v="190"/>
    <x v="1"/>
    <s v="#iPhonePhotography"/>
    <s v="#ShotOniPhone"/>
    <x v="262"/>
    <x v="241"/>
    <x v="221"/>
    <n v="1049"/>
    <n v="475"/>
    <n v="97716"/>
    <x v="0"/>
    <n v="0.14930001228048631"/>
    <n v="1.0735191780261165E-2"/>
    <n v="16.003520406074749"/>
  </r>
  <r>
    <s v="A265"/>
    <x v="0"/>
    <x v="191"/>
    <x v="3"/>
    <s v="#iPhone16Launch"/>
    <s v="#AppleEvent"/>
    <x v="263"/>
    <x v="242"/>
    <x v="135"/>
    <n v="984"/>
    <n v="10967"/>
    <n v="133747"/>
    <x v="4"/>
    <n v="0.13251138343289942"/>
    <n v="7.3571743665278473E-3"/>
    <n v="13.986855779942728"/>
  </r>
  <r>
    <s v="A266"/>
    <x v="3"/>
    <x v="192"/>
    <x v="2"/>
    <s v="#iPhone16Launch"/>
    <s v="#AppleEvent"/>
    <x v="264"/>
    <x v="243"/>
    <x v="222"/>
    <n v="2227"/>
    <n v="49351"/>
    <n v="207450"/>
    <x v="2"/>
    <n v="9.0547119787900698E-2"/>
    <n v="1.0735116895637503E-2"/>
    <n v="10.128223668353819"/>
  </r>
  <r>
    <s v="A267"/>
    <x v="1"/>
    <x v="156"/>
    <x v="2"/>
    <s v="#AppleEvent"/>
    <s v="#iPhone16"/>
    <x v="265"/>
    <x v="244"/>
    <x v="223"/>
    <n v="2656"/>
    <n v="66614"/>
    <n v="213724"/>
    <x v="2"/>
    <n v="7.8807246729426739E-2"/>
    <n v="1.2427242611966836E-2"/>
    <n v="9.1234489341393576"/>
  </r>
  <r>
    <s v="A268"/>
    <x v="1"/>
    <x v="193"/>
    <x v="3"/>
    <s v="#MacBookProM3"/>
    <m/>
    <x v="266"/>
    <x v="245"/>
    <x v="224"/>
    <n v="994"/>
    <n v="59400"/>
    <n v="243502"/>
    <x v="2"/>
    <n v="0.10688207899729776"/>
    <n v="4.0821019950554819E-3"/>
    <n v="11.096418099235326"/>
  </r>
  <r>
    <s v="A269"/>
    <x v="0"/>
    <x v="194"/>
    <x v="1"/>
    <s v="#MacBookProM3"/>
    <m/>
    <x v="267"/>
    <x v="246"/>
    <x v="198"/>
    <n v="2635"/>
    <n v="21890"/>
    <n v="184539"/>
    <x v="4"/>
    <n v="5.2102807536618279E-2"/>
    <n v="1.4278824530316085E-2"/>
    <n v="6.6381632066934371"/>
  </r>
  <r>
    <s v="A270"/>
    <x v="0"/>
    <x v="162"/>
    <x v="1"/>
    <s v="#MacBookAirM3"/>
    <s v="#AppleInnovation"/>
    <x v="268"/>
    <x v="247"/>
    <x v="225"/>
    <n v="606"/>
    <n v="59490"/>
    <n v="202082"/>
    <x v="2"/>
    <n v="6.2088657079799291E-2"/>
    <n v="2.9987826723805186E-3"/>
    <n v="6.5087439752179819"/>
  </r>
  <r>
    <s v="A271"/>
    <x v="3"/>
    <x v="195"/>
    <x v="2"/>
    <s v="#AppleDesign"/>
    <s v="#Innovation"/>
    <x v="269"/>
    <x v="248"/>
    <x v="96"/>
    <n v="2289"/>
    <n v="20785"/>
    <n v="161999"/>
    <x v="0"/>
    <n v="0.12537731714393299"/>
    <n v="1.4129716850104014E-2"/>
    <n v="13.9507033994037"/>
  </r>
  <r>
    <s v="A272"/>
    <x v="1"/>
    <x v="196"/>
    <x v="1"/>
    <s v="#iPhonePhotography"/>
    <s v="#ShotOniPhone"/>
    <x v="270"/>
    <x v="249"/>
    <x v="181"/>
    <n v="961"/>
    <n v="39154"/>
    <n v="154793"/>
    <x v="3"/>
    <n v="0.10596732410380315"/>
    <n v="6.2082910725937222E-3"/>
    <n v="11.217561517639687"/>
  </r>
  <r>
    <s v="A273"/>
    <x v="1"/>
    <x v="197"/>
    <x v="0"/>
    <s v="#Sustainability"/>
    <s v="#AppleEarth"/>
    <x v="271"/>
    <x v="250"/>
    <x v="226"/>
    <n v="848"/>
    <n v="39319"/>
    <n v="225763"/>
    <x v="0"/>
    <n v="3.207788698768177E-2"/>
    <n v="3.7561513622692824E-3"/>
    <n v="3.5834038349951052"/>
  </r>
  <r>
    <s v="A274"/>
    <x v="1"/>
    <x v="126"/>
    <x v="2"/>
    <s v="#AppleMusic"/>
    <s v="#AppleLifestyle"/>
    <x v="272"/>
    <x v="251"/>
    <x v="53"/>
    <n v="611"/>
    <n v="52791"/>
    <n v="235229"/>
    <x v="0"/>
    <n v="4.2048386891072105E-2"/>
    <n v="2.5974688495041002E-3"/>
    <n v="4.4645855740576206"/>
  </r>
  <r>
    <s v="A275"/>
    <x v="2"/>
    <x v="185"/>
    <x v="1"/>
    <s v="#AppleWatch"/>
    <s v="#Health"/>
    <x v="48"/>
    <x v="252"/>
    <x v="162"/>
    <n v="1382"/>
    <n v="16844"/>
    <n v="148177"/>
    <x v="3"/>
    <n v="3.8663220337839206E-2"/>
    <n v="9.3266836283633758E-3"/>
    <n v="4.7989903966202583"/>
  </r>
  <r>
    <s v="A276"/>
    <x v="1"/>
    <x v="198"/>
    <x v="2"/>
    <s v="#AppleEvent"/>
    <s v="#iPadPro"/>
    <x v="273"/>
    <x v="253"/>
    <x v="227"/>
    <n v="2037"/>
    <n v="8875"/>
    <n v="52289"/>
    <x v="0"/>
    <n v="0.17093461339861157"/>
    <n v="3.8956568303084776E-2"/>
    <n v="20.989118170169636"/>
  </r>
  <r>
    <s v="A277"/>
    <x v="2"/>
    <x v="110"/>
    <x v="0"/>
    <s v="#MacBookProM3"/>
    <m/>
    <x v="274"/>
    <x v="254"/>
    <x v="108"/>
    <n v="1054"/>
    <n v="20516"/>
    <n v="216048"/>
    <x v="4"/>
    <n v="7.6848663260016298E-2"/>
    <n v="4.8785455084055396E-3"/>
    <n v="8.1727208768421828"/>
  </r>
  <r>
    <s v="A278"/>
    <x v="3"/>
    <x v="199"/>
    <x v="2"/>
    <s v="#AppleMusic"/>
    <s v="#AppleLifestyle"/>
    <x v="275"/>
    <x v="255"/>
    <x v="228"/>
    <n v="334"/>
    <n v="49257"/>
    <n v="214668"/>
    <x v="3"/>
    <n v="7.7063185942944451E-2"/>
    <n v="1.5558909571990237E-3"/>
    <n v="7.8619076900143465"/>
  </r>
  <r>
    <s v="A279"/>
    <x v="2"/>
    <x v="67"/>
    <x v="2"/>
    <s v="#AppleEvent"/>
    <s v="#iPadPro"/>
    <x v="276"/>
    <x v="256"/>
    <x v="229"/>
    <n v="744"/>
    <n v="97772"/>
    <n v="194243"/>
    <x v="0"/>
    <n v="6.7889190344053579E-2"/>
    <n v="3.8302538572818584E-3"/>
    <n v="7.1719444201335438"/>
  </r>
  <r>
    <s v="A280"/>
    <x v="3"/>
    <x v="47"/>
    <x v="2"/>
    <s v="#AppleMusic"/>
    <s v="#AppleLifestyle"/>
    <x v="277"/>
    <x v="257"/>
    <x v="230"/>
    <n v="2440"/>
    <n v="63650"/>
    <n v="126365"/>
    <x v="1"/>
    <n v="3.5903929094290347E-2"/>
    <n v="1.9309144145926483E-2"/>
    <n v="5.5213073240216834"/>
  </r>
  <r>
    <s v="A281"/>
    <x v="1"/>
    <x v="200"/>
    <x v="2"/>
    <s v="#AppleEvent"/>
    <s v="#iPhone16"/>
    <x v="278"/>
    <x v="148"/>
    <x v="5"/>
    <n v="2282"/>
    <n v="56125"/>
    <n v="154014"/>
    <x v="0"/>
    <n v="3.5977248821535704E-2"/>
    <n v="1.4816834833196983E-2"/>
    <n v="5.0794083654732685"/>
  </r>
  <r>
    <s v="A282"/>
    <x v="1"/>
    <x v="201"/>
    <x v="0"/>
    <s v="#AppleEvent"/>
    <s v="#iPadPro"/>
    <x v="279"/>
    <x v="258"/>
    <x v="231"/>
    <n v="1530"/>
    <n v="18395"/>
    <n v="215211"/>
    <x v="4"/>
    <n v="0.1100083174187193"/>
    <n v="7.1093020338179741E-3"/>
    <n v="11.711761945253727"/>
  </r>
  <r>
    <s v="A283"/>
    <x v="3"/>
    <x v="202"/>
    <x v="3"/>
    <s v="#AppleWatch"/>
    <s v="#Health"/>
    <x v="280"/>
    <x v="259"/>
    <x v="232"/>
    <n v="652"/>
    <n v="63789"/>
    <n v="219785"/>
    <x v="2"/>
    <n v="4.541711217781013E-2"/>
    <n v="2.9665354778533569E-3"/>
    <n v="4.8383647655663484"/>
  </r>
  <r>
    <s v="A284"/>
    <x v="0"/>
    <x v="26"/>
    <x v="2"/>
    <s v="#AppleMusic"/>
    <s v="#AppleLifestyle"/>
    <x v="281"/>
    <x v="260"/>
    <x v="233"/>
    <n v="1202"/>
    <n v="9418"/>
    <n v="200806"/>
    <x v="0"/>
    <n v="0.11062418453631864"/>
    <n v="5.9858769160284053E-3"/>
    <n v="11.661006145234705"/>
  </r>
  <r>
    <s v="A285"/>
    <x v="3"/>
    <x v="182"/>
    <x v="2"/>
    <s v="#AppleWatchUltra2"/>
    <s v="#HealthTech"/>
    <x v="282"/>
    <x v="261"/>
    <x v="234"/>
    <n v="1655"/>
    <n v="35505"/>
    <n v="112588"/>
    <x v="2"/>
    <n v="0.16153586527871533"/>
    <n v="1.4699612747362064E-2"/>
    <n v="17.623547802607739"/>
  </r>
  <r>
    <s v="A286"/>
    <x v="0"/>
    <x v="50"/>
    <x v="1"/>
    <s v="#AppleWatch"/>
    <s v="#Health"/>
    <x v="283"/>
    <x v="232"/>
    <x v="235"/>
    <n v="2048"/>
    <n v="19443"/>
    <n v="103646"/>
    <x v="1"/>
    <n v="0.22984003241803833"/>
    <n v="1.975956621577292E-2"/>
    <n v="24.959959863381126"/>
  </r>
  <r>
    <s v="A287"/>
    <x v="2"/>
    <x v="160"/>
    <x v="2"/>
    <s v="#AppleEvent"/>
    <s v="#iPadPro"/>
    <x v="284"/>
    <x v="128"/>
    <x v="236"/>
    <n v="458"/>
    <n v="6636"/>
    <n v="43654"/>
    <x v="0"/>
    <n v="0.36764099509781462"/>
    <n v="1.049159298117011E-2"/>
    <n v="37.813258807898471"/>
  </r>
  <r>
    <s v="A288"/>
    <x v="2"/>
    <x v="203"/>
    <x v="1"/>
    <s v="#AppleWatch"/>
    <s v="#Health"/>
    <x v="11"/>
    <x v="262"/>
    <x v="237"/>
    <n v="2277"/>
    <n v="85743"/>
    <n v="58743"/>
    <x v="3"/>
    <n v="5.7709003625963942E-2"/>
    <n v="3.8762065267351001E-2"/>
    <n v="9.6471068893314946"/>
  </r>
  <r>
    <s v="A289"/>
    <x v="2"/>
    <x v="116"/>
    <x v="3"/>
    <s v="#AppleMusic"/>
    <s v="#AppleLifestyle"/>
    <x v="285"/>
    <x v="263"/>
    <x v="238"/>
    <n v="1256"/>
    <n v="43415"/>
    <n v="88368"/>
    <x v="2"/>
    <n v="0.23651095419156257"/>
    <n v="1.4213289878689118E-2"/>
    <n v="25.072424407025167"/>
  </r>
  <r>
    <s v="A290"/>
    <x v="1"/>
    <x v="59"/>
    <x v="0"/>
    <s v="#ShotOniPhone"/>
    <m/>
    <x v="286"/>
    <x v="245"/>
    <x v="239"/>
    <n v="2371"/>
    <n v="35340"/>
    <n v="245244"/>
    <x v="1"/>
    <n v="0.10287713460879777"/>
    <n v="9.6679225587578081E-3"/>
    <n v="11.254505716755558"/>
  </r>
  <r>
    <s v="A291"/>
    <x v="2"/>
    <x v="22"/>
    <x v="0"/>
    <s v="#AppleMusic"/>
    <s v="#AppleLifestyle"/>
    <x v="287"/>
    <x v="264"/>
    <x v="157"/>
    <n v="703"/>
    <n v="69596"/>
    <n v="177513"/>
    <x v="3"/>
    <n v="6.999487361489018E-2"/>
    <n v="3.9602733320939871E-3"/>
    <n v="7.3955146946984174"/>
  </r>
  <r>
    <s v="A292"/>
    <x v="0"/>
    <x v="204"/>
    <x v="3"/>
    <s v="#AppleMusic"/>
    <s v="#AppleLifestyle"/>
    <x v="288"/>
    <x v="265"/>
    <x v="218"/>
    <n v="815"/>
    <n v="11978"/>
    <n v="159735"/>
    <x v="3"/>
    <n v="3.2109431245500357E-2"/>
    <n v="5.1022005196106049E-3"/>
    <n v="3.7211631765110962"/>
  </r>
  <r>
    <s v="A293"/>
    <x v="2"/>
    <x v="205"/>
    <x v="0"/>
    <s v="#AppleEvent"/>
    <s v="#iPhone16"/>
    <x v="289"/>
    <x v="233"/>
    <x v="240"/>
    <n v="1687"/>
    <n v="28102"/>
    <n v="195683"/>
    <x v="3"/>
    <n v="5.5119760020032396E-2"/>
    <n v="8.6210861444274665E-3"/>
    <n v="6.3740846164459866"/>
  </r>
  <r>
    <s v="A294"/>
    <x v="3"/>
    <x v="206"/>
    <x v="3"/>
    <s v="#iPhonePhotography"/>
    <s v="#ShotOniPhone"/>
    <x v="290"/>
    <x v="266"/>
    <x v="241"/>
    <n v="2879"/>
    <n v="28185"/>
    <n v="159891"/>
    <x v="3"/>
    <n v="0.13050140408153055"/>
    <n v="1.8006016598807937E-2"/>
    <n v="14.850742068033847"/>
  </r>
  <r>
    <s v="A295"/>
    <x v="3"/>
    <x v="207"/>
    <x v="3"/>
    <s v="#AppleWatchUltra2"/>
    <s v="#HealthTech"/>
    <x v="291"/>
    <x v="267"/>
    <x v="106"/>
    <n v="1255"/>
    <n v="15403"/>
    <n v="147971"/>
    <x v="0"/>
    <n v="6.2262200025680704E-2"/>
    <n v="8.48139162403444E-3"/>
    <n v="7.0743591649715141"/>
  </r>
  <r>
    <s v="A296"/>
    <x v="1"/>
    <x v="208"/>
    <x v="3"/>
    <s v="#Sustainability"/>
    <s v="#AppleEarth"/>
    <x v="292"/>
    <x v="268"/>
    <x v="242"/>
    <n v="2499"/>
    <n v="58146"/>
    <n v="52149"/>
    <x v="0"/>
    <n v="0.10364532397553165"/>
    <n v="4.7920381982396593E-2"/>
    <n v="15.156570595792823"/>
  </r>
  <r>
    <s v="A297"/>
    <x v="3"/>
    <x v="209"/>
    <x v="0"/>
    <s v="#MacBookProM3"/>
    <m/>
    <x v="293"/>
    <x v="269"/>
    <x v="243"/>
    <n v="2012"/>
    <n v="10245"/>
    <n v="140102"/>
    <x v="0"/>
    <n v="8.745770938316369E-2"/>
    <n v="1.4360965582218669E-2"/>
    <n v="10.181867496538235"/>
  </r>
  <r>
    <s v="A298"/>
    <x v="0"/>
    <x v="83"/>
    <x v="1"/>
    <s v="#iPhone16Launch"/>
    <s v="#AppleEvent"/>
    <x v="294"/>
    <x v="8"/>
    <x v="200"/>
    <n v="907"/>
    <n v="85823"/>
    <n v="99189"/>
    <x v="1"/>
    <n v="4.5408260996683103E-2"/>
    <n v="9.1441591305487496E-3"/>
    <n v="5.4552420127231853"/>
  </r>
  <r>
    <s v="A299"/>
    <x v="2"/>
    <x v="90"/>
    <x v="3"/>
    <s v="#iPhonePhotography"/>
    <s v="#ShotOniPhone"/>
    <x v="295"/>
    <x v="156"/>
    <x v="244"/>
    <n v="2767"/>
    <n v="22331"/>
    <n v="192747"/>
    <x v="1"/>
    <n v="6.9427799135654514E-2"/>
    <n v="1.4355606053531313E-2"/>
    <n v="8.3783405189185824"/>
  </r>
  <r>
    <s v="A300"/>
    <x v="1"/>
    <x v="92"/>
    <x v="2"/>
    <s v="#iPhone16Launch"/>
    <s v="#AppleEvent"/>
    <x v="106"/>
    <x v="270"/>
    <x v="245"/>
    <n v="1573"/>
    <n v="62688"/>
    <n v="111031"/>
    <x v="1"/>
    <n v="0.19480145184678152"/>
    <n v="1.4167214561698985E-2"/>
    <n v="20.89686664084804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n v="4138"/>
    <n v="361"/>
    <x v="0"/>
    <n v="56.637790647253247"/>
    <x v="0"/>
    <n v="3.6395347716738774E-2"/>
  </r>
  <r>
    <x v="1"/>
    <x v="0"/>
    <n v="7721"/>
    <n v="506"/>
    <x v="1"/>
    <n v="35.577824398518047"/>
    <x v="1"/>
    <n v="5.3675846984778827E-2"/>
  </r>
  <r>
    <x v="2"/>
    <x v="0"/>
    <n v="8373"/>
    <n v="921"/>
    <x v="2"/>
    <n v="12.2263294381709"/>
    <x v="2"/>
    <n v="4.7249186834646864E-2"/>
  </r>
  <r>
    <x v="3"/>
    <x v="1"/>
    <n v="9984"/>
    <n v="1330"/>
    <x v="3"/>
    <n v="57.524479307546663"/>
    <x v="3"/>
    <n v="4.6816337571003515E-2"/>
  </r>
  <r>
    <x v="4"/>
    <x v="2"/>
    <n v="5917"/>
    <n v="475"/>
    <x v="4"/>
    <n v="17.894035955483691"/>
    <x v="4"/>
    <n v="2.5882241034909159E-2"/>
  </r>
  <r>
    <x v="5"/>
    <x v="1"/>
    <n v="8045"/>
    <n v="894"/>
    <x v="5"/>
    <n v="47.634187798207087"/>
    <x v="5"/>
    <n v="3.084960440375838E-2"/>
  </r>
  <r>
    <x v="6"/>
    <x v="0"/>
    <n v="3964"/>
    <n v="378"/>
    <x v="6"/>
    <n v="13.6355899921383"/>
    <x v="6"/>
    <n v="1.453198576789347E-2"/>
  </r>
  <r>
    <x v="7"/>
    <x v="2"/>
    <n v="8340"/>
    <n v="911"/>
    <x v="7"/>
    <n v="37.302925586213682"/>
    <x v="7"/>
    <n v="2.8087593669421613E-2"/>
  </r>
  <r>
    <x v="8"/>
    <x v="2"/>
    <n v="1845"/>
    <n v="104"/>
    <x v="8"/>
    <n v="28.158158777282971"/>
    <x v="8"/>
    <n v="5.9823244818296775E-3"/>
  </r>
  <r>
    <x v="9"/>
    <x v="0"/>
    <n v="3494"/>
    <n v="281"/>
    <x v="9"/>
    <n v="27.765518533715429"/>
    <x v="9"/>
    <n v="1.0380689913639638E-2"/>
  </r>
  <r>
    <x v="10"/>
    <x v="1"/>
    <n v="6179"/>
    <n v="384"/>
    <x v="10"/>
    <n v="14.71218489327067"/>
    <x v="10"/>
    <n v="1.7765229200580015E-2"/>
  </r>
  <r>
    <x v="11"/>
    <x v="0"/>
    <n v="7488"/>
    <n v="568"/>
    <x v="11"/>
    <n v="13.47730290104799"/>
    <x v="11"/>
    <n v="1.9547470410440384E-2"/>
  </r>
  <r>
    <x v="12"/>
    <x v="2"/>
    <n v="1689"/>
    <n v="176"/>
    <x v="12"/>
    <n v="38.012181840183942"/>
    <x v="12"/>
    <n v="4.068680838476329E-3"/>
  </r>
  <r>
    <x v="13"/>
    <x v="0"/>
    <n v="6448"/>
    <n v="928"/>
    <x v="13"/>
    <n v="30.118586640851881"/>
    <x v="13"/>
    <n v="1.3915779283639884E-2"/>
  </r>
  <r>
    <x v="14"/>
    <x v="0"/>
    <n v="7907"/>
    <n v="465"/>
    <x v="14"/>
    <n v="33.257448118038738"/>
    <x v="14"/>
    <n v="1.76848989213685E-2"/>
  </r>
  <r>
    <x v="15"/>
    <x v="3"/>
    <n v="7928"/>
    <n v="704"/>
    <x v="15"/>
    <n v="11.194362999670229"/>
    <x v="15"/>
    <n v="1.6205702953772022E-2"/>
  </r>
  <r>
    <x v="16"/>
    <x v="0"/>
    <n v="1419"/>
    <n v="110"/>
    <x v="16"/>
    <n v="31.554451487636339"/>
    <x v="16"/>
    <n v="2.8751158612388694E-3"/>
  </r>
  <r>
    <x v="17"/>
    <x v="0"/>
    <n v="8870"/>
    <n v="509"/>
    <x v="17"/>
    <n v="25.077864756828781"/>
    <x v="17"/>
    <n v="1.7407145236508995E-2"/>
  </r>
  <r>
    <x v="18"/>
    <x v="2"/>
    <n v="2549"/>
    <n v="128"/>
    <x v="18"/>
    <n v="12.734216154573531"/>
    <x v="18"/>
    <n v="4.9126039438814641E-3"/>
  </r>
  <r>
    <x v="19"/>
    <x v="1"/>
    <n v="8898"/>
    <n v="1131"/>
    <x v="19"/>
    <n v="2.1877429775253669"/>
    <x v="19"/>
    <n v="1.5060001512398761E-2"/>
  </r>
  <r>
    <x v="20"/>
    <x v="0"/>
    <n v="8758"/>
    <n v="1193"/>
    <x v="20"/>
    <n v="3.4213758985797149"/>
    <x v="20"/>
    <n v="1.4037698596786824E-2"/>
  </r>
  <r>
    <x v="21"/>
    <x v="3"/>
    <n v="7007"/>
    <n v="568"/>
    <x v="21"/>
    <n v="11.50507059442103"/>
    <x v="21"/>
    <n v="1.1322891443382905E-2"/>
  </r>
  <r>
    <x v="22"/>
    <x v="1"/>
    <n v="8380"/>
    <n v="1162"/>
    <x v="22"/>
    <n v="18.05853488496809"/>
    <x v="22"/>
    <n v="1.2096449831072022E-2"/>
  </r>
  <r>
    <x v="23"/>
    <x v="1"/>
    <n v="1163"/>
    <n v="146"/>
    <x v="23"/>
    <n v="21.77776899411715"/>
    <x v="23"/>
    <n v="1.6749342872388782E-3"/>
  </r>
  <r>
    <x v="24"/>
    <x v="0"/>
    <n v="5798"/>
    <n v="592"/>
    <x v="24"/>
    <n v="1.6774727155188811"/>
    <x v="24"/>
    <n v="8.2487229214992831E-3"/>
  </r>
  <r>
    <x v="25"/>
    <x v="0"/>
    <n v="8961"/>
    <n v="476"/>
    <x v="25"/>
    <n v="15.458517947974901"/>
    <x v="25"/>
    <n v="1.2941454598143812E-2"/>
  </r>
  <r>
    <x v="26"/>
    <x v="0"/>
    <n v="1593"/>
    <n v="224"/>
    <x v="26"/>
    <n v="4.1495730660972248"/>
    <x v="26"/>
    <n v="2.0216966893793729E-3"/>
  </r>
  <r>
    <x v="27"/>
    <x v="1"/>
    <n v="7164"/>
    <n v="522"/>
    <x v="27"/>
    <n v="13.449169969047761"/>
    <x v="27"/>
    <n v="9.4783213011072308E-3"/>
  </r>
  <r>
    <x v="28"/>
    <x v="0"/>
    <n v="4191"/>
    <n v="599"/>
    <x v="28"/>
    <n v="11.56416728213479"/>
    <x v="28"/>
    <n v="5.033992059410076E-3"/>
  </r>
  <r>
    <x v="29"/>
    <x v="2"/>
    <n v="1571"/>
    <n v="204"/>
    <x v="29"/>
    <n v="19.449384891535139"/>
    <x v="29"/>
    <n v="1.8702252479040344E-3"/>
  </r>
  <r>
    <x v="30"/>
    <x v="2"/>
    <n v="9433"/>
    <n v="1233"/>
    <x v="30"/>
    <n v="11.391727789638329"/>
    <x v="30"/>
    <n v="1.0833033883616226E-2"/>
  </r>
  <r>
    <x v="31"/>
    <x v="2"/>
    <n v="9980"/>
    <n v="726"/>
    <x v="31"/>
    <n v="4.0220344099003924"/>
    <x v="31"/>
    <n v="1.1835757442432739E-2"/>
  </r>
  <r>
    <x v="32"/>
    <x v="2"/>
    <n v="7869"/>
    <n v="398"/>
    <x v="32"/>
    <n v="15.211945357818079"/>
    <x v="32"/>
    <n v="9.2561160241940079E-3"/>
  </r>
  <r>
    <x v="33"/>
    <x v="1"/>
    <n v="9080"/>
    <n v="562"/>
    <x v="33"/>
    <n v="7.1083748727213809"/>
    <x v="33"/>
    <n v="1.0300800797169276E-2"/>
  </r>
  <r>
    <x v="34"/>
    <x v="2"/>
    <n v="8083"/>
    <n v="823"/>
    <x v="34"/>
    <n v="4.6300017457998282"/>
    <x v="34"/>
    <n v="8.5063803711172073E-3"/>
  </r>
  <r>
    <x v="35"/>
    <x v="3"/>
    <n v="4456"/>
    <n v="651"/>
    <x v="35"/>
    <n v="9.5052903929580594"/>
    <x v="35"/>
    <n v="4.3599621410908961E-3"/>
  </r>
  <r>
    <x v="36"/>
    <x v="2"/>
    <n v="3711"/>
    <n v="291"/>
    <x v="36"/>
    <n v="14.24879726306582"/>
    <x v="36"/>
    <n v="3.7963639269943676E-3"/>
  </r>
  <r>
    <x v="37"/>
    <x v="1"/>
    <n v="1365"/>
    <n v="75"/>
    <x v="37"/>
    <n v="9.2688963078737441"/>
    <x v="37"/>
    <n v="1.4138938637006315E-3"/>
  </r>
  <r>
    <x v="38"/>
    <x v="0"/>
    <n v="9754"/>
    <n v="629"/>
    <x v="38"/>
    <n v="3.4123325814333292"/>
    <x v="38"/>
    <n v="9.7274398018054129E-3"/>
  </r>
  <r>
    <x v="39"/>
    <x v="3"/>
    <n v="7511"/>
    <n v="880"/>
    <x v="39"/>
    <n v="4.6083932009689246"/>
    <x v="39"/>
    <n v="6.8642471170369144E-3"/>
  </r>
  <r>
    <x v="40"/>
    <x v="1"/>
    <n v="9551"/>
    <n v="828"/>
    <x v="40"/>
    <n v="1.525036393488727"/>
    <x v="40"/>
    <n v="8.8244726105487E-3"/>
  </r>
  <r>
    <x v="41"/>
    <x v="2"/>
    <n v="7979"/>
    <n v="470"/>
    <x v="41"/>
    <n v="10.43086517280971"/>
    <x v="41"/>
    <n v="7.4709430162750948E-3"/>
  </r>
  <r>
    <x v="42"/>
    <x v="2"/>
    <n v="9561"/>
    <n v="517"/>
    <x v="42"/>
    <n v="6.4086467971263694"/>
    <x v="42"/>
    <n v="8.741128633961856E-3"/>
  </r>
  <r>
    <x v="43"/>
    <x v="1"/>
    <n v="6978"/>
    <n v="706"/>
    <x v="43"/>
    <n v="5.057443868445171"/>
    <x v="43"/>
    <n v="5.9321304501212058E-3"/>
  </r>
  <r>
    <x v="44"/>
    <x v="3"/>
    <n v="7303"/>
    <n v="869"/>
    <x v="44"/>
    <n v="8.1237966902808925"/>
    <x v="44"/>
    <n v="5.9958139266151145E-3"/>
  </r>
  <r>
    <x v="45"/>
    <x v="2"/>
    <n v="8569"/>
    <n v="720"/>
    <x v="45"/>
    <n v="9.589697749395782"/>
    <x v="45"/>
    <n v="7.1666162961312686E-3"/>
  </r>
  <r>
    <x v="46"/>
    <x v="0"/>
    <n v="5941"/>
    <n v="450"/>
    <x v="46"/>
    <n v="12.414411899944"/>
    <x v="46"/>
    <n v="4.9120904876665469E-3"/>
  </r>
  <r>
    <x v="47"/>
    <x v="2"/>
    <n v="1685"/>
    <n v="173"/>
    <x v="47"/>
    <n v="8.7776256772995165"/>
    <x v="47"/>
    <n v="1.331050358952238E-3"/>
  </r>
  <r>
    <x v="48"/>
    <x v="2"/>
    <n v="1038"/>
    <n v="145"/>
    <x v="48"/>
    <n v="11.093752033137431"/>
    <x v="48"/>
    <n v="7.7465246904209403E-4"/>
  </r>
  <r>
    <x v="49"/>
    <x v="0"/>
    <n v="3196"/>
    <n v="391"/>
    <x v="49"/>
    <n v="7.2439221876024931"/>
    <x v="49"/>
    <n v="2.3957650049196456E-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7">
  <r>
    <s v="A1"/>
    <s v="YouTube"/>
    <d v="2024-12-23T00:00:00"/>
    <s v="Image"/>
    <n v="24516"/>
    <n v="976"/>
    <n v="974"/>
    <n v="2675"/>
    <n v="23275"/>
    <n v="202932"/>
    <s v="Apple Watch Ultra 2 Launch"/>
    <n v="0.13041807107799658"/>
    <x v="0"/>
  </r>
  <r>
    <s v="A1"/>
    <s v="YouTube"/>
    <d v="2024-12-23T00:00:00"/>
    <s v="Image"/>
    <n v="24516"/>
    <n v="976"/>
    <n v="974"/>
    <n v="2675"/>
    <n v="23275"/>
    <n v="202932"/>
    <s v="Apple Watch Ultra 2 Launch"/>
    <n v="0.13041807107799658"/>
    <x v="1"/>
  </r>
  <r>
    <s v="A2"/>
    <s v="LinkedIn"/>
    <d v="2025-09-03T00:00:00"/>
    <s v="Image"/>
    <n v="4779"/>
    <n v="1110"/>
    <n v="436"/>
    <n v="1574"/>
    <n v="77167"/>
    <n v="71585"/>
    <s v="Apple Event September 2025"/>
    <n v="8.8356499266606131E-2"/>
    <x v="2"/>
  </r>
  <r>
    <s v="A2"/>
    <s v="LinkedIn"/>
    <d v="2025-09-03T00:00:00"/>
    <s v="Image"/>
    <n v="4779"/>
    <n v="1110"/>
    <n v="436"/>
    <n v="1574"/>
    <n v="77167"/>
    <n v="71585"/>
    <s v="Apple Event September 2025"/>
    <n v="8.8356499266606131E-2"/>
    <x v="3"/>
  </r>
  <r>
    <s v="A3"/>
    <s v="Instagram"/>
    <d v="2025-05-12T00:00:00"/>
    <s v="Tweet"/>
    <n v="19308"/>
    <n v="1318"/>
    <n v="795"/>
    <n v="1499"/>
    <n v="52307"/>
    <n v="193087"/>
    <s v="Sustainability Awareness Drive"/>
    <n v="0.11093962825047776"/>
    <x v="4"/>
  </r>
  <r>
    <s v="A3"/>
    <s v="Instagram"/>
    <d v="2025-05-12T00:00:00"/>
    <s v="Tweet"/>
    <n v="19308"/>
    <n v="1318"/>
    <n v="795"/>
    <n v="1499"/>
    <n v="52307"/>
    <n v="193087"/>
    <s v="Sustainability Awareness Drive"/>
    <n v="0.11093962825047776"/>
    <x v="5"/>
  </r>
  <r>
    <s v="A4"/>
    <s v="YouTube"/>
    <d v="2024-08-12T00:00:00"/>
    <s v="Video"/>
    <n v="3581"/>
    <n v="517"/>
    <n v="880"/>
    <n v="1925"/>
    <n v="18636"/>
    <n v="248611"/>
    <s v="iPhone 16 Launch"/>
    <n v="2.0023249172401864E-2"/>
    <x v="6"/>
  </r>
  <r>
    <s v="A4"/>
    <s v="YouTube"/>
    <d v="2024-08-12T00:00:00"/>
    <s v="Video"/>
    <n v="3581"/>
    <n v="517"/>
    <n v="880"/>
    <n v="1925"/>
    <n v="18636"/>
    <n v="248611"/>
    <s v="iPhone 16 Launch"/>
    <n v="2.0023249172401864E-2"/>
    <x v="7"/>
  </r>
  <r>
    <s v="A5"/>
    <s v="YouTube"/>
    <d v="2025-09-04T00:00:00"/>
    <s v="Video"/>
    <n v="21708"/>
    <n v="435"/>
    <n v="317"/>
    <n v="1213"/>
    <n v="70701"/>
    <n v="83585"/>
    <s v="Apple Event September 2025"/>
    <n v="0.26870850032900639"/>
    <x v="0"/>
  </r>
  <r>
    <s v="A5"/>
    <s v="YouTube"/>
    <d v="2025-09-04T00:00:00"/>
    <s v="Video"/>
    <n v="21708"/>
    <n v="435"/>
    <n v="317"/>
    <n v="1213"/>
    <n v="70701"/>
    <n v="83585"/>
    <s v="Apple Event September 2025"/>
    <n v="0.26870850032900639"/>
    <x v="1"/>
  </r>
  <r>
    <s v="A6"/>
    <s v="LinkedIn"/>
    <d v="2025-09-05T00:00:00"/>
    <s v="Image"/>
    <n v="14677"/>
    <n v="533"/>
    <n v="759"/>
    <n v="753"/>
    <n v="23275"/>
    <n v="66958"/>
    <s v="Apple Event September 2025"/>
    <n v="0.23849278652289496"/>
    <x v="8"/>
  </r>
  <r>
    <s v="A7"/>
    <s v="Instagram"/>
    <d v="2024-06-24T00:00:00"/>
    <s v="Carousel"/>
    <n v="7713"/>
    <n v="575"/>
    <n v="417"/>
    <n v="336"/>
    <n v="61660"/>
    <n v="66017"/>
    <s v="iPhone 16 Launch"/>
    <n v="0.13185997546086614"/>
    <x v="9"/>
  </r>
  <r>
    <s v="A7"/>
    <s v="Instagram"/>
    <d v="2024-06-24T00:00:00"/>
    <s v="Carousel"/>
    <n v="7713"/>
    <n v="575"/>
    <n v="417"/>
    <n v="336"/>
    <n v="61660"/>
    <n v="66017"/>
    <s v="iPhone 16 Launch"/>
    <n v="0.13185997546086614"/>
    <x v="10"/>
  </r>
  <r>
    <s v="A8"/>
    <s v="Instagram"/>
    <d v="2024-07-13T00:00:00"/>
    <s v="Video"/>
    <n v="18639"/>
    <n v="1360"/>
    <n v="898"/>
    <n v="2011"/>
    <n v="42841"/>
    <n v="247779"/>
    <s v="iPhone 16 Launch"/>
    <n v="8.4337252148083575E-2"/>
    <x v="11"/>
  </r>
  <r>
    <s v="A8"/>
    <s v="Instagram"/>
    <d v="2024-07-13T00:00:00"/>
    <s v="Video"/>
    <n v="18639"/>
    <n v="1360"/>
    <n v="898"/>
    <n v="2011"/>
    <n v="42841"/>
    <n v="247779"/>
    <s v="iPhone 16 Launch"/>
    <n v="8.4337252148083575E-2"/>
    <x v="12"/>
  </r>
  <r>
    <s v="A9"/>
    <s v="YouTube"/>
    <d v="2024-08-30T00:00:00"/>
    <s v="Carousel"/>
    <n v="6804"/>
    <n v="787"/>
    <n v="970"/>
    <n v="1095"/>
    <n v="56343"/>
    <n v="164677"/>
    <s v="Apple Watch Ultra 2 Launch"/>
    <n v="5.1986616224487935E-2"/>
    <x v="2"/>
  </r>
  <r>
    <s v="A9"/>
    <s v="YouTube"/>
    <d v="2024-08-30T00:00:00"/>
    <s v="Carousel"/>
    <n v="6804"/>
    <n v="787"/>
    <n v="970"/>
    <n v="1095"/>
    <n v="56343"/>
    <n v="164677"/>
    <s v="Apple Watch Ultra 2 Launch"/>
    <n v="5.1986616224487935E-2"/>
    <x v="3"/>
  </r>
  <r>
    <s v="A10"/>
    <s v="Twitter"/>
    <d v="2025-03-11T00:00:00"/>
    <s v="Video"/>
    <n v="20222"/>
    <n v="712"/>
    <n v="604"/>
    <n v="1272"/>
    <n v="71598"/>
    <n v="216422"/>
    <s v="Sustainability Awareness Drive"/>
    <n v="9.9518533235992648E-2"/>
    <x v="13"/>
  </r>
  <r>
    <s v="A10"/>
    <s v="Twitter"/>
    <d v="2025-03-11T00:00:00"/>
    <s v="Video"/>
    <n v="20222"/>
    <n v="712"/>
    <n v="604"/>
    <n v="1272"/>
    <n v="71598"/>
    <n v="216422"/>
    <s v="Sustainability Awareness Drive"/>
    <n v="9.9518533235992648E-2"/>
    <x v="6"/>
  </r>
  <r>
    <s v="A11"/>
    <s v="YouTube"/>
    <d v="2025-02-02T00:00:00"/>
    <s v="Carousel"/>
    <n v="12136"/>
    <n v="1117"/>
    <n v="834"/>
    <n v="892"/>
    <n v="24675"/>
    <n v="183273"/>
    <s v="Sustainability Awareness Drive"/>
    <n v="7.6863476889667326E-2"/>
    <x v="6"/>
  </r>
  <r>
    <s v="A11"/>
    <s v="YouTube"/>
    <d v="2025-02-02T00:00:00"/>
    <s v="Carousel"/>
    <n v="12136"/>
    <n v="1117"/>
    <n v="834"/>
    <n v="892"/>
    <n v="24675"/>
    <n v="183273"/>
    <s v="Sustainability Awareness Drive"/>
    <n v="7.6863476889667326E-2"/>
    <x v="7"/>
  </r>
  <r>
    <s v="A12"/>
    <s v="YouTube"/>
    <d v="2024-07-21T00:00:00"/>
    <s v="Tweet"/>
    <n v="2009"/>
    <n v="1072"/>
    <n v="550"/>
    <n v="1437"/>
    <n v="22982"/>
    <n v="69426"/>
    <s v="iPhone 16 Launch"/>
    <n v="5.2300290957278256E-2"/>
    <x v="2"/>
  </r>
  <r>
    <s v="A12"/>
    <s v="YouTube"/>
    <d v="2024-07-21T00:00:00"/>
    <s v="Tweet"/>
    <n v="2009"/>
    <n v="1072"/>
    <n v="550"/>
    <n v="1437"/>
    <n v="22982"/>
    <n v="69426"/>
    <s v="iPhone 16 Launch"/>
    <n v="5.2300290957278256E-2"/>
    <x v="3"/>
  </r>
  <r>
    <s v="A13"/>
    <s v="YouTube"/>
    <d v="2024-11-18T00:00:00"/>
    <s v="Carousel"/>
    <n v="21255"/>
    <n v="1452"/>
    <n v="625"/>
    <n v="1624"/>
    <n v="21282"/>
    <n v="57778"/>
    <s v="MacBook Air M3 Campaign"/>
    <n v="0.40382152376337016"/>
    <x v="9"/>
  </r>
  <r>
    <s v="A13"/>
    <s v="YouTube"/>
    <d v="2024-11-18T00:00:00"/>
    <s v="Carousel"/>
    <n v="21255"/>
    <n v="1452"/>
    <n v="625"/>
    <n v="1624"/>
    <n v="21282"/>
    <n v="57778"/>
    <s v="MacBook Air M3 Campaign"/>
    <n v="0.40382152376337016"/>
    <x v="10"/>
  </r>
  <r>
    <s v="A14"/>
    <s v="YouTube"/>
    <d v="2025-09-06T00:00:00"/>
    <s v="Tweet"/>
    <n v="7124"/>
    <n v="469"/>
    <n v="851"/>
    <n v="2571"/>
    <n v="33802"/>
    <n v="216313"/>
    <s v="Apple Event September 2025"/>
    <n v="3.9036026498638549E-2"/>
    <x v="11"/>
  </r>
  <r>
    <s v="A14"/>
    <s v="YouTube"/>
    <d v="2025-09-06T00:00:00"/>
    <s v="Tweet"/>
    <n v="7124"/>
    <n v="469"/>
    <n v="851"/>
    <n v="2571"/>
    <n v="33802"/>
    <n v="216313"/>
    <s v="Apple Event September 2025"/>
    <n v="3.9036026498638549E-2"/>
    <x v="12"/>
  </r>
  <r>
    <s v="A15"/>
    <s v="LinkedIn"/>
    <d v="2025-09-07T00:00:00"/>
    <s v="Tweet"/>
    <n v="3015"/>
    <n v="997"/>
    <n v="783"/>
    <n v="617"/>
    <n v="77167"/>
    <n v="82229"/>
    <s v="Apple Event September 2025"/>
    <n v="5.8312760704860814E-2"/>
    <x v="4"/>
  </r>
  <r>
    <s v="A15"/>
    <s v="LinkedIn"/>
    <d v="2025-09-07T00:00:00"/>
    <s v="Tweet"/>
    <n v="3015"/>
    <n v="997"/>
    <n v="783"/>
    <n v="617"/>
    <n v="77167"/>
    <n v="82229"/>
    <s v="Apple Event September 2025"/>
    <n v="5.8312760704860814E-2"/>
    <x v="5"/>
  </r>
  <r>
    <s v="A16"/>
    <s v="Instagram"/>
    <d v="2024-08-26T00:00:00"/>
    <s v="Carousel"/>
    <n v="4193"/>
    <n v="924"/>
    <n v="707"/>
    <n v="2696"/>
    <n v="55075"/>
    <n v="126652"/>
    <s v="iPhone 16 Launch"/>
    <n v="4.5984271863057827E-2"/>
    <x v="11"/>
  </r>
  <r>
    <s v="A16"/>
    <s v="Instagram"/>
    <d v="2024-08-26T00:00:00"/>
    <s v="Carousel"/>
    <n v="4193"/>
    <n v="924"/>
    <n v="707"/>
    <n v="2696"/>
    <n v="55075"/>
    <n v="126652"/>
    <s v="iPhone 16 Launch"/>
    <n v="4.5984271863057827E-2"/>
    <x v="12"/>
  </r>
  <r>
    <s v="A17"/>
    <s v="LinkedIn"/>
    <d v="2025-05-05T00:00:00"/>
    <s v="Tweet"/>
    <n v="10415"/>
    <n v="1388"/>
    <n v="725"/>
    <n v="2462"/>
    <n v="53082"/>
    <n v="168267"/>
    <s v="MacBook Air M3 Campaign"/>
    <n v="7.4453101321114656E-2"/>
    <x v="6"/>
  </r>
  <r>
    <s v="A17"/>
    <s v="LinkedIn"/>
    <d v="2025-05-05T00:00:00"/>
    <s v="Tweet"/>
    <n v="10415"/>
    <n v="1388"/>
    <n v="725"/>
    <n v="2462"/>
    <n v="53082"/>
    <n v="168267"/>
    <s v="MacBook Air M3 Campaign"/>
    <n v="7.4453101321114656E-2"/>
    <x v="14"/>
  </r>
  <r>
    <s v="A18"/>
    <s v="LinkedIn"/>
    <d v="2024-08-19T00:00:00"/>
    <s v="Image"/>
    <n v="15550"/>
    <n v="204"/>
    <n v="279"/>
    <n v="1646"/>
    <n v="35819"/>
    <n v="219436"/>
    <s v="Apple Watch Ultra 2 Launch"/>
    <n v="7.306458375107093E-2"/>
    <x v="11"/>
  </r>
  <r>
    <s v="A18"/>
    <s v="LinkedIn"/>
    <d v="2024-08-19T00:00:00"/>
    <s v="Image"/>
    <n v="15550"/>
    <n v="204"/>
    <n v="279"/>
    <n v="1646"/>
    <n v="35819"/>
    <n v="219436"/>
    <s v="Apple Watch Ultra 2 Launch"/>
    <n v="7.306458375107093E-2"/>
    <x v="12"/>
  </r>
  <r>
    <s v="A19"/>
    <s v="LinkedIn"/>
    <d v="2024-06-23T00:00:00"/>
    <s v="Tweet"/>
    <n v="16512"/>
    <n v="1050"/>
    <n v="971"/>
    <n v="1891"/>
    <n v="15865"/>
    <n v="166503"/>
    <s v="iPhone 16 Launch"/>
    <n v="0.1113073037723044"/>
    <x v="6"/>
  </r>
  <r>
    <s v="A19"/>
    <s v="LinkedIn"/>
    <d v="2024-06-23T00:00:00"/>
    <s v="Tweet"/>
    <n v="16512"/>
    <n v="1050"/>
    <n v="971"/>
    <n v="1891"/>
    <n v="15865"/>
    <n v="166503"/>
    <s v="iPhone 16 Launch"/>
    <n v="0.1113073037723044"/>
    <x v="14"/>
  </r>
  <r>
    <s v="A20"/>
    <s v="YouTube"/>
    <d v="2024-09-09T00:00:00"/>
    <s v="Video"/>
    <n v="6158"/>
    <n v="277"/>
    <n v="512"/>
    <n v="2189"/>
    <n v="76881"/>
    <n v="124878"/>
    <s v="iPhone 16 Launch"/>
    <n v="5.563029516808405E-2"/>
    <x v="4"/>
  </r>
  <r>
    <s v="A20"/>
    <s v="YouTube"/>
    <d v="2024-09-09T00:00:00"/>
    <s v="Video"/>
    <n v="6158"/>
    <n v="277"/>
    <n v="512"/>
    <n v="2189"/>
    <n v="76881"/>
    <n v="124878"/>
    <s v="iPhone 16 Launch"/>
    <n v="5.563029516808405E-2"/>
    <x v="5"/>
  </r>
  <r>
    <s v="A21"/>
    <s v="Twitter"/>
    <d v="2025-09-08T00:00:00"/>
    <s v="Carousel"/>
    <n v="22309"/>
    <n v="773"/>
    <n v="854"/>
    <n v="2387"/>
    <n v="72396"/>
    <n v="97056"/>
    <s v="Apple Event September 2025"/>
    <n v="0.24662050774810418"/>
    <x v="15"/>
  </r>
  <r>
    <s v="A21"/>
    <s v="Twitter"/>
    <d v="2025-09-08T00:00:00"/>
    <s v="Carousel"/>
    <n v="22309"/>
    <n v="773"/>
    <n v="854"/>
    <n v="2387"/>
    <n v="72396"/>
    <n v="97056"/>
    <s v="Apple Event September 2025"/>
    <n v="0.24662050774810418"/>
    <x v="8"/>
  </r>
  <r>
    <s v="A22"/>
    <s v="Instagram"/>
    <d v="2025-02-27T00:00:00"/>
    <s v="Image"/>
    <n v="8970"/>
    <n v="331"/>
    <n v="968"/>
    <n v="2296"/>
    <n v="24613"/>
    <n v="198562"/>
    <s v="iPhone 16 Launch"/>
    <n v="5.1716844109144754E-2"/>
    <x v="9"/>
  </r>
  <r>
    <s v="A22"/>
    <s v="Instagram"/>
    <d v="2025-02-27T00:00:00"/>
    <s v="Image"/>
    <n v="8970"/>
    <n v="331"/>
    <n v="968"/>
    <n v="2296"/>
    <n v="24613"/>
    <n v="198562"/>
    <s v="iPhone 16 Launch"/>
    <n v="5.1716844109144754E-2"/>
    <x v="10"/>
  </r>
  <r>
    <s v="A23"/>
    <s v="Twitter"/>
    <d v="2024-11-06T00:00:00"/>
    <s v="Carousel"/>
    <n v="8938"/>
    <n v="800"/>
    <n v="842"/>
    <n v="2072"/>
    <n v="31736"/>
    <n v="59975"/>
    <s v="iPhone 16 Launch"/>
    <n v="0.17640683618174238"/>
    <x v="6"/>
  </r>
  <r>
    <s v="A23"/>
    <s v="Twitter"/>
    <d v="2024-11-06T00:00:00"/>
    <s v="Carousel"/>
    <n v="8938"/>
    <n v="800"/>
    <n v="842"/>
    <n v="2072"/>
    <n v="31736"/>
    <n v="59975"/>
    <s v="iPhone 16 Launch"/>
    <n v="0.17640683618174238"/>
    <x v="14"/>
  </r>
  <r>
    <s v="A24"/>
    <s v="LinkedIn"/>
    <d v="2025-01-23T00:00:00"/>
    <s v="Video"/>
    <n v="23168"/>
    <n v="1265"/>
    <n v="441"/>
    <n v="1612"/>
    <n v="66615"/>
    <n v="197795"/>
    <s v="iPhone 16 Launch"/>
    <n v="0.12575646502692181"/>
    <x v="13"/>
  </r>
  <r>
    <s v="A24"/>
    <s v="LinkedIn"/>
    <d v="2025-01-23T00:00:00"/>
    <s v="Video"/>
    <n v="23168"/>
    <n v="1265"/>
    <n v="441"/>
    <n v="1612"/>
    <n v="66615"/>
    <n v="197795"/>
    <s v="iPhone 16 Launch"/>
    <n v="0.12575646502692181"/>
    <x v="6"/>
  </r>
  <r>
    <s v="A25"/>
    <s v="LinkedIn"/>
    <d v="2025-09-09T00:00:00"/>
    <s v="Video"/>
    <n v="15772"/>
    <n v="288"/>
    <n v="520"/>
    <n v="1585"/>
    <n v="59182"/>
    <n v="194351"/>
    <s v="Apple Event September 2025"/>
    <n v="8.5309568769905988E-2"/>
    <x v="11"/>
  </r>
  <r>
    <s v="A25"/>
    <s v="LinkedIn"/>
    <d v="2025-09-09T00:00:00"/>
    <s v="Video"/>
    <n v="15772"/>
    <n v="288"/>
    <n v="520"/>
    <n v="1585"/>
    <n v="59182"/>
    <n v="194351"/>
    <s v="Apple Event September 2025"/>
    <n v="8.5309568769905988E-2"/>
    <x v="12"/>
  </r>
  <r>
    <s v="A26"/>
    <s v="Twitter"/>
    <d v="2025-04-05T00:00:00"/>
    <s v="Video"/>
    <n v="22384"/>
    <n v="601"/>
    <n v="943"/>
    <n v="515"/>
    <n v="41309"/>
    <n v="249373"/>
    <s v="Apple Watch Ultra 2 Launch"/>
    <n v="9.5952649244304716E-2"/>
    <x v="11"/>
  </r>
  <r>
    <s v="A26"/>
    <s v="Twitter"/>
    <d v="2025-04-05T00:00:00"/>
    <s v="Video"/>
    <n v="22384"/>
    <n v="601"/>
    <n v="943"/>
    <n v="515"/>
    <n v="41309"/>
    <n v="249373"/>
    <s v="Apple Watch Ultra 2 Launch"/>
    <n v="9.5952649244304716E-2"/>
    <x v="12"/>
  </r>
  <r>
    <s v="A27"/>
    <s v="Twitter"/>
    <d v="2024-09-17T00:00:00"/>
    <s v="Tweet"/>
    <n v="20017"/>
    <n v="495"/>
    <n v="178"/>
    <n v="2683"/>
    <n v="32244"/>
    <n v="182633"/>
    <s v="Apple Watch Ultra 2 Launch"/>
    <n v="0.11328730295182141"/>
    <x v="13"/>
  </r>
  <r>
    <s v="A27"/>
    <s v="Twitter"/>
    <d v="2024-09-17T00:00:00"/>
    <s v="Tweet"/>
    <n v="20017"/>
    <n v="495"/>
    <n v="178"/>
    <n v="2683"/>
    <n v="32244"/>
    <n v="182633"/>
    <s v="Apple Watch Ultra 2 Launch"/>
    <n v="0.11328730295182141"/>
    <x v="6"/>
  </r>
  <r>
    <s v="A28"/>
    <s v="Twitter"/>
    <d v="2025-03-04T00:00:00"/>
    <s v="Tweet"/>
    <n v="12344"/>
    <n v="815"/>
    <n v="298"/>
    <n v="2439"/>
    <n v="6259"/>
    <n v="237133"/>
    <s v="iPhone 16 Launch"/>
    <n v="5.6748744375519224E-2"/>
    <x v="8"/>
  </r>
  <r>
    <s v="A29"/>
    <s v="LinkedIn"/>
    <d v="2025-09-10T00:00:00"/>
    <s v="Carousel"/>
    <n v="9266"/>
    <n v="999"/>
    <n v="928"/>
    <n v="2700"/>
    <n v="12264"/>
    <n v="128397"/>
    <s v="Apple Event September 2025"/>
    <n v="8.7174933993784898E-2"/>
    <x v="16"/>
  </r>
  <r>
    <s v="A30"/>
    <s v="LinkedIn"/>
    <d v="2025-02-25T00:00:00"/>
    <s v="Carousel"/>
    <n v="10702"/>
    <n v="621"/>
    <n v="445"/>
    <n v="2918"/>
    <n v="54808"/>
    <n v="220225"/>
    <s v="Apple Watch Ultra 2 Launch"/>
    <n v="5.3436258372119426E-2"/>
    <x v="15"/>
  </r>
  <r>
    <s v="A30"/>
    <s v="LinkedIn"/>
    <d v="2025-02-25T00:00:00"/>
    <s v="Carousel"/>
    <n v="10702"/>
    <n v="621"/>
    <n v="445"/>
    <n v="2918"/>
    <n v="54808"/>
    <n v="220225"/>
    <s v="Apple Watch Ultra 2 Launch"/>
    <n v="5.3436258372119426E-2"/>
    <x v="8"/>
  </r>
  <r>
    <s v="A31"/>
    <s v="Instagram"/>
    <d v="2024-12-16T00:00:00"/>
    <s v="Image"/>
    <n v="2384"/>
    <n v="1246"/>
    <n v="160"/>
    <n v="2004"/>
    <n v="2701"/>
    <n v="73142"/>
    <s v="Apple Watch Ultra 2 Launch"/>
    <n v="5.1817013480626728E-2"/>
    <x v="6"/>
  </r>
  <r>
    <s v="A31"/>
    <s v="Instagram"/>
    <d v="2024-12-16T00:00:00"/>
    <s v="Image"/>
    <n v="2384"/>
    <n v="1246"/>
    <n v="160"/>
    <n v="2004"/>
    <n v="2701"/>
    <n v="73142"/>
    <s v="Apple Watch Ultra 2 Launch"/>
    <n v="5.1817013480626728E-2"/>
    <x v="7"/>
  </r>
  <r>
    <s v="A32"/>
    <s v="Instagram"/>
    <d v="2024-07-31T00:00:00"/>
    <s v="Image"/>
    <n v="2404"/>
    <n v="774"/>
    <n v="661"/>
    <n v="662"/>
    <n v="12676"/>
    <n v="66916"/>
    <s v="Apple Watch Ultra 2 Launch"/>
    <n v="5.7370434574690654E-2"/>
    <x v="6"/>
  </r>
  <r>
    <s v="A32"/>
    <s v="Instagram"/>
    <d v="2024-07-31T00:00:00"/>
    <s v="Image"/>
    <n v="2404"/>
    <n v="774"/>
    <n v="661"/>
    <n v="662"/>
    <n v="12676"/>
    <n v="66916"/>
    <s v="Apple Watch Ultra 2 Launch"/>
    <n v="5.7370434574690654E-2"/>
    <x v="14"/>
  </r>
  <r>
    <s v="A33"/>
    <s v="LinkedIn"/>
    <d v="2025-09-11T00:00:00"/>
    <s v="Carousel"/>
    <n v="10175"/>
    <n v="342"/>
    <n v="825"/>
    <n v="2904"/>
    <n v="15954"/>
    <n v="104324"/>
    <s v="Apple Event September 2025"/>
    <n v="0.10871899083624094"/>
    <x v="13"/>
  </r>
  <r>
    <s v="A33"/>
    <s v="LinkedIn"/>
    <d v="2025-09-11T00:00:00"/>
    <s v="Carousel"/>
    <n v="10175"/>
    <n v="342"/>
    <n v="825"/>
    <n v="2904"/>
    <n v="15954"/>
    <n v="104324"/>
    <s v="Apple Event September 2025"/>
    <n v="0.10871899083624094"/>
    <x v="6"/>
  </r>
  <r>
    <s v="A34"/>
    <s v="Twitter"/>
    <d v="2025-09-12T00:00:00"/>
    <s v="Tweet"/>
    <n v="17158"/>
    <n v="1192"/>
    <n v="262"/>
    <n v="2016"/>
    <n v="28771"/>
    <n v="216037"/>
    <s v="Apple Event September 2025"/>
    <n v="8.6151909163708074E-2"/>
    <x v="4"/>
  </r>
  <r>
    <s v="A34"/>
    <s v="Twitter"/>
    <d v="2025-09-12T00:00:00"/>
    <s v="Tweet"/>
    <n v="17158"/>
    <n v="1192"/>
    <n v="262"/>
    <n v="2016"/>
    <n v="28771"/>
    <n v="216037"/>
    <s v="Apple Event September 2025"/>
    <n v="8.6151909163708074E-2"/>
    <x v="5"/>
  </r>
  <r>
    <s v="A35"/>
    <s v="Twitter"/>
    <d v="2024-11-30T00:00:00"/>
    <s v="Video"/>
    <n v="14763"/>
    <n v="864"/>
    <n v="336"/>
    <n v="1493"/>
    <n v="33310"/>
    <n v="165932"/>
    <s v="iPhone 16 Launch"/>
    <n v="9.6202058674637797E-2"/>
    <x v="6"/>
  </r>
  <r>
    <s v="A35"/>
    <s v="Twitter"/>
    <d v="2024-11-30T00:00:00"/>
    <s v="Video"/>
    <n v="14763"/>
    <n v="864"/>
    <n v="336"/>
    <n v="1493"/>
    <n v="33310"/>
    <n v="165932"/>
    <s v="iPhone 16 Launch"/>
    <n v="9.6202058674637797E-2"/>
    <x v="14"/>
  </r>
  <r>
    <s v="A36"/>
    <s v="Instagram"/>
    <d v="2025-04-19T00:00:00"/>
    <s v="Carousel"/>
    <n v="20384"/>
    <n v="344"/>
    <n v="956"/>
    <n v="655"/>
    <n v="67621"/>
    <n v="175720"/>
    <s v="Sustainability Awareness Drive"/>
    <n v="0.12340086501251991"/>
    <x v="16"/>
  </r>
  <r>
    <s v="A37"/>
    <s v="LinkedIn"/>
    <d v="2025-01-06T00:00:00"/>
    <s v="Image"/>
    <n v="11860"/>
    <n v="1448"/>
    <n v="893"/>
    <n v="490"/>
    <n v="23518"/>
    <n v="206205"/>
    <s v="Apple Watch Ultra 2 Launch"/>
    <n v="6.8868359157149436E-2"/>
    <x v="4"/>
  </r>
  <r>
    <s v="A37"/>
    <s v="LinkedIn"/>
    <d v="2025-01-06T00:00:00"/>
    <s v="Image"/>
    <n v="11860"/>
    <n v="1448"/>
    <n v="893"/>
    <n v="490"/>
    <n v="23518"/>
    <n v="206205"/>
    <s v="Apple Watch Ultra 2 Launch"/>
    <n v="6.8868359157149436E-2"/>
    <x v="5"/>
  </r>
  <r>
    <s v="A38"/>
    <s v="Instagram"/>
    <d v="2025-02-17T00:00:00"/>
    <s v="Tweet"/>
    <n v="7989"/>
    <n v="1206"/>
    <n v="376"/>
    <n v="2769"/>
    <n v="27550"/>
    <n v="221749"/>
    <s v="Sustainability Awareness Drive"/>
    <n v="4.3161412227338117E-2"/>
    <x v="2"/>
  </r>
  <r>
    <s v="A38"/>
    <s v="Instagram"/>
    <d v="2025-02-17T00:00:00"/>
    <s v="Tweet"/>
    <n v="7989"/>
    <n v="1206"/>
    <n v="376"/>
    <n v="2769"/>
    <n v="27550"/>
    <n v="221749"/>
    <s v="Sustainability Awareness Drive"/>
    <n v="4.3161412227338117E-2"/>
    <x v="3"/>
  </r>
  <r>
    <s v="A39"/>
    <s v="Instagram"/>
    <d v="2025-09-13T00:00:00"/>
    <s v="Carousel"/>
    <n v="17106"/>
    <n v="702"/>
    <n v="459"/>
    <n v="999"/>
    <n v="59627"/>
    <n v="136059"/>
    <s v="Apple Event September 2025"/>
    <n v="0.13425793222058077"/>
    <x v="9"/>
  </r>
  <r>
    <s v="A39"/>
    <s v="Instagram"/>
    <d v="2025-09-13T00:00:00"/>
    <s v="Carousel"/>
    <n v="17106"/>
    <n v="702"/>
    <n v="459"/>
    <n v="999"/>
    <n v="59627"/>
    <n v="136059"/>
    <s v="Apple Event September 2025"/>
    <n v="0.13425793222058077"/>
    <x v="10"/>
  </r>
  <r>
    <s v="A40"/>
    <s v="YouTube"/>
    <d v="2025-09-14T00:00:00"/>
    <s v="Carousel"/>
    <n v="19844"/>
    <n v="1020"/>
    <n v="247"/>
    <n v="2354"/>
    <n v="37792"/>
    <n v="138317"/>
    <s v="Apple Event September 2025"/>
    <n v="0.15262765965138053"/>
    <x v="11"/>
  </r>
  <r>
    <s v="A40"/>
    <s v="YouTube"/>
    <d v="2025-09-14T00:00:00"/>
    <s v="Carousel"/>
    <n v="19844"/>
    <n v="1020"/>
    <n v="247"/>
    <n v="2354"/>
    <n v="37792"/>
    <n v="138317"/>
    <s v="Apple Event September 2025"/>
    <n v="0.15262765965138053"/>
    <x v="12"/>
  </r>
  <r>
    <s v="A41"/>
    <s v="YouTube"/>
    <d v="2025-09-15T00:00:00"/>
    <s v="Tweet"/>
    <n v="5636"/>
    <n v="303"/>
    <n v="204"/>
    <n v="2480"/>
    <n v="7377"/>
    <n v="241207"/>
    <s v="Apple Event September 2025"/>
    <n v="2.5467751765081443E-2"/>
    <x v="2"/>
  </r>
  <r>
    <s v="A41"/>
    <s v="YouTube"/>
    <d v="2025-09-15T00:00:00"/>
    <s v="Tweet"/>
    <n v="5636"/>
    <n v="303"/>
    <n v="204"/>
    <n v="2480"/>
    <n v="7377"/>
    <n v="241207"/>
    <s v="Apple Event September 2025"/>
    <n v="2.5467751765081443E-2"/>
    <x v="3"/>
  </r>
  <r>
    <s v="A42"/>
    <s v="YouTube"/>
    <d v="2025-03-05T00:00:00"/>
    <s v="Carousel"/>
    <n v="12916"/>
    <n v="1262"/>
    <n v="772"/>
    <n v="856"/>
    <n v="11496"/>
    <n v="75046"/>
    <s v="Sustainability Awareness Drive"/>
    <n v="0.19921115049436347"/>
    <x v="6"/>
  </r>
  <r>
    <s v="A42"/>
    <s v="YouTube"/>
    <d v="2025-03-05T00:00:00"/>
    <s v="Carousel"/>
    <n v="12916"/>
    <n v="1262"/>
    <n v="772"/>
    <n v="856"/>
    <n v="11496"/>
    <n v="75046"/>
    <s v="Sustainability Awareness Drive"/>
    <n v="0.19921115049436347"/>
    <x v="14"/>
  </r>
  <r>
    <s v="A43"/>
    <s v="Twitter"/>
    <d v="2025-09-16T00:00:00"/>
    <s v="Tweet"/>
    <n v="6809"/>
    <n v="397"/>
    <n v="813"/>
    <n v="1125"/>
    <n v="12206"/>
    <n v="218136"/>
    <s v="Apple Event September 2025"/>
    <n v="3.6761469908680823E-2"/>
    <x v="16"/>
  </r>
  <r>
    <s v="A44"/>
    <s v="LinkedIn"/>
    <d v="2025-03-02T00:00:00"/>
    <s v="Video"/>
    <n v="22562"/>
    <n v="778"/>
    <n v="907"/>
    <n v="1354"/>
    <n v="34475"/>
    <n v="141459"/>
    <s v="iPhone 16 Launch"/>
    <n v="0.17140655596321194"/>
    <x v="15"/>
  </r>
  <r>
    <s v="A44"/>
    <s v="LinkedIn"/>
    <d v="2025-03-02T00:00:00"/>
    <s v="Video"/>
    <n v="22562"/>
    <n v="778"/>
    <n v="907"/>
    <n v="1354"/>
    <n v="34475"/>
    <n v="141459"/>
    <s v="iPhone 16 Launch"/>
    <n v="0.17140655596321194"/>
    <x v="8"/>
  </r>
  <r>
    <s v="A45"/>
    <s v="LinkedIn"/>
    <d v="2025-09-17T00:00:00"/>
    <s v="Tweet"/>
    <n v="15456"/>
    <n v="590"/>
    <n v="555"/>
    <n v="2882"/>
    <n v="49816"/>
    <n v="240422"/>
    <s v="Apple Event September 2025"/>
    <n v="6.9049421433978589E-2"/>
    <x v="9"/>
  </r>
  <r>
    <s v="A45"/>
    <s v="LinkedIn"/>
    <d v="2025-09-17T00:00:00"/>
    <s v="Tweet"/>
    <n v="15456"/>
    <n v="590"/>
    <n v="555"/>
    <n v="2882"/>
    <n v="49816"/>
    <n v="240422"/>
    <s v="Apple Event September 2025"/>
    <n v="6.9049421433978589E-2"/>
    <x v="10"/>
  </r>
  <r>
    <s v="A46"/>
    <s v="LinkedIn"/>
    <d v="2025-05-02T00:00:00"/>
    <s v="Tweet"/>
    <n v="17444"/>
    <n v="1402"/>
    <n v="218"/>
    <n v="725"/>
    <n v="8710"/>
    <n v="85893"/>
    <s v="MacBook Air M3 Campaign"/>
    <n v="0.22195056640238436"/>
    <x v="6"/>
  </r>
  <r>
    <s v="A46"/>
    <s v="LinkedIn"/>
    <d v="2025-05-02T00:00:00"/>
    <s v="Tweet"/>
    <n v="17444"/>
    <n v="1402"/>
    <n v="218"/>
    <n v="725"/>
    <n v="8710"/>
    <n v="85893"/>
    <s v="MacBook Air M3 Campaign"/>
    <n v="0.22195056640238436"/>
    <x v="14"/>
  </r>
  <r>
    <s v="A47"/>
    <s v="LinkedIn"/>
    <d v="2025-02-24T00:00:00"/>
    <s v="Tweet"/>
    <n v="24984"/>
    <n v="753"/>
    <n v="461"/>
    <n v="2710"/>
    <n v="20792"/>
    <n v="141520"/>
    <s v="Sustainability Awareness Drive"/>
    <n v="0.18511871113623515"/>
    <x v="13"/>
  </r>
  <r>
    <s v="A47"/>
    <s v="LinkedIn"/>
    <d v="2025-02-24T00:00:00"/>
    <s v="Tweet"/>
    <n v="24984"/>
    <n v="753"/>
    <n v="461"/>
    <n v="2710"/>
    <n v="20792"/>
    <n v="141520"/>
    <s v="Sustainability Awareness Drive"/>
    <n v="0.18511871113623515"/>
    <x v="6"/>
  </r>
  <r>
    <s v="A48"/>
    <s v="YouTube"/>
    <d v="2025-03-11T00:00:00"/>
    <s v="Carousel"/>
    <n v="7997"/>
    <n v="1238"/>
    <n v="438"/>
    <n v="1874"/>
    <n v="36272"/>
    <n v="165818"/>
    <s v="MacBook Air M3 Campaign"/>
    <n v="5.8335042034037318E-2"/>
    <x v="0"/>
  </r>
  <r>
    <s v="A48"/>
    <s v="YouTube"/>
    <d v="2025-03-11T00:00:00"/>
    <s v="Carousel"/>
    <n v="7997"/>
    <n v="1238"/>
    <n v="438"/>
    <n v="1874"/>
    <n v="36272"/>
    <n v="165818"/>
    <s v="MacBook Air M3 Campaign"/>
    <n v="5.8335042034037318E-2"/>
    <x v="1"/>
  </r>
  <r>
    <s v="A49"/>
    <s v="Twitter"/>
    <d v="2025-09-18T00:00:00"/>
    <s v="Carousel"/>
    <n v="4048"/>
    <n v="677"/>
    <n v="911"/>
    <n v="2429"/>
    <n v="27361"/>
    <n v="101272"/>
    <s v="Apple Event September 2025"/>
    <n v="5.5652105221581483E-2"/>
    <x v="6"/>
  </r>
  <r>
    <s v="A49"/>
    <s v="Twitter"/>
    <d v="2025-09-18T00:00:00"/>
    <s v="Carousel"/>
    <n v="4048"/>
    <n v="677"/>
    <n v="911"/>
    <n v="2429"/>
    <n v="27361"/>
    <n v="101272"/>
    <s v="Apple Event September 2025"/>
    <n v="5.5652105221581483E-2"/>
    <x v="14"/>
  </r>
  <r>
    <s v="A50"/>
    <s v="Twitter"/>
    <d v="2024-07-03T00:00:00"/>
    <s v="Tweet"/>
    <n v="14338"/>
    <n v="1454"/>
    <n v="697"/>
    <n v="2703"/>
    <n v="21288"/>
    <n v="107649"/>
    <s v="iPhone 16 Launch"/>
    <n v="0.1531737405828201"/>
    <x v="9"/>
  </r>
  <r>
    <s v="A50"/>
    <s v="Twitter"/>
    <d v="2024-07-03T00:00:00"/>
    <s v="Tweet"/>
    <n v="14338"/>
    <n v="1454"/>
    <n v="697"/>
    <n v="2703"/>
    <n v="21288"/>
    <n v="107649"/>
    <s v="iPhone 16 Launch"/>
    <n v="0.1531737405828201"/>
    <x v="10"/>
  </r>
  <r>
    <s v="A51"/>
    <s v="YouTube"/>
    <d v="2024-06-13T00:00:00"/>
    <s v="Carousel"/>
    <n v="23164"/>
    <n v="1122"/>
    <n v="900"/>
    <n v="888"/>
    <n v="36938"/>
    <n v="104674"/>
    <s v="Apple Watch Ultra 2 Launch"/>
    <n v="0.24061371496264594"/>
    <x v="11"/>
  </r>
  <r>
    <s v="A51"/>
    <s v="YouTube"/>
    <d v="2024-06-13T00:00:00"/>
    <s v="Carousel"/>
    <n v="23164"/>
    <n v="1122"/>
    <n v="900"/>
    <n v="888"/>
    <n v="36938"/>
    <n v="104674"/>
    <s v="Apple Watch Ultra 2 Launch"/>
    <n v="0.24061371496264594"/>
    <x v="12"/>
  </r>
  <r>
    <s v="A52"/>
    <s v="Twitter"/>
    <d v="2025-09-19T00:00:00"/>
    <s v="Image"/>
    <n v="19100"/>
    <n v="619"/>
    <n v="297"/>
    <n v="2312"/>
    <n v="9730"/>
    <n v="184832"/>
    <s v="Apple Event September 2025"/>
    <n v="0.10829293628808864"/>
    <x v="11"/>
  </r>
  <r>
    <s v="A52"/>
    <s v="Twitter"/>
    <d v="2025-09-19T00:00:00"/>
    <s v="Image"/>
    <n v="19100"/>
    <n v="619"/>
    <n v="297"/>
    <n v="2312"/>
    <n v="9730"/>
    <n v="184832"/>
    <s v="Apple Event September 2025"/>
    <n v="0.10829293628808864"/>
    <x v="12"/>
  </r>
  <r>
    <s v="A53"/>
    <s v="YouTube"/>
    <d v="2025-02-24T00:00:00"/>
    <s v="Image"/>
    <n v="23949"/>
    <n v="356"/>
    <n v="616"/>
    <n v="1847"/>
    <n v="3144"/>
    <n v="192999"/>
    <s v="iPhone 16 Launch"/>
    <n v="0.12912502137316773"/>
    <x v="6"/>
  </r>
  <r>
    <s v="A53"/>
    <s v="YouTube"/>
    <d v="2025-02-24T00:00:00"/>
    <s v="Image"/>
    <n v="23949"/>
    <n v="356"/>
    <n v="616"/>
    <n v="1847"/>
    <n v="3144"/>
    <n v="192999"/>
    <s v="iPhone 16 Launch"/>
    <n v="0.12912502137316773"/>
    <x v="14"/>
  </r>
  <r>
    <s v="A54"/>
    <s v="LinkedIn"/>
    <d v="2025-03-13T00:00:00"/>
    <s v="Carousel"/>
    <n v="6544"/>
    <n v="749"/>
    <n v="888"/>
    <n v="594"/>
    <n v="18171"/>
    <n v="126475"/>
    <s v="Sustainability Awareness Drive"/>
    <n v="6.4684720300454635E-2"/>
    <x v="4"/>
  </r>
  <r>
    <s v="A54"/>
    <s v="LinkedIn"/>
    <d v="2025-03-13T00:00:00"/>
    <s v="Carousel"/>
    <n v="6544"/>
    <n v="749"/>
    <n v="888"/>
    <n v="594"/>
    <n v="18171"/>
    <n v="126475"/>
    <s v="Sustainability Awareness Drive"/>
    <n v="6.4684720300454635E-2"/>
    <x v="5"/>
  </r>
  <r>
    <s v="A55"/>
    <s v="YouTube"/>
    <d v="2024-06-17T00:00:00"/>
    <s v="Carousel"/>
    <n v="6976"/>
    <n v="1320"/>
    <n v="393"/>
    <n v="2285"/>
    <n v="14049"/>
    <n v="101367"/>
    <s v="MacBook Air M3 Campaign"/>
    <n v="8.5718231771681114E-2"/>
    <x v="0"/>
  </r>
  <r>
    <s v="A55"/>
    <s v="YouTube"/>
    <d v="2024-06-17T00:00:00"/>
    <s v="Carousel"/>
    <n v="6976"/>
    <n v="1320"/>
    <n v="393"/>
    <n v="2285"/>
    <n v="14049"/>
    <n v="101367"/>
    <s v="MacBook Air M3 Campaign"/>
    <n v="8.5718231771681114E-2"/>
    <x v="1"/>
  </r>
  <r>
    <s v="A56"/>
    <s v="LinkedIn"/>
    <d v="2024-12-18T00:00:00"/>
    <s v="Tweet"/>
    <n v="14775"/>
    <n v="1220"/>
    <n v="640"/>
    <n v="1547"/>
    <n v="28527"/>
    <n v="183660"/>
    <s v="MacBook Air M3 Campaign"/>
    <n v="9.0574975498203203E-2"/>
    <x v="13"/>
  </r>
  <r>
    <s v="A56"/>
    <s v="LinkedIn"/>
    <d v="2024-12-18T00:00:00"/>
    <s v="Tweet"/>
    <n v="14775"/>
    <n v="1220"/>
    <n v="640"/>
    <n v="1547"/>
    <n v="28527"/>
    <n v="183660"/>
    <s v="MacBook Air M3 Campaign"/>
    <n v="9.0574975498203203E-2"/>
    <x v="6"/>
  </r>
  <r>
    <s v="A57"/>
    <s v="LinkedIn"/>
    <d v="2024-10-21T00:00:00"/>
    <s v="Video"/>
    <n v="12015"/>
    <n v="1196"/>
    <n v="998"/>
    <n v="1848"/>
    <n v="44739"/>
    <n v="161750"/>
    <s v="MacBook Air M3 Campaign"/>
    <n v="8.7845440494590421E-2"/>
    <x v="6"/>
  </r>
  <r>
    <s v="A57"/>
    <s v="LinkedIn"/>
    <d v="2024-10-21T00:00:00"/>
    <s v="Video"/>
    <n v="12015"/>
    <n v="1196"/>
    <n v="998"/>
    <n v="1848"/>
    <n v="44739"/>
    <n v="161750"/>
    <s v="MacBook Air M3 Campaign"/>
    <n v="8.7845440494590421E-2"/>
    <x v="14"/>
  </r>
  <r>
    <s v="A58"/>
    <s v="Instagram"/>
    <d v="2025-04-15T00:00:00"/>
    <s v="Carousel"/>
    <n v="5419"/>
    <n v="1150"/>
    <n v="656"/>
    <n v="1990"/>
    <n v="410"/>
    <n v="158154"/>
    <s v="Sustainability Awareness Drive"/>
    <n v="4.5683321319726342E-2"/>
    <x v="4"/>
  </r>
  <r>
    <s v="A58"/>
    <s v="Instagram"/>
    <d v="2025-04-15T00:00:00"/>
    <s v="Carousel"/>
    <n v="5419"/>
    <n v="1150"/>
    <n v="656"/>
    <n v="1990"/>
    <n v="410"/>
    <n v="158154"/>
    <s v="Sustainability Awareness Drive"/>
    <n v="4.5683321319726342E-2"/>
    <x v="5"/>
  </r>
  <r>
    <s v="A59"/>
    <s v="YouTube"/>
    <d v="2024-06-22T00:00:00"/>
    <s v="Image"/>
    <n v="16430"/>
    <n v="488"/>
    <n v="514"/>
    <n v="1436"/>
    <n v="30059"/>
    <n v="223305"/>
    <s v="iPhone 16 Launch"/>
    <n v="7.8063634938760881E-2"/>
    <x v="11"/>
  </r>
  <r>
    <s v="A59"/>
    <s v="YouTube"/>
    <d v="2024-06-22T00:00:00"/>
    <s v="Image"/>
    <n v="16430"/>
    <n v="488"/>
    <n v="514"/>
    <n v="1436"/>
    <n v="30059"/>
    <n v="223305"/>
    <s v="iPhone 16 Launch"/>
    <n v="7.8063634938760881E-2"/>
    <x v="12"/>
  </r>
  <r>
    <s v="A60"/>
    <s v="Instagram"/>
    <d v="2025-01-28T00:00:00"/>
    <s v="Tweet"/>
    <n v="9239"/>
    <n v="1477"/>
    <n v="631"/>
    <n v="1556"/>
    <n v="11580"/>
    <n v="84738"/>
    <s v="Sustainability Awareness Drive"/>
    <n v="0.13390686586891359"/>
    <x v="11"/>
  </r>
  <r>
    <s v="A60"/>
    <s v="Instagram"/>
    <d v="2025-01-28T00:00:00"/>
    <s v="Tweet"/>
    <n v="9239"/>
    <n v="1477"/>
    <n v="631"/>
    <n v="1556"/>
    <n v="11580"/>
    <n v="84738"/>
    <s v="Sustainability Awareness Drive"/>
    <n v="0.13390686586891359"/>
    <x v="12"/>
  </r>
  <r>
    <s v="A61"/>
    <s v="YouTube"/>
    <d v="2024-09-05T00:00:00"/>
    <s v="Carousel"/>
    <n v="16489"/>
    <n v="395"/>
    <n v="350"/>
    <n v="2364"/>
    <n v="43239"/>
    <n v="73397"/>
    <s v="MacBook Air M3 Campaign"/>
    <n v="0.23480523727127811"/>
    <x v="16"/>
  </r>
  <r>
    <s v="A62"/>
    <s v="YouTube"/>
    <d v="2025-09-20T00:00:00"/>
    <s v="Image"/>
    <n v="18633"/>
    <n v="797"/>
    <n v="303"/>
    <n v="659"/>
    <n v="7"/>
    <n v="122189"/>
    <s v="Apple Event September 2025"/>
    <n v="0.16149571565361859"/>
    <x v="6"/>
  </r>
  <r>
    <s v="A62"/>
    <s v="YouTube"/>
    <d v="2025-09-20T00:00:00"/>
    <s v="Image"/>
    <n v="18633"/>
    <n v="797"/>
    <n v="303"/>
    <n v="659"/>
    <n v="7"/>
    <n v="122189"/>
    <s v="Apple Event September 2025"/>
    <n v="0.16149571565361859"/>
    <x v="14"/>
  </r>
  <r>
    <s v="A63"/>
    <s v="Instagram"/>
    <d v="2024-07-31T00:00:00"/>
    <s v="Image"/>
    <n v="12357"/>
    <n v="716"/>
    <n v="599"/>
    <n v="999"/>
    <n v="89591"/>
    <n v="116367"/>
    <s v="Apple Watch Ultra 2 Launch"/>
    <n v="0.11749035379446063"/>
    <x v="0"/>
  </r>
  <r>
    <s v="A63"/>
    <s v="Instagram"/>
    <d v="2024-07-31T00:00:00"/>
    <s v="Image"/>
    <n v="12357"/>
    <n v="716"/>
    <n v="599"/>
    <n v="999"/>
    <n v="89591"/>
    <n v="116367"/>
    <s v="Apple Watch Ultra 2 Launch"/>
    <n v="0.11749035379446063"/>
    <x v="1"/>
  </r>
  <r>
    <s v="A64"/>
    <s v="Instagram"/>
    <d v="2024-08-17T00:00:00"/>
    <s v="Video"/>
    <n v="19154"/>
    <n v="1064"/>
    <n v="650"/>
    <n v="747"/>
    <n v="42667"/>
    <n v="242332"/>
    <s v="Sustainability Awareness Drive"/>
    <n v="8.6113266097750191E-2"/>
    <x v="8"/>
  </r>
  <r>
    <s v="A65"/>
    <s v="YouTube"/>
    <d v="2025-03-28T00:00:00"/>
    <s v="Tweet"/>
    <n v="6363"/>
    <n v="1341"/>
    <n v="222"/>
    <n v="2712"/>
    <n v="19987"/>
    <n v="160585"/>
    <s v="Sustainability Awareness Drive"/>
    <n v="4.9357038328611019E-2"/>
    <x v="0"/>
  </r>
  <r>
    <s v="A65"/>
    <s v="YouTube"/>
    <d v="2025-03-28T00:00:00"/>
    <s v="Tweet"/>
    <n v="6363"/>
    <n v="1341"/>
    <n v="222"/>
    <n v="2712"/>
    <n v="19987"/>
    <n v="160585"/>
    <s v="Sustainability Awareness Drive"/>
    <n v="4.9357038328611019E-2"/>
    <x v="1"/>
  </r>
  <r>
    <s v="A66"/>
    <s v="Twitter"/>
    <d v="2024-07-26T00:00:00"/>
    <s v="Tweet"/>
    <n v="12176"/>
    <n v="1005"/>
    <n v="862"/>
    <n v="974"/>
    <n v="2285"/>
    <n v="116619"/>
    <s v="iPhone 16 Launch"/>
    <n v="0.12041777068916729"/>
    <x v="11"/>
  </r>
  <r>
    <s v="A66"/>
    <s v="Twitter"/>
    <d v="2024-07-26T00:00:00"/>
    <s v="Tweet"/>
    <n v="12176"/>
    <n v="1005"/>
    <n v="862"/>
    <n v="974"/>
    <n v="2285"/>
    <n v="116619"/>
    <s v="iPhone 16 Launch"/>
    <n v="0.12041777068916729"/>
    <x v="12"/>
  </r>
  <r>
    <s v="A67"/>
    <s v="LinkedIn"/>
    <d v="2025-03-29T00:00:00"/>
    <s v="Video"/>
    <n v="19461"/>
    <n v="1382"/>
    <n v="445"/>
    <n v="1307"/>
    <n v="84691"/>
    <n v="151453"/>
    <s v="iPhone 16 Launch"/>
    <n v="0.14055845707909384"/>
    <x v="11"/>
  </r>
  <r>
    <s v="A67"/>
    <s v="LinkedIn"/>
    <d v="2025-03-29T00:00:00"/>
    <s v="Video"/>
    <n v="19461"/>
    <n v="1382"/>
    <n v="445"/>
    <n v="1307"/>
    <n v="84691"/>
    <n v="151453"/>
    <s v="iPhone 16 Launch"/>
    <n v="0.14055845707909384"/>
    <x v="12"/>
  </r>
  <r>
    <s v="A68"/>
    <s v="Instagram"/>
    <d v="2024-12-08T00:00:00"/>
    <s v="Video"/>
    <n v="10427"/>
    <n v="1014"/>
    <n v="166"/>
    <n v="1649"/>
    <n v="15145"/>
    <n v="59816"/>
    <s v="Sustainability Awareness Drive"/>
    <n v="0.19404507155276179"/>
    <x v="2"/>
  </r>
  <r>
    <s v="A68"/>
    <s v="Instagram"/>
    <d v="2024-12-08T00:00:00"/>
    <s v="Video"/>
    <n v="10427"/>
    <n v="1014"/>
    <n v="166"/>
    <n v="1649"/>
    <n v="15145"/>
    <n v="59816"/>
    <s v="Sustainability Awareness Drive"/>
    <n v="0.19404507155276179"/>
    <x v="3"/>
  </r>
  <r>
    <s v="A69"/>
    <s v="LinkedIn"/>
    <d v="2025-03-08T00:00:00"/>
    <s v="Tweet"/>
    <n v="10580"/>
    <n v="427"/>
    <n v="790"/>
    <n v="2814"/>
    <n v="24916"/>
    <n v="213312"/>
    <s v="MacBook Air M3 Campaign"/>
    <n v="5.530396789678968E-2"/>
    <x v="11"/>
  </r>
  <r>
    <s v="A69"/>
    <s v="LinkedIn"/>
    <d v="2025-03-08T00:00:00"/>
    <s v="Tweet"/>
    <n v="10580"/>
    <n v="427"/>
    <n v="790"/>
    <n v="2814"/>
    <n v="24916"/>
    <n v="213312"/>
    <s v="MacBook Air M3 Campaign"/>
    <n v="5.530396789678968E-2"/>
    <x v="12"/>
  </r>
  <r>
    <s v="A70"/>
    <s v="Twitter"/>
    <d v="2025-04-02T00:00:00"/>
    <s v="Tweet"/>
    <n v="6858"/>
    <n v="415"/>
    <n v="366"/>
    <n v="2761"/>
    <n v="2988"/>
    <n v="177348"/>
    <s v="Apple Watch Ultra 2 Launch"/>
    <n v="4.3073505198818141E-2"/>
    <x v="13"/>
  </r>
  <r>
    <s v="A70"/>
    <s v="Twitter"/>
    <d v="2025-04-02T00:00:00"/>
    <s v="Tweet"/>
    <n v="6858"/>
    <n v="415"/>
    <n v="366"/>
    <n v="2761"/>
    <n v="2988"/>
    <n v="177348"/>
    <s v="Apple Watch Ultra 2 Launch"/>
    <n v="4.3073505198818141E-2"/>
    <x v="6"/>
  </r>
  <r>
    <s v="A71"/>
    <s v="Twitter"/>
    <d v="2024-09-02T00:00:00"/>
    <s v="Carousel"/>
    <n v="12040"/>
    <n v="1147"/>
    <n v="210"/>
    <n v="885"/>
    <n v="30360"/>
    <n v="119530"/>
    <s v="iPhone 16 Launch"/>
    <n v="0.1120806492094035"/>
    <x v="6"/>
  </r>
  <r>
    <s v="A71"/>
    <s v="Twitter"/>
    <d v="2024-09-02T00:00:00"/>
    <s v="Carousel"/>
    <n v="12040"/>
    <n v="1147"/>
    <n v="210"/>
    <n v="885"/>
    <n v="30360"/>
    <n v="119530"/>
    <s v="iPhone 16 Launch"/>
    <n v="0.1120806492094035"/>
    <x v="7"/>
  </r>
  <r>
    <s v="A72"/>
    <s v="Twitter"/>
    <d v="2025-03-03T00:00:00"/>
    <s v="Carousel"/>
    <n v="24928"/>
    <n v="214"/>
    <n v="765"/>
    <n v="1556"/>
    <n v="5239"/>
    <n v="194571"/>
    <s v="MacBook Air M3 Campaign"/>
    <n v="0.13314933880177415"/>
    <x v="6"/>
  </r>
  <r>
    <s v="A72"/>
    <s v="Twitter"/>
    <d v="2025-03-03T00:00:00"/>
    <s v="Carousel"/>
    <n v="24928"/>
    <n v="214"/>
    <n v="765"/>
    <n v="1556"/>
    <n v="5239"/>
    <n v="194571"/>
    <s v="MacBook Air M3 Campaign"/>
    <n v="0.13314933880177415"/>
    <x v="14"/>
  </r>
  <r>
    <s v="A73"/>
    <s v="Instagram"/>
    <d v="2025-09-21T00:00:00"/>
    <s v="Video"/>
    <n v="23103"/>
    <n v="1380"/>
    <n v="191"/>
    <n v="1547"/>
    <n v="77798"/>
    <n v="148856"/>
    <s v="Apple Event September 2025"/>
    <n v="0.16575751061428495"/>
    <x v="0"/>
  </r>
  <r>
    <s v="A73"/>
    <s v="Instagram"/>
    <d v="2025-09-21T00:00:00"/>
    <s v="Video"/>
    <n v="23103"/>
    <n v="1380"/>
    <n v="191"/>
    <n v="1547"/>
    <n v="77798"/>
    <n v="148856"/>
    <s v="Apple Event September 2025"/>
    <n v="0.16575751061428495"/>
    <x v="1"/>
  </r>
  <r>
    <s v="A74"/>
    <s v="Twitter"/>
    <d v="2024-10-28T00:00:00"/>
    <s v="Carousel"/>
    <n v="21198"/>
    <n v="1484"/>
    <n v="174"/>
    <n v="1293"/>
    <n v="16330"/>
    <n v="111635"/>
    <s v="iPhone 16 Launch"/>
    <n v="0.20473865723115511"/>
    <x v="6"/>
  </r>
  <r>
    <s v="A74"/>
    <s v="Twitter"/>
    <d v="2024-10-28T00:00:00"/>
    <s v="Carousel"/>
    <n v="21198"/>
    <n v="1484"/>
    <n v="174"/>
    <n v="1293"/>
    <n v="16330"/>
    <n v="111635"/>
    <s v="iPhone 16 Launch"/>
    <n v="0.20473865723115511"/>
    <x v="7"/>
  </r>
  <r>
    <s v="A75"/>
    <s v="Instagram"/>
    <d v="2024-08-01T00:00:00"/>
    <s v="Image"/>
    <n v="21758"/>
    <n v="1380"/>
    <n v="188"/>
    <n v="1735"/>
    <n v="20998"/>
    <n v="147803"/>
    <s v="MacBook Air M3 Campaign"/>
    <n v="0.15781817689762725"/>
    <x v="4"/>
  </r>
  <r>
    <s v="A75"/>
    <s v="Instagram"/>
    <d v="2024-08-01T00:00:00"/>
    <s v="Image"/>
    <n v="21758"/>
    <n v="1380"/>
    <n v="188"/>
    <n v="1735"/>
    <n v="20998"/>
    <n v="147803"/>
    <s v="MacBook Air M3 Campaign"/>
    <n v="0.15781817689762725"/>
    <x v="5"/>
  </r>
  <r>
    <s v="A76"/>
    <s v="Twitter"/>
    <d v="2024-11-07T00:00:00"/>
    <s v="Carousel"/>
    <n v="17254"/>
    <n v="246"/>
    <n v="952"/>
    <n v="871"/>
    <n v="14957"/>
    <n v="75946"/>
    <s v="MacBook Air M3 Campaign"/>
    <n v="0.24296210465330631"/>
    <x v="8"/>
  </r>
  <r>
    <s v="A77"/>
    <s v="LinkedIn"/>
    <d v="2025-03-04T00:00:00"/>
    <s v="Carousel"/>
    <n v="13470"/>
    <n v="523"/>
    <n v="280"/>
    <n v="2682"/>
    <n v="8538"/>
    <n v="95204"/>
    <s v="Apple Watch Ultra 2 Launch"/>
    <n v="0.14992017142136885"/>
    <x v="13"/>
  </r>
  <r>
    <s v="A77"/>
    <s v="LinkedIn"/>
    <d v="2025-03-04T00:00:00"/>
    <s v="Carousel"/>
    <n v="13470"/>
    <n v="523"/>
    <n v="280"/>
    <n v="2682"/>
    <n v="8538"/>
    <n v="95204"/>
    <s v="Apple Watch Ultra 2 Launch"/>
    <n v="0.14992017142136885"/>
    <x v="6"/>
  </r>
  <r>
    <s v="A78"/>
    <s v="LinkedIn"/>
    <d v="2024-06-17T00:00:00"/>
    <s v="Image"/>
    <n v="3252"/>
    <n v="1043"/>
    <n v="647"/>
    <n v="1545"/>
    <n v="18859"/>
    <n v="222958"/>
    <s v="Apple Watch Ultra 2 Launch"/>
    <n v="2.2165609666394567E-2"/>
    <x v="9"/>
  </r>
  <r>
    <s v="A78"/>
    <s v="LinkedIn"/>
    <d v="2024-06-17T00:00:00"/>
    <s v="Image"/>
    <n v="3252"/>
    <n v="1043"/>
    <n v="647"/>
    <n v="1545"/>
    <n v="18859"/>
    <n v="222958"/>
    <s v="Apple Watch Ultra 2 Launch"/>
    <n v="2.2165609666394567E-2"/>
    <x v="10"/>
  </r>
  <r>
    <s v="A79"/>
    <s v="YouTube"/>
    <d v="2025-09-22T00:00:00"/>
    <s v="Video"/>
    <n v="8996"/>
    <n v="329"/>
    <n v="378"/>
    <n v="2384"/>
    <n v="39404"/>
    <n v="242724"/>
    <s v="Apple Event September 2025"/>
    <n v="3.9975445361810122E-2"/>
    <x v="17"/>
  </r>
  <r>
    <s v="A79"/>
    <s v="YouTube"/>
    <d v="2025-09-22T00:00:00"/>
    <s v="Video"/>
    <n v="8996"/>
    <n v="329"/>
    <n v="378"/>
    <n v="2384"/>
    <n v="39404"/>
    <n v="242724"/>
    <s v="Apple Event September 2025"/>
    <n v="3.9975445361810122E-2"/>
    <x v="18"/>
  </r>
  <r>
    <s v="A80"/>
    <s v="LinkedIn"/>
    <d v="2024-06-13T00:00:00"/>
    <s v="Image"/>
    <n v="14173"/>
    <n v="294"/>
    <n v="257"/>
    <n v="1288"/>
    <n v="39466"/>
    <n v="55563"/>
    <s v="MacBook Air M3 Campaign"/>
    <n v="0.26499649047027696"/>
    <x v="0"/>
  </r>
  <r>
    <s v="A80"/>
    <s v="LinkedIn"/>
    <d v="2024-06-13T00:00:00"/>
    <s v="Image"/>
    <n v="14173"/>
    <n v="294"/>
    <n v="257"/>
    <n v="1288"/>
    <n v="39466"/>
    <n v="55563"/>
    <s v="MacBook Air M3 Campaign"/>
    <n v="0.26499649047027696"/>
    <x v="1"/>
  </r>
  <r>
    <s v="A81"/>
    <s v="YouTube"/>
    <d v="2024-10-19T00:00:00"/>
    <s v="Carousel"/>
    <n v="6673"/>
    <n v="826"/>
    <n v="321"/>
    <n v="577"/>
    <n v="19262"/>
    <n v="132324"/>
    <s v="MacBook Air M3 Campaign"/>
    <n v="5.9097367068710133E-2"/>
    <x v="6"/>
  </r>
  <r>
    <s v="A81"/>
    <s v="YouTube"/>
    <d v="2024-10-19T00:00:00"/>
    <s v="Carousel"/>
    <n v="6673"/>
    <n v="826"/>
    <n v="321"/>
    <n v="577"/>
    <n v="19262"/>
    <n v="132324"/>
    <s v="MacBook Air M3 Campaign"/>
    <n v="5.9097367068710133E-2"/>
    <x v="7"/>
  </r>
  <r>
    <s v="A82"/>
    <s v="LinkedIn"/>
    <d v="2024-07-24T00:00:00"/>
    <s v="Video"/>
    <n v="22914"/>
    <n v="954"/>
    <n v="584"/>
    <n v="1519"/>
    <n v="13637"/>
    <n v="49847"/>
    <s v="Apple Watch Ultra 2 Launch"/>
    <n v="0.49054105563022848"/>
    <x v="9"/>
  </r>
  <r>
    <s v="A82"/>
    <s v="LinkedIn"/>
    <d v="2024-07-24T00:00:00"/>
    <s v="Video"/>
    <n v="22914"/>
    <n v="954"/>
    <n v="584"/>
    <n v="1519"/>
    <n v="13637"/>
    <n v="49847"/>
    <s v="Apple Watch Ultra 2 Launch"/>
    <n v="0.49054105563022848"/>
    <x v="10"/>
  </r>
  <r>
    <s v="A83"/>
    <s v="Instagram"/>
    <d v="2024-10-15T00:00:00"/>
    <s v="Carousel"/>
    <n v="17781"/>
    <n v="993"/>
    <n v="627"/>
    <n v="2187"/>
    <n v="9609"/>
    <n v="66155"/>
    <s v="iPhone 16 Launch"/>
    <n v="0.29326581513113142"/>
    <x v="8"/>
  </r>
  <r>
    <s v="A84"/>
    <s v="LinkedIn"/>
    <d v="2024-12-09T00:00:00"/>
    <s v="Image"/>
    <n v="15051"/>
    <n v="268"/>
    <n v="251"/>
    <n v="783"/>
    <n v="34154"/>
    <n v="119671"/>
    <s v="iPhone 16 Launch"/>
    <n v="0.13010670922779954"/>
    <x v="2"/>
  </r>
  <r>
    <s v="A84"/>
    <s v="LinkedIn"/>
    <d v="2024-12-09T00:00:00"/>
    <s v="Image"/>
    <n v="15051"/>
    <n v="268"/>
    <n v="251"/>
    <n v="783"/>
    <n v="34154"/>
    <n v="119671"/>
    <s v="iPhone 16 Launch"/>
    <n v="0.13010670922779954"/>
    <x v="3"/>
  </r>
  <r>
    <s v="A85"/>
    <s v="YouTube"/>
    <d v="2025-04-19T00:00:00"/>
    <s v="Image"/>
    <n v="8881"/>
    <n v="210"/>
    <n v="673"/>
    <n v="1565"/>
    <n v="24847"/>
    <n v="156891"/>
    <s v="Sustainability Awareness Drive"/>
    <n v="6.223429004850501E-2"/>
    <x v="9"/>
  </r>
  <r>
    <s v="A85"/>
    <s v="YouTube"/>
    <d v="2025-04-19T00:00:00"/>
    <s v="Image"/>
    <n v="8881"/>
    <n v="210"/>
    <n v="673"/>
    <n v="1565"/>
    <n v="24847"/>
    <n v="156891"/>
    <s v="Sustainability Awareness Drive"/>
    <n v="6.223429004850501E-2"/>
    <x v="10"/>
  </r>
  <r>
    <s v="A86"/>
    <s v="YouTube"/>
    <d v="2025-01-27T00:00:00"/>
    <s v="Carousel"/>
    <n v="8949"/>
    <n v="1477"/>
    <n v="424"/>
    <n v="1030"/>
    <n v="58052"/>
    <n v="123310"/>
    <s v="Apple Watch Ultra 2 Launch"/>
    <n v="8.7989619657773091E-2"/>
    <x v="13"/>
  </r>
  <r>
    <s v="A86"/>
    <s v="YouTube"/>
    <d v="2025-01-27T00:00:00"/>
    <s v="Carousel"/>
    <n v="8949"/>
    <n v="1477"/>
    <n v="424"/>
    <n v="1030"/>
    <n v="58052"/>
    <n v="123310"/>
    <s v="Apple Watch Ultra 2 Launch"/>
    <n v="8.7989619657773091E-2"/>
    <x v="6"/>
  </r>
  <r>
    <s v="A87"/>
    <s v="Twitter"/>
    <d v="2024-06-06T00:00:00"/>
    <s v="Tweet"/>
    <n v="11521"/>
    <n v="1071"/>
    <n v="762"/>
    <n v="2539"/>
    <n v="12701"/>
    <n v="238350"/>
    <s v="Sustainability Awareness Drive"/>
    <n v="5.6026851269142017E-2"/>
    <x v="13"/>
  </r>
  <r>
    <s v="A87"/>
    <s v="Twitter"/>
    <d v="2024-06-06T00:00:00"/>
    <s v="Tweet"/>
    <n v="11521"/>
    <n v="1071"/>
    <n v="762"/>
    <n v="2539"/>
    <n v="12701"/>
    <n v="238350"/>
    <s v="Sustainability Awareness Drive"/>
    <n v="5.6026851269142017E-2"/>
    <x v="6"/>
  </r>
  <r>
    <s v="A88"/>
    <s v="Instagram"/>
    <d v="2024-07-07T00:00:00"/>
    <s v="Tweet"/>
    <n v="24625"/>
    <n v="749"/>
    <n v="193"/>
    <n v="1340"/>
    <n v="4890"/>
    <n v="189381"/>
    <s v="Apple Watch Ultra 2 Launch"/>
    <n v="0.13500298340382616"/>
    <x v="2"/>
  </r>
  <r>
    <s v="A88"/>
    <s v="Instagram"/>
    <d v="2024-07-07T00:00:00"/>
    <s v="Tweet"/>
    <n v="24625"/>
    <n v="749"/>
    <n v="193"/>
    <n v="1340"/>
    <n v="4890"/>
    <n v="189381"/>
    <s v="Apple Watch Ultra 2 Launch"/>
    <n v="0.13500298340382616"/>
    <x v="3"/>
  </r>
  <r>
    <s v="A89"/>
    <s v="LinkedIn"/>
    <d v="2025-09-23T00:00:00"/>
    <s v="Image"/>
    <n v="10017"/>
    <n v="1357"/>
    <n v="966"/>
    <n v="2871"/>
    <n v="14800"/>
    <n v="171691"/>
    <s v="Apple Event September 2025"/>
    <n v="7.1873307278774071E-2"/>
    <x v="17"/>
  </r>
  <r>
    <s v="A89"/>
    <s v="LinkedIn"/>
    <d v="2025-09-23T00:00:00"/>
    <s v="Image"/>
    <n v="10017"/>
    <n v="1357"/>
    <n v="966"/>
    <n v="2871"/>
    <n v="14800"/>
    <n v="171691"/>
    <s v="Apple Event September 2025"/>
    <n v="7.1873307278774071E-2"/>
    <x v="18"/>
  </r>
  <r>
    <s v="A90"/>
    <s v="Twitter"/>
    <d v="2024-06-03T00:00:00"/>
    <s v="Image"/>
    <n v="8941"/>
    <n v="911"/>
    <n v="166"/>
    <n v="1217"/>
    <n v="68817"/>
    <n v="221180"/>
    <s v="MacBook Air M3 Campaign"/>
    <n v="4.5293426168731353E-2"/>
    <x v="6"/>
  </r>
  <r>
    <s v="A90"/>
    <s v="Twitter"/>
    <d v="2024-06-03T00:00:00"/>
    <s v="Image"/>
    <n v="8941"/>
    <n v="911"/>
    <n v="166"/>
    <n v="1217"/>
    <n v="68817"/>
    <n v="221180"/>
    <s v="MacBook Air M3 Campaign"/>
    <n v="4.5293426168731353E-2"/>
    <x v="14"/>
  </r>
  <r>
    <s v="A91"/>
    <s v="LinkedIn"/>
    <d v="2025-09-24T00:00:00"/>
    <s v="Tweet"/>
    <n v="12209"/>
    <n v="222"/>
    <n v="479"/>
    <n v="2748"/>
    <n v="24615"/>
    <n v="74707"/>
    <s v="Apple Event September 2025"/>
    <n v="0.17280843829895459"/>
    <x v="9"/>
  </r>
  <r>
    <s v="A91"/>
    <s v="LinkedIn"/>
    <d v="2025-09-24T00:00:00"/>
    <s v="Tweet"/>
    <n v="12209"/>
    <n v="222"/>
    <n v="479"/>
    <n v="2748"/>
    <n v="24615"/>
    <n v="74707"/>
    <s v="Apple Event September 2025"/>
    <n v="0.17280843829895459"/>
    <x v="10"/>
  </r>
  <r>
    <s v="A92"/>
    <s v="LinkedIn"/>
    <d v="2024-10-21T00:00:00"/>
    <s v="Tweet"/>
    <n v="19715"/>
    <n v="1014"/>
    <n v="718"/>
    <n v="1185"/>
    <n v="37625"/>
    <n v="191409"/>
    <s v="Apple Watch Ultra 2 Launch"/>
    <n v="0.11204802282024356"/>
    <x v="2"/>
  </r>
  <r>
    <s v="A92"/>
    <s v="LinkedIn"/>
    <d v="2024-10-21T00:00:00"/>
    <s v="Tweet"/>
    <n v="19715"/>
    <n v="1014"/>
    <n v="718"/>
    <n v="1185"/>
    <n v="37625"/>
    <n v="191409"/>
    <s v="Apple Watch Ultra 2 Launch"/>
    <n v="0.11204802282024356"/>
    <x v="3"/>
  </r>
  <r>
    <s v="A93"/>
    <s v="Twitter"/>
    <d v="2024-12-11T00:00:00"/>
    <s v="Carousel"/>
    <n v="22645"/>
    <n v="545"/>
    <n v="972"/>
    <n v="321"/>
    <n v="8396"/>
    <n v="121537"/>
    <s v="MacBook Air M3 Campaign"/>
    <n v="0.19880365649966678"/>
    <x v="13"/>
  </r>
  <r>
    <s v="A93"/>
    <s v="Twitter"/>
    <d v="2024-12-11T00:00:00"/>
    <s v="Carousel"/>
    <n v="22645"/>
    <n v="545"/>
    <n v="972"/>
    <n v="321"/>
    <n v="8396"/>
    <n v="121537"/>
    <s v="MacBook Air M3 Campaign"/>
    <n v="0.19880365649966678"/>
    <x v="6"/>
  </r>
  <r>
    <s v="A94"/>
    <s v="Twitter"/>
    <d v="2024-11-07T00:00:00"/>
    <s v="Carousel"/>
    <n v="11550"/>
    <n v="501"/>
    <n v="646"/>
    <n v="773"/>
    <n v="17841"/>
    <n v="237576"/>
    <s v="iPhone 16 Launch"/>
    <n v="5.3443950567397383E-2"/>
    <x v="13"/>
  </r>
  <r>
    <s v="A94"/>
    <s v="Twitter"/>
    <d v="2024-11-07T00:00:00"/>
    <s v="Carousel"/>
    <n v="11550"/>
    <n v="501"/>
    <n v="646"/>
    <n v="773"/>
    <n v="17841"/>
    <n v="237576"/>
    <s v="iPhone 16 Launch"/>
    <n v="5.3443950567397383E-2"/>
    <x v="6"/>
  </r>
  <r>
    <s v="A95"/>
    <s v="Twitter"/>
    <d v="2024-11-08T00:00:00"/>
    <s v="Tweet"/>
    <n v="23499"/>
    <n v="562"/>
    <n v="964"/>
    <n v="2557"/>
    <n v="56890"/>
    <n v="218686"/>
    <s v="iPhone 16 Launch"/>
    <n v="0.11443347996671026"/>
    <x v="6"/>
  </r>
  <r>
    <s v="A95"/>
    <s v="Twitter"/>
    <d v="2024-11-08T00:00:00"/>
    <s v="Tweet"/>
    <n v="23499"/>
    <n v="562"/>
    <n v="964"/>
    <n v="2557"/>
    <n v="56890"/>
    <n v="218686"/>
    <s v="iPhone 16 Launch"/>
    <n v="0.11443347996671026"/>
    <x v="7"/>
  </r>
  <r>
    <s v="A96"/>
    <s v="Twitter"/>
    <d v="2024-09-10T00:00:00"/>
    <s v="Carousel"/>
    <n v="6637"/>
    <n v="595"/>
    <n v="161"/>
    <n v="2653"/>
    <n v="19334"/>
    <n v="131155"/>
    <s v="Sustainability Awareness Drive"/>
    <n v="5.6368419046166747E-2"/>
    <x v="11"/>
  </r>
  <r>
    <s v="A96"/>
    <s v="Twitter"/>
    <d v="2024-09-10T00:00:00"/>
    <s v="Carousel"/>
    <n v="6637"/>
    <n v="595"/>
    <n v="161"/>
    <n v="2653"/>
    <n v="19334"/>
    <n v="131155"/>
    <s v="Sustainability Awareness Drive"/>
    <n v="5.6368419046166747E-2"/>
    <x v="12"/>
  </r>
  <r>
    <s v="A97"/>
    <s v="Twitter"/>
    <d v="2024-08-13T00:00:00"/>
    <s v="Carousel"/>
    <n v="6854"/>
    <n v="417"/>
    <n v="467"/>
    <n v="1003"/>
    <n v="61333"/>
    <n v="40281"/>
    <s v="Apple Watch Ultra 2 Launch"/>
    <n v="0.19210049402944315"/>
    <x v="17"/>
  </r>
  <r>
    <s v="A97"/>
    <s v="Twitter"/>
    <d v="2024-08-13T00:00:00"/>
    <s v="Carousel"/>
    <n v="6854"/>
    <n v="417"/>
    <n v="467"/>
    <n v="1003"/>
    <n v="61333"/>
    <n v="40281"/>
    <s v="Apple Watch Ultra 2 Launch"/>
    <n v="0.19210049402944315"/>
    <x v="18"/>
  </r>
  <r>
    <s v="A98"/>
    <s v="LinkedIn"/>
    <d v="2024-06-10T00:00:00"/>
    <s v="Video"/>
    <n v="21561"/>
    <n v="340"/>
    <n v="741"/>
    <n v="986"/>
    <n v="24826"/>
    <n v="198492"/>
    <s v="Apple Watch Ultra 2 Launch"/>
    <n v="0.11407008846704149"/>
    <x v="9"/>
  </r>
  <r>
    <s v="A98"/>
    <s v="LinkedIn"/>
    <d v="2024-06-10T00:00:00"/>
    <s v="Video"/>
    <n v="21561"/>
    <n v="340"/>
    <n v="741"/>
    <n v="986"/>
    <n v="24826"/>
    <n v="198492"/>
    <s v="Apple Watch Ultra 2 Launch"/>
    <n v="0.11407008846704149"/>
    <x v="10"/>
  </r>
  <r>
    <s v="A99"/>
    <s v="Twitter"/>
    <d v="2024-07-02T00:00:00"/>
    <s v="Carousel"/>
    <n v="12320"/>
    <n v="1157"/>
    <n v="365"/>
    <n v="584"/>
    <n v="66634"/>
    <n v="210102"/>
    <s v="iPhone 16 Launch"/>
    <n v="6.5882285746922925E-2"/>
    <x v="9"/>
  </r>
  <r>
    <s v="A99"/>
    <s v="Twitter"/>
    <d v="2024-07-02T00:00:00"/>
    <s v="Carousel"/>
    <n v="12320"/>
    <n v="1157"/>
    <n v="365"/>
    <n v="584"/>
    <n v="66634"/>
    <n v="210102"/>
    <s v="iPhone 16 Launch"/>
    <n v="6.5882285746922925E-2"/>
    <x v="10"/>
  </r>
  <r>
    <s v="A100"/>
    <s v="Instagram"/>
    <d v="2025-09-25T00:00:00"/>
    <s v="Image"/>
    <n v="20564"/>
    <n v="1433"/>
    <n v="488"/>
    <n v="1015"/>
    <n v="24333"/>
    <n v="172130"/>
    <s v="Apple Event September 2025"/>
    <n v="0.13062801371056759"/>
    <x v="8"/>
  </r>
  <r>
    <s v="A101"/>
    <s v="YouTube"/>
    <d v="2024-10-18T00:00:00"/>
    <s v="Carousel"/>
    <n v="6892"/>
    <n v="1184"/>
    <n v="925"/>
    <n v="1062"/>
    <n v="75008"/>
    <n v="116260"/>
    <s v="MacBook Air M3 Campaign"/>
    <n v="7.7421297092723204E-2"/>
    <x v="2"/>
  </r>
  <r>
    <s v="A101"/>
    <s v="YouTube"/>
    <d v="2024-10-18T00:00:00"/>
    <s v="Carousel"/>
    <n v="6892"/>
    <n v="1184"/>
    <n v="925"/>
    <n v="1062"/>
    <n v="75008"/>
    <n v="116260"/>
    <s v="MacBook Air M3 Campaign"/>
    <n v="7.7421297092723204E-2"/>
    <x v="3"/>
  </r>
  <r>
    <s v="A102"/>
    <s v="Twitter"/>
    <d v="2025-09-26T00:00:00"/>
    <s v="Carousel"/>
    <n v="9043"/>
    <n v="1192"/>
    <n v="810"/>
    <n v="1550"/>
    <n v="5221"/>
    <n v="199476"/>
    <s v="Apple Event September 2025"/>
    <n v="5.5370069582305642E-2"/>
    <x v="8"/>
  </r>
  <r>
    <s v="A103"/>
    <s v="Twitter"/>
    <d v="2025-09-27T00:00:00"/>
    <s v="Tweet"/>
    <n v="18521"/>
    <n v="1027"/>
    <n v="230"/>
    <n v="1247"/>
    <n v="39588"/>
    <n v="200928"/>
    <s v="Apple Event September 2025"/>
    <n v="9.8433269628921807E-2"/>
    <x v="2"/>
  </r>
  <r>
    <s v="A103"/>
    <s v="Twitter"/>
    <d v="2025-09-27T00:00:00"/>
    <s v="Tweet"/>
    <n v="18521"/>
    <n v="1027"/>
    <n v="230"/>
    <n v="1247"/>
    <n v="39588"/>
    <n v="200928"/>
    <s v="Apple Event September 2025"/>
    <n v="9.8433269628921807E-2"/>
    <x v="3"/>
  </r>
  <r>
    <s v="A104"/>
    <s v="LinkedIn"/>
    <d v="2025-03-23T00:00:00"/>
    <s v="Image"/>
    <n v="24711"/>
    <n v="882"/>
    <n v="876"/>
    <n v="2728"/>
    <n v="32015"/>
    <n v="180272"/>
    <s v="iPhone 16 Launch"/>
    <n v="0.1468281263867933"/>
    <x v="4"/>
  </r>
  <r>
    <s v="A104"/>
    <s v="LinkedIn"/>
    <d v="2025-03-23T00:00:00"/>
    <s v="Image"/>
    <n v="24711"/>
    <n v="882"/>
    <n v="876"/>
    <n v="2728"/>
    <n v="32015"/>
    <n v="180272"/>
    <s v="iPhone 16 Launch"/>
    <n v="0.1468281263867933"/>
    <x v="5"/>
  </r>
  <r>
    <s v="A105"/>
    <s v="Twitter"/>
    <d v="2024-06-14T00:00:00"/>
    <s v="Carousel"/>
    <n v="21856"/>
    <n v="1203"/>
    <n v="634"/>
    <n v="2807"/>
    <n v="3647"/>
    <n v="104178"/>
    <s v="iPhone 16 Launch"/>
    <n v="0.22742805582752595"/>
    <x v="13"/>
  </r>
  <r>
    <s v="A105"/>
    <s v="Twitter"/>
    <d v="2024-06-14T00:00:00"/>
    <s v="Carousel"/>
    <n v="21856"/>
    <n v="1203"/>
    <n v="634"/>
    <n v="2807"/>
    <n v="3647"/>
    <n v="104178"/>
    <s v="iPhone 16 Launch"/>
    <n v="0.22742805582752595"/>
    <x v="6"/>
  </r>
  <r>
    <s v="A106"/>
    <s v="Twitter"/>
    <d v="2025-02-04T00:00:00"/>
    <s v="Carousel"/>
    <n v="23833"/>
    <n v="555"/>
    <n v="523"/>
    <n v="1330"/>
    <n v="69141"/>
    <n v="73997"/>
    <s v="iPhone 16 Launch"/>
    <n v="0.33664878305877266"/>
    <x v="11"/>
  </r>
  <r>
    <s v="A106"/>
    <s v="Twitter"/>
    <d v="2025-02-04T00:00:00"/>
    <s v="Carousel"/>
    <n v="23833"/>
    <n v="555"/>
    <n v="523"/>
    <n v="1330"/>
    <n v="69141"/>
    <n v="73997"/>
    <s v="iPhone 16 Launch"/>
    <n v="0.33664878305877266"/>
    <x v="12"/>
  </r>
  <r>
    <s v="A107"/>
    <s v="Twitter"/>
    <d v="2024-06-21T00:00:00"/>
    <s v="Video"/>
    <n v="21216"/>
    <n v="1207"/>
    <n v="859"/>
    <n v="328"/>
    <n v="91296"/>
    <n v="196683"/>
    <s v="Sustainability Awareness Drive"/>
    <n v="0.1183732198512327"/>
    <x v="6"/>
  </r>
  <r>
    <s v="A107"/>
    <s v="Twitter"/>
    <d v="2024-06-21T00:00:00"/>
    <s v="Video"/>
    <n v="21216"/>
    <n v="1207"/>
    <n v="859"/>
    <n v="328"/>
    <n v="91296"/>
    <n v="196683"/>
    <s v="Sustainability Awareness Drive"/>
    <n v="0.1183732198512327"/>
    <x v="7"/>
  </r>
  <r>
    <s v="A108"/>
    <s v="LinkedIn"/>
    <d v="2025-09-28T00:00:00"/>
    <s v="Carousel"/>
    <n v="21963"/>
    <n v="1356"/>
    <n v="349"/>
    <n v="1206"/>
    <n v="51755"/>
    <n v="159273"/>
    <s v="Apple Event September 2025"/>
    <n v="0.14860020216860359"/>
    <x v="11"/>
  </r>
  <r>
    <s v="A108"/>
    <s v="LinkedIn"/>
    <d v="2025-09-28T00:00:00"/>
    <s v="Carousel"/>
    <n v="21963"/>
    <n v="1356"/>
    <n v="349"/>
    <n v="1206"/>
    <n v="51755"/>
    <n v="159273"/>
    <s v="Apple Event September 2025"/>
    <n v="0.14860020216860359"/>
    <x v="12"/>
  </r>
  <r>
    <s v="A109"/>
    <s v="Twitter"/>
    <d v="2024-08-08T00:00:00"/>
    <s v="Carousel"/>
    <n v="24355"/>
    <n v="1087"/>
    <n v="686"/>
    <n v="2426"/>
    <n v="24963"/>
    <n v="212307"/>
    <s v="Apple Watch Ultra 2 Launch"/>
    <n v="0.1230670679723231"/>
    <x v="11"/>
  </r>
  <r>
    <s v="A109"/>
    <s v="Twitter"/>
    <d v="2024-08-08T00:00:00"/>
    <s v="Carousel"/>
    <n v="24355"/>
    <n v="1087"/>
    <n v="686"/>
    <n v="2426"/>
    <n v="24963"/>
    <n v="212307"/>
    <s v="Apple Watch Ultra 2 Launch"/>
    <n v="0.1230670679723231"/>
    <x v="12"/>
  </r>
  <r>
    <s v="A110"/>
    <s v="YouTube"/>
    <d v="2024-07-29T00:00:00"/>
    <s v="Video"/>
    <n v="6164"/>
    <n v="326"/>
    <n v="615"/>
    <n v="2806"/>
    <n v="38579"/>
    <n v="206129"/>
    <s v="MacBook Air M3 Campaign"/>
    <n v="3.4468706489625425E-2"/>
    <x v="11"/>
  </r>
  <r>
    <s v="A110"/>
    <s v="YouTube"/>
    <d v="2024-07-29T00:00:00"/>
    <s v="Video"/>
    <n v="6164"/>
    <n v="326"/>
    <n v="615"/>
    <n v="2806"/>
    <n v="38579"/>
    <n v="206129"/>
    <s v="MacBook Air M3 Campaign"/>
    <n v="3.4468706489625425E-2"/>
    <x v="12"/>
  </r>
  <r>
    <s v="A111"/>
    <s v="LinkedIn"/>
    <d v="2024-11-23T00:00:00"/>
    <s v="Tweet"/>
    <n v="9941"/>
    <n v="1329"/>
    <n v="238"/>
    <n v="869"/>
    <n v="40281"/>
    <n v="172311"/>
    <s v="Sustainability Awareness Drive"/>
    <n v="6.6786217943137702E-2"/>
    <x v="8"/>
  </r>
  <r>
    <s v="A112"/>
    <s v="YouTube"/>
    <d v="2024-10-05T00:00:00"/>
    <s v="Carousel"/>
    <n v="16388"/>
    <n v="1208"/>
    <n v="417"/>
    <n v="2306"/>
    <n v="16865"/>
    <n v="236733"/>
    <s v="Apple Watch Ultra 2 Launch"/>
    <n v="7.6089940988370866E-2"/>
    <x v="2"/>
  </r>
  <r>
    <s v="A112"/>
    <s v="YouTube"/>
    <d v="2024-10-05T00:00:00"/>
    <s v="Carousel"/>
    <n v="16388"/>
    <n v="1208"/>
    <n v="417"/>
    <n v="2306"/>
    <n v="16865"/>
    <n v="236733"/>
    <s v="Apple Watch Ultra 2 Launch"/>
    <n v="7.6089940988370866E-2"/>
    <x v="3"/>
  </r>
  <r>
    <s v="A113"/>
    <s v="LinkedIn"/>
    <d v="2025-09-29T00:00:00"/>
    <s v="Video"/>
    <n v="7569"/>
    <n v="803"/>
    <n v="804"/>
    <n v="1753"/>
    <n v="43582"/>
    <n v="166945"/>
    <s v="Apple Event September 2025"/>
    <n v="5.4964209769684629E-2"/>
    <x v="15"/>
  </r>
  <r>
    <s v="A113"/>
    <s v="LinkedIn"/>
    <d v="2025-09-29T00:00:00"/>
    <s v="Video"/>
    <n v="7569"/>
    <n v="803"/>
    <n v="804"/>
    <n v="1753"/>
    <n v="43582"/>
    <n v="166945"/>
    <s v="Apple Event September 2025"/>
    <n v="5.4964209769684629E-2"/>
    <x v="8"/>
  </r>
  <r>
    <s v="A114"/>
    <s v="Twitter"/>
    <d v="2024-11-14T00:00:00"/>
    <s v="Image"/>
    <n v="6300"/>
    <n v="1213"/>
    <n v="720"/>
    <n v="1037"/>
    <n v="39569"/>
    <n v="85272"/>
    <s v="iPhone 16 Launch"/>
    <n v="9.6549863964724647E-2"/>
    <x v="4"/>
  </r>
  <r>
    <s v="A114"/>
    <s v="Twitter"/>
    <d v="2024-11-14T00:00:00"/>
    <s v="Image"/>
    <n v="6300"/>
    <n v="1213"/>
    <n v="720"/>
    <n v="1037"/>
    <n v="39569"/>
    <n v="85272"/>
    <s v="iPhone 16 Launch"/>
    <n v="9.6549863964724647E-2"/>
    <x v="5"/>
  </r>
  <r>
    <s v="A115"/>
    <s v="YouTube"/>
    <d v="2025-09-30T00:00:00"/>
    <s v="Tweet"/>
    <n v="8269"/>
    <n v="250"/>
    <n v="638"/>
    <n v="815"/>
    <n v="41991"/>
    <n v="129393"/>
    <s v="Apple Event September 2025"/>
    <n v="7.0768897853825175E-2"/>
    <x v="0"/>
  </r>
  <r>
    <s v="A115"/>
    <s v="YouTube"/>
    <d v="2025-09-30T00:00:00"/>
    <s v="Tweet"/>
    <n v="8269"/>
    <n v="250"/>
    <n v="638"/>
    <n v="815"/>
    <n v="41991"/>
    <n v="129393"/>
    <s v="Apple Event September 2025"/>
    <n v="7.0768897853825175E-2"/>
    <x v="1"/>
  </r>
  <r>
    <s v="A116"/>
    <s v="LinkedIn"/>
    <d v="2025-03-18T00:00:00"/>
    <s v="Image"/>
    <n v="5818"/>
    <n v="1252"/>
    <n v="687"/>
    <n v="2300"/>
    <n v="25081"/>
    <n v="101212"/>
    <s v="MacBook Air M3 Campaign"/>
    <n v="7.6641109749832043E-2"/>
    <x v="11"/>
  </r>
  <r>
    <s v="A116"/>
    <s v="LinkedIn"/>
    <d v="2025-03-18T00:00:00"/>
    <s v="Image"/>
    <n v="5818"/>
    <n v="1252"/>
    <n v="687"/>
    <n v="2300"/>
    <n v="25081"/>
    <n v="101212"/>
    <s v="MacBook Air M3 Campaign"/>
    <n v="7.6641109749832043E-2"/>
    <x v="12"/>
  </r>
  <r>
    <s v="A117"/>
    <s v="Instagram"/>
    <d v="2024-11-04T00:00:00"/>
    <s v="Image"/>
    <n v="14015"/>
    <n v="978"/>
    <n v="196"/>
    <n v="2744"/>
    <n v="20190"/>
    <n v="186470"/>
    <s v="Sustainability Awareness Drive"/>
    <n v="8.1455462004611998E-2"/>
    <x v="6"/>
  </r>
  <r>
    <s v="A117"/>
    <s v="Instagram"/>
    <d v="2024-11-04T00:00:00"/>
    <s v="Image"/>
    <n v="14015"/>
    <n v="978"/>
    <n v="196"/>
    <n v="2744"/>
    <n v="20190"/>
    <n v="186470"/>
    <s v="Sustainability Awareness Drive"/>
    <n v="8.1455462004611998E-2"/>
    <x v="14"/>
  </r>
  <r>
    <s v="A118"/>
    <s v="Twitter"/>
    <d v="2024-11-04T00:00:00"/>
    <s v="Video"/>
    <n v="14234"/>
    <n v="1013"/>
    <n v="437"/>
    <n v="338"/>
    <n v="67754"/>
    <n v="160030"/>
    <s v="Sustainability Awareness Drive"/>
    <n v="9.8006623758045364E-2"/>
    <x v="8"/>
  </r>
  <r>
    <s v="A119"/>
    <s v="LinkedIn"/>
    <d v="2025-02-07T00:00:00"/>
    <s v="Carousel"/>
    <n v="20290"/>
    <n v="619"/>
    <n v="927"/>
    <n v="1186"/>
    <n v="8924"/>
    <n v="96503"/>
    <s v="MacBook Air M3 Campaign"/>
    <n v="0.22627275835984373"/>
    <x v="17"/>
  </r>
  <r>
    <s v="A119"/>
    <s v="LinkedIn"/>
    <d v="2025-02-07T00:00:00"/>
    <s v="Carousel"/>
    <n v="20290"/>
    <n v="619"/>
    <n v="927"/>
    <n v="1186"/>
    <n v="8924"/>
    <n v="96503"/>
    <s v="MacBook Air M3 Campaign"/>
    <n v="0.22627275835984373"/>
    <x v="18"/>
  </r>
  <r>
    <s v="A120"/>
    <s v="Instagram"/>
    <d v="2024-10-21T00:00:00"/>
    <s v="Video"/>
    <n v="8254"/>
    <n v="1405"/>
    <n v="165"/>
    <n v="2504"/>
    <n v="8081"/>
    <n v="177710"/>
    <s v="Apple Watch Ultra 2 Launch"/>
    <n v="5.5281075910190762E-2"/>
    <x v="6"/>
  </r>
  <r>
    <s v="A120"/>
    <s v="Instagram"/>
    <d v="2024-10-21T00:00:00"/>
    <s v="Video"/>
    <n v="8254"/>
    <n v="1405"/>
    <n v="165"/>
    <n v="2504"/>
    <n v="8081"/>
    <n v="177710"/>
    <s v="Apple Watch Ultra 2 Launch"/>
    <n v="5.5281075910190762E-2"/>
    <x v="7"/>
  </r>
  <r>
    <s v="A121"/>
    <s v="LinkedIn"/>
    <d v="2024-07-29T00:00:00"/>
    <s v="Video"/>
    <n v="19144"/>
    <n v="1182"/>
    <n v="860"/>
    <n v="1398"/>
    <n v="4185"/>
    <n v="46570"/>
    <s v="Apple Watch Ultra 2 Launch"/>
    <n v="0.454928065278076"/>
    <x v="0"/>
  </r>
  <r>
    <s v="A121"/>
    <s v="LinkedIn"/>
    <d v="2024-07-29T00:00:00"/>
    <s v="Video"/>
    <n v="19144"/>
    <n v="1182"/>
    <n v="860"/>
    <n v="1398"/>
    <n v="4185"/>
    <n v="46570"/>
    <s v="Apple Watch Ultra 2 Launch"/>
    <n v="0.454928065278076"/>
    <x v="1"/>
  </r>
  <r>
    <s v="A122"/>
    <s v="Instagram"/>
    <d v="2024-10-02T00:00:00"/>
    <s v="Video"/>
    <n v="9350"/>
    <n v="1024"/>
    <n v="550"/>
    <n v="2123"/>
    <n v="53916"/>
    <n v="108785"/>
    <s v="Sustainability Awareness Drive"/>
    <n v="0.10041825619340902"/>
    <x v="15"/>
  </r>
  <r>
    <s v="A122"/>
    <s v="Instagram"/>
    <d v="2024-10-02T00:00:00"/>
    <s v="Video"/>
    <n v="9350"/>
    <n v="1024"/>
    <n v="550"/>
    <n v="2123"/>
    <n v="53916"/>
    <n v="108785"/>
    <s v="Sustainability Awareness Drive"/>
    <n v="0.10041825619340902"/>
    <x v="8"/>
  </r>
  <r>
    <s v="A123"/>
    <s v="Twitter"/>
    <d v="2024-06-14T00:00:00"/>
    <s v="Video"/>
    <n v="17183"/>
    <n v="1224"/>
    <n v="943"/>
    <n v="2010"/>
    <n v="21481"/>
    <n v="49110"/>
    <s v="Sustainability Awareness Drive"/>
    <n v="0.39401343921808185"/>
    <x v="6"/>
  </r>
  <r>
    <s v="A123"/>
    <s v="Twitter"/>
    <d v="2024-06-14T00:00:00"/>
    <s v="Video"/>
    <n v="17183"/>
    <n v="1224"/>
    <n v="943"/>
    <n v="2010"/>
    <n v="21481"/>
    <n v="49110"/>
    <s v="Sustainability Awareness Drive"/>
    <n v="0.39401343921808185"/>
    <x v="14"/>
  </r>
  <r>
    <s v="A124"/>
    <s v="YouTube"/>
    <d v="2025-04-06T00:00:00"/>
    <s v="Tweet"/>
    <n v="8238"/>
    <n v="766"/>
    <n v="235"/>
    <n v="1273"/>
    <n v="4706"/>
    <n v="119141"/>
    <s v="iPhone 16 Launch"/>
    <n v="7.7546772311798629E-2"/>
    <x v="15"/>
  </r>
  <r>
    <s v="A124"/>
    <s v="YouTube"/>
    <d v="2025-04-06T00:00:00"/>
    <s v="Tweet"/>
    <n v="8238"/>
    <n v="766"/>
    <n v="235"/>
    <n v="1273"/>
    <n v="4706"/>
    <n v="119141"/>
    <s v="iPhone 16 Launch"/>
    <n v="7.7546772311798629E-2"/>
    <x v="8"/>
  </r>
  <r>
    <s v="A125"/>
    <s v="Instagram"/>
    <d v="2024-09-08T00:00:00"/>
    <s v="Carousel"/>
    <n v="8090"/>
    <n v="570"/>
    <n v="399"/>
    <n v="1862"/>
    <n v="34088"/>
    <n v="52115"/>
    <s v="Apple Watch Ultra 2 Launch"/>
    <n v="0.17382711311522595"/>
    <x v="0"/>
  </r>
  <r>
    <s v="A125"/>
    <s v="Instagram"/>
    <d v="2024-09-08T00:00:00"/>
    <s v="Carousel"/>
    <n v="8090"/>
    <n v="570"/>
    <n v="399"/>
    <n v="1862"/>
    <n v="34088"/>
    <n v="52115"/>
    <s v="Apple Watch Ultra 2 Launch"/>
    <n v="0.17382711311522595"/>
    <x v="1"/>
  </r>
  <r>
    <s v="A126"/>
    <s v="LinkedIn"/>
    <d v="2025-03-28T00:00:00"/>
    <s v="Image"/>
    <n v="13637"/>
    <n v="1135"/>
    <n v="540"/>
    <n v="1288"/>
    <n v="45183"/>
    <n v="79062"/>
    <s v="MacBook Air M3 Campaign"/>
    <n v="0.19367079001290127"/>
    <x v="11"/>
  </r>
  <r>
    <s v="A126"/>
    <s v="LinkedIn"/>
    <d v="2025-03-28T00:00:00"/>
    <s v="Image"/>
    <n v="13637"/>
    <n v="1135"/>
    <n v="540"/>
    <n v="1288"/>
    <n v="45183"/>
    <n v="79062"/>
    <s v="MacBook Air M3 Campaign"/>
    <n v="0.19367079001290127"/>
    <x v="12"/>
  </r>
  <r>
    <s v="A127"/>
    <s v="Twitter"/>
    <d v="2025-01-27T00:00:00"/>
    <s v="Image"/>
    <n v="24415"/>
    <n v="860"/>
    <n v="931"/>
    <n v="320"/>
    <n v="65049"/>
    <n v="62911"/>
    <s v="Apple Watch Ultra 2 Launch"/>
    <n v="0.41655672298962027"/>
    <x v="6"/>
  </r>
  <r>
    <s v="A127"/>
    <s v="Twitter"/>
    <d v="2025-01-27T00:00:00"/>
    <s v="Image"/>
    <n v="24415"/>
    <n v="860"/>
    <n v="931"/>
    <n v="320"/>
    <n v="65049"/>
    <n v="62911"/>
    <s v="Apple Watch Ultra 2 Launch"/>
    <n v="0.41655672298962027"/>
    <x v="14"/>
  </r>
  <r>
    <s v="A128"/>
    <s v="Instagram"/>
    <d v="2025-01-10T00:00:00"/>
    <s v="Carousel"/>
    <n v="14647"/>
    <n v="1168"/>
    <n v="484"/>
    <n v="2650"/>
    <n v="27217"/>
    <n v="144061"/>
    <s v="iPhone 16 Launch"/>
    <n v="0.11313957281984714"/>
    <x v="15"/>
  </r>
  <r>
    <s v="A128"/>
    <s v="Instagram"/>
    <d v="2025-01-10T00:00:00"/>
    <s v="Carousel"/>
    <n v="14647"/>
    <n v="1168"/>
    <n v="484"/>
    <n v="2650"/>
    <n v="27217"/>
    <n v="144061"/>
    <s v="iPhone 16 Launch"/>
    <n v="0.11313957281984714"/>
    <x v="8"/>
  </r>
  <r>
    <s v="A129"/>
    <s v="LinkedIn"/>
    <d v="2024-07-21T00:00:00"/>
    <s v="Image"/>
    <n v="11911"/>
    <n v="1360"/>
    <n v="778"/>
    <n v="1168"/>
    <n v="16483"/>
    <n v="72556"/>
    <s v="Sustainability Awareness Drive"/>
    <n v="0.19362974805667346"/>
    <x v="6"/>
  </r>
  <r>
    <s v="A129"/>
    <s v="LinkedIn"/>
    <d v="2024-07-21T00:00:00"/>
    <s v="Image"/>
    <n v="11911"/>
    <n v="1360"/>
    <n v="778"/>
    <n v="1168"/>
    <n v="16483"/>
    <n v="72556"/>
    <s v="Sustainability Awareness Drive"/>
    <n v="0.19362974805667346"/>
    <x v="7"/>
  </r>
  <r>
    <s v="A130"/>
    <s v="LinkedIn"/>
    <d v="2024-09-29T00:00:00"/>
    <s v="Carousel"/>
    <n v="10472"/>
    <n v="401"/>
    <n v="668"/>
    <n v="383"/>
    <n v="37571"/>
    <n v="249203"/>
    <s v="Sustainability Awareness Drive"/>
    <n v="4.6311641513143903E-2"/>
    <x v="2"/>
  </r>
  <r>
    <s v="A130"/>
    <s v="LinkedIn"/>
    <d v="2024-09-29T00:00:00"/>
    <s v="Carousel"/>
    <n v="10472"/>
    <n v="401"/>
    <n v="668"/>
    <n v="383"/>
    <n v="37571"/>
    <n v="249203"/>
    <s v="Sustainability Awareness Drive"/>
    <n v="4.6311641513143903E-2"/>
    <x v="3"/>
  </r>
  <r>
    <s v="A131"/>
    <s v="LinkedIn"/>
    <d v="2024-10-21T00:00:00"/>
    <s v="Image"/>
    <n v="20271"/>
    <n v="512"/>
    <n v="286"/>
    <n v="1982"/>
    <n v="43225"/>
    <n v="168335"/>
    <s v="iPhone 16 Launch"/>
    <n v="0.12516113701844536"/>
    <x v="13"/>
  </r>
  <r>
    <s v="A131"/>
    <s v="LinkedIn"/>
    <d v="2024-10-21T00:00:00"/>
    <s v="Image"/>
    <n v="20271"/>
    <n v="512"/>
    <n v="286"/>
    <n v="1982"/>
    <n v="43225"/>
    <n v="168335"/>
    <s v="iPhone 16 Launch"/>
    <n v="0.12516113701844536"/>
    <x v="6"/>
  </r>
  <r>
    <s v="A132"/>
    <s v="Instagram"/>
    <d v="2025-03-04T00:00:00"/>
    <s v="Video"/>
    <n v="5266"/>
    <n v="316"/>
    <n v="837"/>
    <n v="2276"/>
    <n v="20967"/>
    <n v="41969"/>
    <s v="MacBook Air M3 Campaign"/>
    <n v="0.1529462222116324"/>
    <x v="2"/>
  </r>
  <r>
    <s v="A132"/>
    <s v="Instagram"/>
    <d v="2025-03-04T00:00:00"/>
    <s v="Video"/>
    <n v="5266"/>
    <n v="316"/>
    <n v="837"/>
    <n v="2276"/>
    <n v="20967"/>
    <n v="41969"/>
    <s v="MacBook Air M3 Campaign"/>
    <n v="0.1529462222116324"/>
    <x v="3"/>
  </r>
  <r>
    <s v="A133"/>
    <s v="Instagram"/>
    <d v="2025-02-06T00:00:00"/>
    <s v="Image"/>
    <n v="2666"/>
    <n v="1136"/>
    <n v="989"/>
    <n v="1710"/>
    <n v="36467"/>
    <n v="83753"/>
    <s v="Sustainability Awareness Drive"/>
    <n v="5.7203921053574198E-2"/>
    <x v="0"/>
  </r>
  <r>
    <s v="A133"/>
    <s v="Instagram"/>
    <d v="2025-02-06T00:00:00"/>
    <s v="Image"/>
    <n v="2666"/>
    <n v="1136"/>
    <n v="989"/>
    <n v="1710"/>
    <n v="36467"/>
    <n v="83753"/>
    <s v="Sustainability Awareness Drive"/>
    <n v="5.7203921053574198E-2"/>
    <x v="1"/>
  </r>
  <r>
    <s v="A134"/>
    <s v="Instagram"/>
    <d v="2025-10-01T00:00:00"/>
    <s v="Carousel"/>
    <n v="6188"/>
    <n v="774"/>
    <n v="647"/>
    <n v="1830"/>
    <n v="55436"/>
    <n v="175542"/>
    <s v="Apple Event September 2025"/>
    <n v="4.3345752013763089E-2"/>
    <x v="8"/>
  </r>
  <r>
    <s v="A135"/>
    <s v="YouTube"/>
    <d v="2024-11-28T00:00:00"/>
    <s v="Carousel"/>
    <n v="19055"/>
    <n v="443"/>
    <n v="976"/>
    <n v="869"/>
    <n v="75437"/>
    <n v="161863"/>
    <s v="Sustainability Awareness Drive"/>
    <n v="0.12648968572187591"/>
    <x v="13"/>
  </r>
  <r>
    <s v="A135"/>
    <s v="YouTube"/>
    <d v="2024-11-28T00:00:00"/>
    <s v="Carousel"/>
    <n v="19055"/>
    <n v="443"/>
    <n v="976"/>
    <n v="869"/>
    <n v="75437"/>
    <n v="161863"/>
    <s v="Sustainability Awareness Drive"/>
    <n v="0.12648968572187591"/>
    <x v="6"/>
  </r>
  <r>
    <s v="A136"/>
    <s v="Instagram"/>
    <d v="2025-10-02T00:00:00"/>
    <s v="Carousel"/>
    <n v="12161"/>
    <n v="736"/>
    <n v="876"/>
    <n v="1233"/>
    <n v="21337"/>
    <n v="50225"/>
    <s v="Apple Event September 2025"/>
    <n v="0.27422598307615731"/>
    <x v="4"/>
  </r>
  <r>
    <s v="A136"/>
    <s v="Instagram"/>
    <d v="2025-10-02T00:00:00"/>
    <s v="Carousel"/>
    <n v="12161"/>
    <n v="736"/>
    <n v="876"/>
    <n v="1233"/>
    <n v="21337"/>
    <n v="50225"/>
    <s v="Apple Event September 2025"/>
    <n v="0.27422598307615731"/>
    <x v="5"/>
  </r>
  <r>
    <s v="A137"/>
    <s v="Instagram"/>
    <d v="2024-07-31T00:00:00"/>
    <s v="Carousel"/>
    <n v="13314"/>
    <n v="274"/>
    <n v="626"/>
    <n v="2280"/>
    <n v="14639"/>
    <n v="163008"/>
    <s v="iPhone 16 Launch"/>
    <n v="8.7198174322732622E-2"/>
    <x v="6"/>
  </r>
  <r>
    <s v="A137"/>
    <s v="Instagram"/>
    <d v="2024-07-31T00:00:00"/>
    <s v="Carousel"/>
    <n v="13314"/>
    <n v="274"/>
    <n v="626"/>
    <n v="2280"/>
    <n v="14639"/>
    <n v="163008"/>
    <s v="iPhone 16 Launch"/>
    <n v="8.7198174322732622E-2"/>
    <x v="7"/>
  </r>
  <r>
    <s v="A138"/>
    <s v="Instagram"/>
    <d v="2025-03-29T00:00:00"/>
    <s v="Carousel"/>
    <n v="23508"/>
    <n v="585"/>
    <n v="743"/>
    <n v="2155"/>
    <n v="3704"/>
    <n v="194268"/>
    <s v="iPhone 16 Launch"/>
    <n v="0.1278440093067309"/>
    <x v="4"/>
  </r>
  <r>
    <s v="A138"/>
    <s v="Instagram"/>
    <d v="2025-03-29T00:00:00"/>
    <s v="Carousel"/>
    <n v="23508"/>
    <n v="585"/>
    <n v="743"/>
    <n v="2155"/>
    <n v="3704"/>
    <n v="194268"/>
    <s v="iPhone 16 Launch"/>
    <n v="0.1278440093067309"/>
    <x v="5"/>
  </r>
  <r>
    <s v="A139"/>
    <s v="YouTube"/>
    <d v="2024-10-29T00:00:00"/>
    <s v="Tweet"/>
    <n v="23969"/>
    <n v="1433"/>
    <n v="372"/>
    <n v="1092"/>
    <n v="32147"/>
    <n v="145823"/>
    <s v="Sustainability Awareness Drive"/>
    <n v="0.17674852389540743"/>
    <x v="6"/>
  </r>
  <r>
    <s v="A139"/>
    <s v="YouTube"/>
    <d v="2024-10-29T00:00:00"/>
    <s v="Tweet"/>
    <n v="23969"/>
    <n v="1433"/>
    <n v="372"/>
    <n v="1092"/>
    <n v="32147"/>
    <n v="145823"/>
    <s v="Sustainability Awareness Drive"/>
    <n v="0.17674852389540743"/>
    <x v="14"/>
  </r>
  <r>
    <s v="A140"/>
    <s v="Instagram"/>
    <d v="2024-07-15T00:00:00"/>
    <s v="Tweet"/>
    <n v="14891"/>
    <n v="674"/>
    <n v="521"/>
    <n v="1091"/>
    <n v="18101"/>
    <n v="53669"/>
    <s v="Apple Watch Ultra 2 Launch"/>
    <n v="0.29972609886526674"/>
    <x v="9"/>
  </r>
  <r>
    <s v="A140"/>
    <s v="Instagram"/>
    <d v="2024-07-15T00:00:00"/>
    <s v="Tweet"/>
    <n v="14891"/>
    <n v="674"/>
    <n v="521"/>
    <n v="1091"/>
    <n v="18101"/>
    <n v="53669"/>
    <s v="Apple Watch Ultra 2 Launch"/>
    <n v="0.29972609886526674"/>
    <x v="10"/>
  </r>
  <r>
    <s v="A141"/>
    <s v="LinkedIn"/>
    <d v="2025-10-03T00:00:00"/>
    <s v="Image"/>
    <n v="6777"/>
    <n v="617"/>
    <n v="551"/>
    <n v="2109"/>
    <n v="18559"/>
    <n v="208452"/>
    <s v="Apple Event September 2025"/>
    <n v="3.8114290100358834E-2"/>
    <x v="13"/>
  </r>
  <r>
    <s v="A141"/>
    <s v="LinkedIn"/>
    <d v="2025-10-03T00:00:00"/>
    <s v="Image"/>
    <n v="6777"/>
    <n v="617"/>
    <n v="551"/>
    <n v="2109"/>
    <n v="18559"/>
    <n v="208452"/>
    <s v="Apple Event September 2025"/>
    <n v="3.8114290100358834E-2"/>
    <x v="6"/>
  </r>
  <r>
    <s v="A142"/>
    <s v="Instagram"/>
    <d v="2025-03-25T00:00:00"/>
    <s v="Carousel"/>
    <n v="5900"/>
    <n v="546"/>
    <n v="592"/>
    <n v="1594"/>
    <n v="38627"/>
    <n v="164398"/>
    <s v="MacBook Air M3 Campaign"/>
    <n v="4.2810739790021778E-2"/>
    <x v="4"/>
  </r>
  <r>
    <s v="A142"/>
    <s v="Instagram"/>
    <d v="2025-03-25T00:00:00"/>
    <s v="Carousel"/>
    <n v="5900"/>
    <n v="546"/>
    <n v="592"/>
    <n v="1594"/>
    <n v="38627"/>
    <n v="164398"/>
    <s v="MacBook Air M3 Campaign"/>
    <n v="4.2810739790021778E-2"/>
    <x v="5"/>
  </r>
  <r>
    <s v="A143"/>
    <s v="LinkedIn"/>
    <d v="2024-10-02T00:00:00"/>
    <s v="Image"/>
    <n v="15716"/>
    <n v="839"/>
    <n v="639"/>
    <n v="2839"/>
    <n v="349"/>
    <n v="150677"/>
    <s v="Sustainability Awareness Drive"/>
    <n v="0.11411164278556117"/>
    <x v="4"/>
  </r>
  <r>
    <s v="A143"/>
    <s v="LinkedIn"/>
    <d v="2024-10-02T00:00:00"/>
    <s v="Image"/>
    <n v="15716"/>
    <n v="839"/>
    <n v="639"/>
    <n v="2839"/>
    <n v="349"/>
    <n v="150677"/>
    <s v="Sustainability Awareness Drive"/>
    <n v="0.11411164278556117"/>
    <x v="5"/>
  </r>
  <r>
    <s v="A144"/>
    <s v="LinkedIn"/>
    <d v="2024-10-28T00:00:00"/>
    <s v="Carousel"/>
    <n v="8981"/>
    <n v="1138"/>
    <n v="764"/>
    <n v="2555"/>
    <n v="92810"/>
    <n v="88320"/>
    <s v="MacBook Air M3 Campaign"/>
    <n v="0.1232223731884058"/>
    <x v="15"/>
  </r>
  <r>
    <s v="A144"/>
    <s v="LinkedIn"/>
    <d v="2024-10-28T00:00:00"/>
    <s v="Carousel"/>
    <n v="8981"/>
    <n v="1138"/>
    <n v="764"/>
    <n v="2555"/>
    <n v="92810"/>
    <n v="88320"/>
    <s v="MacBook Air M3 Campaign"/>
    <n v="0.1232223731884058"/>
    <x v="8"/>
  </r>
  <r>
    <s v="A145"/>
    <s v="LinkedIn"/>
    <d v="2024-08-12T00:00:00"/>
    <s v="Carousel"/>
    <n v="8376"/>
    <n v="1154"/>
    <n v="422"/>
    <n v="1907"/>
    <n v="36874"/>
    <n v="218486"/>
    <s v="Sustainability Awareness Drive"/>
    <n v="4.5549829279679245E-2"/>
    <x v="2"/>
  </r>
  <r>
    <s v="A145"/>
    <s v="LinkedIn"/>
    <d v="2024-08-12T00:00:00"/>
    <s v="Carousel"/>
    <n v="8376"/>
    <n v="1154"/>
    <n v="422"/>
    <n v="1907"/>
    <n v="36874"/>
    <n v="218486"/>
    <s v="Sustainability Awareness Drive"/>
    <n v="4.5549829279679245E-2"/>
    <x v="3"/>
  </r>
  <r>
    <s v="A146"/>
    <s v="YouTube"/>
    <d v="2024-06-05T00:00:00"/>
    <s v="Tweet"/>
    <n v="18907"/>
    <n v="1075"/>
    <n v="675"/>
    <n v="1383"/>
    <n v="17875"/>
    <n v="186649"/>
    <s v="Apple Watch Ultra 2 Launch"/>
    <n v="0.11067297440650634"/>
    <x v="15"/>
  </r>
  <r>
    <s v="A146"/>
    <s v="YouTube"/>
    <d v="2024-06-05T00:00:00"/>
    <s v="Tweet"/>
    <n v="18907"/>
    <n v="1075"/>
    <n v="675"/>
    <n v="1383"/>
    <n v="17875"/>
    <n v="186649"/>
    <s v="Apple Watch Ultra 2 Launch"/>
    <n v="0.11067297440650634"/>
    <x v="8"/>
  </r>
  <r>
    <s v="A147"/>
    <s v="YouTube"/>
    <d v="2024-10-21T00:00:00"/>
    <s v="Tweet"/>
    <n v="20777"/>
    <n v="962"/>
    <n v="308"/>
    <n v="2777"/>
    <n v="25529"/>
    <n v="165354"/>
    <s v="Apple Watch Ultra 2 Launch"/>
    <n v="0.13333212380710477"/>
    <x v="13"/>
  </r>
  <r>
    <s v="A147"/>
    <s v="YouTube"/>
    <d v="2024-10-21T00:00:00"/>
    <s v="Tweet"/>
    <n v="20777"/>
    <n v="962"/>
    <n v="308"/>
    <n v="2777"/>
    <n v="25529"/>
    <n v="165354"/>
    <s v="Apple Watch Ultra 2 Launch"/>
    <n v="0.13333212380710477"/>
    <x v="6"/>
  </r>
  <r>
    <s v="A148"/>
    <s v="YouTube"/>
    <d v="2025-04-15T00:00:00"/>
    <s v="Video"/>
    <n v="20977"/>
    <n v="1402"/>
    <n v="301"/>
    <n v="1284"/>
    <n v="24620"/>
    <n v="128009"/>
    <s v="Apple Watch Ultra 2 Launch"/>
    <n v="0.17717504237983267"/>
    <x v="13"/>
  </r>
  <r>
    <s v="A148"/>
    <s v="YouTube"/>
    <d v="2025-04-15T00:00:00"/>
    <s v="Video"/>
    <n v="20977"/>
    <n v="1402"/>
    <n v="301"/>
    <n v="1284"/>
    <n v="24620"/>
    <n v="128009"/>
    <s v="Apple Watch Ultra 2 Launch"/>
    <n v="0.17717504237983267"/>
    <x v="6"/>
  </r>
  <r>
    <s v="A149"/>
    <s v="Instagram"/>
    <d v="2024-06-16T00:00:00"/>
    <s v="Tweet"/>
    <n v="12160"/>
    <n v="1405"/>
    <n v="769"/>
    <n v="1980"/>
    <n v="33174"/>
    <n v="226481"/>
    <s v="Apple Watch Ultra 2 Launch"/>
    <n v="6.329007731332871E-2"/>
    <x v="0"/>
  </r>
  <r>
    <s v="A149"/>
    <s v="Instagram"/>
    <d v="2024-06-16T00:00:00"/>
    <s v="Tweet"/>
    <n v="12160"/>
    <n v="1405"/>
    <n v="769"/>
    <n v="1980"/>
    <n v="33174"/>
    <n v="226481"/>
    <s v="Apple Watch Ultra 2 Launch"/>
    <n v="6.329007731332871E-2"/>
    <x v="1"/>
  </r>
  <r>
    <s v="A150"/>
    <s v="LinkedIn"/>
    <d v="2024-08-22T00:00:00"/>
    <s v="Video"/>
    <n v="16124"/>
    <n v="863"/>
    <n v="337"/>
    <n v="819"/>
    <n v="85788"/>
    <n v="68625"/>
    <s v="iPhone 16 Launch"/>
    <n v="0.25244444444444447"/>
    <x v="15"/>
  </r>
  <r>
    <s v="A150"/>
    <s v="LinkedIn"/>
    <d v="2024-08-22T00:00:00"/>
    <s v="Video"/>
    <n v="16124"/>
    <n v="863"/>
    <n v="337"/>
    <n v="819"/>
    <n v="85788"/>
    <n v="68625"/>
    <s v="iPhone 16 Launch"/>
    <n v="0.25244444444444447"/>
    <x v="8"/>
  </r>
  <r>
    <s v="A151"/>
    <s v="YouTube"/>
    <d v="2024-07-26T00:00:00"/>
    <s v="Video"/>
    <n v="18282"/>
    <n v="224"/>
    <n v="962"/>
    <n v="890"/>
    <n v="35105"/>
    <n v="64089"/>
    <s v="iPhone 16 Launch"/>
    <n v="0.30376507669022768"/>
    <x v="16"/>
  </r>
  <r>
    <s v="A152"/>
    <s v="YouTube"/>
    <d v="2025-10-04T00:00:00"/>
    <s v="Video"/>
    <n v="12488"/>
    <n v="1403"/>
    <n v="247"/>
    <n v="1350"/>
    <n v="28370"/>
    <n v="76487"/>
    <s v="Apple Event September 2025"/>
    <n v="0.18484186855282597"/>
    <x v="17"/>
  </r>
  <r>
    <s v="A152"/>
    <s v="YouTube"/>
    <d v="2025-10-04T00:00:00"/>
    <s v="Video"/>
    <n v="12488"/>
    <n v="1403"/>
    <n v="247"/>
    <n v="1350"/>
    <n v="28370"/>
    <n v="76487"/>
    <s v="Apple Event September 2025"/>
    <n v="0.18484186855282597"/>
    <x v="18"/>
  </r>
  <r>
    <s v="A153"/>
    <s v="Instagram"/>
    <d v="2025-01-01T00:00:00"/>
    <s v="Video"/>
    <n v="24574"/>
    <n v="909"/>
    <n v="280"/>
    <n v="2009"/>
    <n v="6221"/>
    <n v="236910"/>
    <s v="MacBook Air M3 Campaign"/>
    <n v="0.10874593727575872"/>
    <x v="2"/>
  </r>
  <r>
    <s v="A153"/>
    <s v="Instagram"/>
    <d v="2025-01-01T00:00:00"/>
    <s v="Video"/>
    <n v="24574"/>
    <n v="909"/>
    <n v="280"/>
    <n v="2009"/>
    <n v="6221"/>
    <n v="236910"/>
    <s v="MacBook Air M3 Campaign"/>
    <n v="0.10874593727575872"/>
    <x v="3"/>
  </r>
  <r>
    <s v="A154"/>
    <s v="YouTube"/>
    <d v="2024-10-09T00:00:00"/>
    <s v="Video"/>
    <n v="7240"/>
    <n v="1384"/>
    <n v="954"/>
    <n v="2335"/>
    <n v="6757"/>
    <n v="150448"/>
    <s v="Sustainability Awareness Drive"/>
    <n v="6.3663192598106988E-2"/>
    <x v="13"/>
  </r>
  <r>
    <s v="A154"/>
    <s v="YouTube"/>
    <d v="2024-10-09T00:00:00"/>
    <s v="Video"/>
    <n v="7240"/>
    <n v="1384"/>
    <n v="954"/>
    <n v="2335"/>
    <n v="6757"/>
    <n v="150448"/>
    <s v="Sustainability Awareness Drive"/>
    <n v="6.3663192598106988E-2"/>
    <x v="6"/>
  </r>
  <r>
    <s v="A155"/>
    <s v="Instagram"/>
    <d v="2024-12-21T00:00:00"/>
    <s v="Image"/>
    <n v="12453"/>
    <n v="376"/>
    <n v="320"/>
    <n v="2546"/>
    <n v="22617"/>
    <n v="90138"/>
    <s v="Sustainability Awareness Drive"/>
    <n v="0.14587632297144379"/>
    <x v="0"/>
  </r>
  <r>
    <s v="A155"/>
    <s v="Instagram"/>
    <d v="2024-12-21T00:00:00"/>
    <s v="Image"/>
    <n v="12453"/>
    <n v="376"/>
    <n v="320"/>
    <n v="2546"/>
    <n v="22617"/>
    <n v="90138"/>
    <s v="Sustainability Awareness Drive"/>
    <n v="0.14587632297144379"/>
    <x v="1"/>
  </r>
  <r>
    <s v="A156"/>
    <s v="Twitter"/>
    <d v="2024-10-22T00:00:00"/>
    <s v="Tweet"/>
    <n v="12478"/>
    <n v="484"/>
    <n v="332"/>
    <n v="2734"/>
    <n v="43338"/>
    <n v="213895"/>
    <s v="iPhone 16 Launch"/>
    <n v="6.2151990462610156E-2"/>
    <x v="9"/>
  </r>
  <r>
    <s v="A156"/>
    <s v="Twitter"/>
    <d v="2024-10-22T00:00:00"/>
    <s v="Tweet"/>
    <n v="12478"/>
    <n v="484"/>
    <n v="332"/>
    <n v="2734"/>
    <n v="43338"/>
    <n v="213895"/>
    <s v="iPhone 16 Launch"/>
    <n v="6.2151990462610156E-2"/>
    <x v="10"/>
  </r>
  <r>
    <s v="A157"/>
    <s v="YouTube"/>
    <d v="2024-07-23T00:00:00"/>
    <s v="Video"/>
    <n v="24877"/>
    <n v="262"/>
    <n v="513"/>
    <n v="648"/>
    <n v="47544"/>
    <n v="208280"/>
    <s v="Sustainability Awareness Drive"/>
    <n v="0.12316112924908777"/>
    <x v="15"/>
  </r>
  <r>
    <s v="A157"/>
    <s v="YouTube"/>
    <d v="2024-07-23T00:00:00"/>
    <s v="Video"/>
    <n v="24877"/>
    <n v="262"/>
    <n v="513"/>
    <n v="648"/>
    <n v="47544"/>
    <n v="208280"/>
    <s v="Sustainability Awareness Drive"/>
    <n v="0.12316112924908777"/>
    <x v="8"/>
  </r>
  <r>
    <s v="A158"/>
    <s v="Twitter"/>
    <d v="2024-08-11T00:00:00"/>
    <s v="Carousel"/>
    <n v="14394"/>
    <n v="1202"/>
    <n v="188"/>
    <n v="1259"/>
    <n v="21925"/>
    <n v="94061"/>
    <s v="iPhone 16 Launch"/>
    <n v="0.1678059982351878"/>
    <x v="2"/>
  </r>
  <r>
    <s v="A158"/>
    <s v="Twitter"/>
    <d v="2024-08-11T00:00:00"/>
    <s v="Carousel"/>
    <n v="14394"/>
    <n v="1202"/>
    <n v="188"/>
    <n v="1259"/>
    <n v="21925"/>
    <n v="94061"/>
    <s v="iPhone 16 Launch"/>
    <n v="0.1678059982351878"/>
    <x v="3"/>
  </r>
  <r>
    <s v="A159"/>
    <s v="Instagram"/>
    <d v="2025-10-05T00:00:00"/>
    <s v="Tweet"/>
    <n v="21262"/>
    <n v="861"/>
    <n v="676"/>
    <n v="2263"/>
    <n v="12085"/>
    <n v="201731"/>
    <s v="Apple Event September 2025"/>
    <n v="0.11301683925623726"/>
    <x v="9"/>
  </r>
  <r>
    <s v="A159"/>
    <s v="Instagram"/>
    <d v="2025-10-05T00:00:00"/>
    <s v="Tweet"/>
    <n v="21262"/>
    <n v="861"/>
    <n v="676"/>
    <n v="2263"/>
    <n v="12085"/>
    <n v="201731"/>
    <s v="Apple Event September 2025"/>
    <n v="0.11301683925623726"/>
    <x v="10"/>
  </r>
  <r>
    <s v="A160"/>
    <s v="LinkedIn"/>
    <d v="2024-08-24T00:00:00"/>
    <s v="Tweet"/>
    <n v="22527"/>
    <n v="865"/>
    <n v="646"/>
    <n v="992"/>
    <n v="18654"/>
    <n v="141376"/>
    <s v="MacBook Air M3 Campaign"/>
    <n v="0.17002885921231325"/>
    <x v="15"/>
  </r>
  <r>
    <s v="A160"/>
    <s v="LinkedIn"/>
    <d v="2024-08-24T00:00:00"/>
    <s v="Tweet"/>
    <n v="22527"/>
    <n v="865"/>
    <n v="646"/>
    <n v="992"/>
    <n v="18654"/>
    <n v="141376"/>
    <s v="MacBook Air M3 Campaign"/>
    <n v="0.17002885921231325"/>
    <x v="8"/>
  </r>
  <r>
    <s v="A161"/>
    <s v="YouTube"/>
    <d v="2025-10-06T00:00:00"/>
    <s v="Video"/>
    <n v="22028"/>
    <n v="355"/>
    <n v="665"/>
    <n v="1859"/>
    <n v="50565"/>
    <n v="202962"/>
    <s v="Apple Event September 2025"/>
    <n v="0.11355820301337197"/>
    <x v="4"/>
  </r>
  <r>
    <s v="A161"/>
    <s v="YouTube"/>
    <d v="2025-10-06T00:00:00"/>
    <s v="Video"/>
    <n v="22028"/>
    <n v="355"/>
    <n v="665"/>
    <n v="1859"/>
    <n v="50565"/>
    <n v="202962"/>
    <s v="Apple Event September 2025"/>
    <n v="0.11355820301337197"/>
    <x v="5"/>
  </r>
  <r>
    <s v="A162"/>
    <s v="Instagram"/>
    <d v="2025-04-01T00:00:00"/>
    <s v="Image"/>
    <n v="6432"/>
    <n v="1272"/>
    <n v="498"/>
    <n v="677"/>
    <n v="47305"/>
    <n v="119134"/>
    <s v="Apple Watch Ultra 2 Launch"/>
    <n v="6.8846844729464299E-2"/>
    <x v="9"/>
  </r>
  <r>
    <s v="A162"/>
    <s v="Instagram"/>
    <d v="2025-04-01T00:00:00"/>
    <s v="Image"/>
    <n v="6432"/>
    <n v="1272"/>
    <n v="498"/>
    <n v="677"/>
    <n v="47305"/>
    <n v="119134"/>
    <s v="Apple Watch Ultra 2 Launch"/>
    <n v="6.8846844729464299E-2"/>
    <x v="10"/>
  </r>
  <r>
    <s v="A163"/>
    <s v="LinkedIn"/>
    <d v="2025-04-08T00:00:00"/>
    <s v="Video"/>
    <n v="15568"/>
    <n v="1166"/>
    <n v="546"/>
    <n v="826"/>
    <n v="21836"/>
    <n v="87055"/>
    <s v="Apple Watch Ultra 2 Launch"/>
    <n v="0.19849520418126471"/>
    <x v="0"/>
  </r>
  <r>
    <s v="A163"/>
    <s v="LinkedIn"/>
    <d v="2025-04-08T00:00:00"/>
    <s v="Video"/>
    <n v="15568"/>
    <n v="1166"/>
    <n v="546"/>
    <n v="826"/>
    <n v="21836"/>
    <n v="87055"/>
    <s v="Apple Watch Ultra 2 Launch"/>
    <n v="0.19849520418126471"/>
    <x v="1"/>
  </r>
  <r>
    <s v="A164"/>
    <s v="LinkedIn"/>
    <d v="2025-02-27T00:00:00"/>
    <s v="Image"/>
    <n v="16178"/>
    <n v="1048"/>
    <n v="871"/>
    <n v="2553"/>
    <n v="39025"/>
    <n v="59508"/>
    <s v="Apple Watch Ultra 2 Launch"/>
    <n v="0.30411037171472743"/>
    <x v="2"/>
  </r>
  <r>
    <s v="A164"/>
    <s v="LinkedIn"/>
    <d v="2025-02-27T00:00:00"/>
    <s v="Image"/>
    <n v="16178"/>
    <n v="1048"/>
    <n v="871"/>
    <n v="2553"/>
    <n v="39025"/>
    <n v="59508"/>
    <s v="Apple Watch Ultra 2 Launch"/>
    <n v="0.30411037171472743"/>
    <x v="3"/>
  </r>
  <r>
    <s v="A165"/>
    <s v="Twitter"/>
    <d v="2025-10-07T00:00:00"/>
    <s v="Carousel"/>
    <n v="19660"/>
    <n v="1307"/>
    <n v="310"/>
    <n v="2802"/>
    <n v="22171"/>
    <n v="213359"/>
    <s v="Apple Event September 2025"/>
    <n v="9.9723939463533293E-2"/>
    <x v="11"/>
  </r>
  <r>
    <s v="A165"/>
    <s v="Twitter"/>
    <d v="2025-10-07T00:00:00"/>
    <s v="Carousel"/>
    <n v="19660"/>
    <n v="1307"/>
    <n v="310"/>
    <n v="2802"/>
    <n v="22171"/>
    <n v="213359"/>
    <s v="Apple Event September 2025"/>
    <n v="9.9723939463533293E-2"/>
    <x v="12"/>
  </r>
  <r>
    <s v="A166"/>
    <s v="Instagram"/>
    <d v="2025-02-16T00:00:00"/>
    <s v="Tweet"/>
    <n v="24195"/>
    <n v="888"/>
    <n v="165"/>
    <n v="1559"/>
    <n v="11596"/>
    <n v="249988"/>
    <s v="Sustainability Awareness Drive"/>
    <n v="0.10099684784869674"/>
    <x v="6"/>
  </r>
  <r>
    <s v="A166"/>
    <s v="Instagram"/>
    <d v="2025-02-16T00:00:00"/>
    <s v="Tweet"/>
    <n v="24195"/>
    <n v="888"/>
    <n v="165"/>
    <n v="1559"/>
    <n v="11596"/>
    <n v="249988"/>
    <s v="Sustainability Awareness Drive"/>
    <n v="0.10099684784869674"/>
    <x v="14"/>
  </r>
  <r>
    <s v="A167"/>
    <s v="LinkedIn"/>
    <d v="2024-11-28T00:00:00"/>
    <s v="Carousel"/>
    <n v="2302"/>
    <n v="347"/>
    <n v="642"/>
    <n v="2175"/>
    <n v="56378"/>
    <n v="198056"/>
    <s v="MacBook Air M3 Campaign"/>
    <n v="1.6616512501514722E-2"/>
    <x v="6"/>
  </r>
  <r>
    <s v="A167"/>
    <s v="LinkedIn"/>
    <d v="2024-11-28T00:00:00"/>
    <s v="Carousel"/>
    <n v="2302"/>
    <n v="347"/>
    <n v="642"/>
    <n v="2175"/>
    <n v="56378"/>
    <n v="198056"/>
    <s v="MacBook Air M3 Campaign"/>
    <n v="1.6616512501514722E-2"/>
    <x v="14"/>
  </r>
  <r>
    <s v="A168"/>
    <s v="YouTube"/>
    <d v="2024-11-12T00:00:00"/>
    <s v="Image"/>
    <n v="19022"/>
    <n v="541"/>
    <n v="575"/>
    <n v="2063"/>
    <n v="42743"/>
    <n v="150169"/>
    <s v="Apple Watch Ultra 2 Launch"/>
    <n v="0.13410224480418728"/>
    <x v="2"/>
  </r>
  <r>
    <s v="A168"/>
    <s v="YouTube"/>
    <d v="2024-11-12T00:00:00"/>
    <s v="Image"/>
    <n v="19022"/>
    <n v="541"/>
    <n v="575"/>
    <n v="2063"/>
    <n v="42743"/>
    <n v="150169"/>
    <s v="Apple Watch Ultra 2 Launch"/>
    <n v="0.13410224480418728"/>
    <x v="3"/>
  </r>
  <r>
    <s v="A169"/>
    <s v="YouTube"/>
    <d v="2024-12-03T00:00:00"/>
    <s v="Image"/>
    <n v="2055"/>
    <n v="675"/>
    <n v="257"/>
    <n v="820"/>
    <n v="33534"/>
    <n v="48125"/>
    <s v="Apple Watch Ultra 2 Launch"/>
    <n v="6.2067532467532466E-2"/>
    <x v="9"/>
  </r>
  <r>
    <s v="A169"/>
    <s v="YouTube"/>
    <d v="2024-12-03T00:00:00"/>
    <s v="Image"/>
    <n v="2055"/>
    <n v="675"/>
    <n v="257"/>
    <n v="820"/>
    <n v="33534"/>
    <n v="48125"/>
    <s v="Apple Watch Ultra 2 Launch"/>
    <n v="6.2067532467532466E-2"/>
    <x v="10"/>
  </r>
  <r>
    <s v="A170"/>
    <s v="Twitter"/>
    <d v="2025-04-28T00:00:00"/>
    <s v="Carousel"/>
    <n v="15013"/>
    <n v="1286"/>
    <n v="599"/>
    <n v="2001"/>
    <n v="67839"/>
    <n v="76059"/>
    <s v="Apple Watch Ultra 2 Launch"/>
    <n v="0.22216963147030594"/>
    <x v="15"/>
  </r>
  <r>
    <s v="A170"/>
    <s v="Twitter"/>
    <d v="2025-04-28T00:00:00"/>
    <s v="Carousel"/>
    <n v="15013"/>
    <n v="1286"/>
    <n v="599"/>
    <n v="2001"/>
    <n v="67839"/>
    <n v="76059"/>
    <s v="Apple Watch Ultra 2 Launch"/>
    <n v="0.22216963147030594"/>
    <x v="8"/>
  </r>
  <r>
    <s v="A171"/>
    <s v="LinkedIn"/>
    <d v="2024-12-31T00:00:00"/>
    <s v="Image"/>
    <n v="10717"/>
    <n v="760"/>
    <n v="460"/>
    <n v="1316"/>
    <n v="18164"/>
    <n v="240641"/>
    <s v="MacBook Air M3 Campaign"/>
    <n v="4.9605013277039242E-2"/>
    <x v="0"/>
  </r>
  <r>
    <s v="A171"/>
    <s v="LinkedIn"/>
    <d v="2024-12-31T00:00:00"/>
    <s v="Image"/>
    <n v="10717"/>
    <n v="760"/>
    <n v="460"/>
    <n v="1316"/>
    <n v="18164"/>
    <n v="240641"/>
    <s v="MacBook Air M3 Campaign"/>
    <n v="4.9605013277039242E-2"/>
    <x v="1"/>
  </r>
  <r>
    <s v="A172"/>
    <s v="Instagram"/>
    <d v="2024-08-14T00:00:00"/>
    <s v="Carousel"/>
    <n v="10150"/>
    <n v="526"/>
    <n v="888"/>
    <n v="1313"/>
    <n v="51605"/>
    <n v="143409"/>
    <s v="Apple Watch Ultra 2 Launch"/>
    <n v="8.0636501195880311E-2"/>
    <x v="17"/>
  </r>
  <r>
    <s v="A172"/>
    <s v="Instagram"/>
    <d v="2024-08-14T00:00:00"/>
    <s v="Carousel"/>
    <n v="10150"/>
    <n v="526"/>
    <n v="888"/>
    <n v="1313"/>
    <n v="51605"/>
    <n v="143409"/>
    <s v="Apple Watch Ultra 2 Launch"/>
    <n v="8.0636501195880311E-2"/>
    <x v="18"/>
  </r>
  <r>
    <s v="A173"/>
    <s v="YouTube"/>
    <d v="2024-12-05T00:00:00"/>
    <s v="Tweet"/>
    <n v="4125"/>
    <n v="1364"/>
    <n v="319"/>
    <n v="2848"/>
    <n v="15379"/>
    <n v="188159"/>
    <s v="MacBook Air M3 Campaign"/>
    <n v="3.0867510988047343E-2"/>
    <x v="6"/>
  </r>
  <r>
    <s v="A173"/>
    <s v="YouTube"/>
    <d v="2024-12-05T00:00:00"/>
    <s v="Tweet"/>
    <n v="4125"/>
    <n v="1364"/>
    <n v="319"/>
    <n v="2848"/>
    <n v="15379"/>
    <n v="188159"/>
    <s v="MacBook Air M3 Campaign"/>
    <n v="3.0867510988047343E-2"/>
    <x v="14"/>
  </r>
  <r>
    <s v="A174"/>
    <s v="LinkedIn"/>
    <d v="2024-06-22T00:00:00"/>
    <s v="Carousel"/>
    <n v="13479"/>
    <n v="1189"/>
    <n v="695"/>
    <n v="416"/>
    <n v="30229"/>
    <n v="45704"/>
    <s v="Apple Watch Ultra 2 Launch"/>
    <n v="0.33614125678277612"/>
    <x v="0"/>
  </r>
  <r>
    <s v="A174"/>
    <s v="LinkedIn"/>
    <d v="2024-06-22T00:00:00"/>
    <s v="Carousel"/>
    <n v="13479"/>
    <n v="1189"/>
    <n v="695"/>
    <n v="416"/>
    <n v="30229"/>
    <n v="45704"/>
    <s v="Apple Watch Ultra 2 Launch"/>
    <n v="0.33614125678277612"/>
    <x v="1"/>
  </r>
  <r>
    <s v="A175"/>
    <s v="LinkedIn"/>
    <d v="2025-10-08T00:00:00"/>
    <s v="Tweet"/>
    <n v="17745"/>
    <n v="414"/>
    <n v="563"/>
    <n v="2733"/>
    <n v="995"/>
    <n v="231648"/>
    <s v="Apple Event September 2025"/>
    <n v="8.0820900676889074E-2"/>
    <x v="6"/>
  </r>
  <r>
    <s v="A175"/>
    <s v="LinkedIn"/>
    <d v="2025-10-08T00:00:00"/>
    <s v="Tweet"/>
    <n v="17745"/>
    <n v="414"/>
    <n v="563"/>
    <n v="2733"/>
    <n v="995"/>
    <n v="231648"/>
    <s v="Apple Event September 2025"/>
    <n v="8.0820900676889074E-2"/>
    <x v="14"/>
  </r>
  <r>
    <s v="A176"/>
    <s v="Twitter"/>
    <d v="2025-10-09T00:00:00"/>
    <s v="Carousel"/>
    <n v="18748"/>
    <n v="634"/>
    <n v="400"/>
    <n v="1667"/>
    <n v="75813"/>
    <n v="244456"/>
    <s v="Apple Event September 2025"/>
    <n v="8.0922538207284747E-2"/>
    <x v="4"/>
  </r>
  <r>
    <s v="A176"/>
    <s v="Twitter"/>
    <d v="2025-10-09T00:00:00"/>
    <s v="Carousel"/>
    <n v="18748"/>
    <n v="634"/>
    <n v="400"/>
    <n v="1667"/>
    <n v="75813"/>
    <n v="244456"/>
    <s v="Apple Event September 2025"/>
    <n v="8.0922538207284747E-2"/>
    <x v="5"/>
  </r>
  <r>
    <s v="A177"/>
    <s v="YouTube"/>
    <d v="2024-07-10T00:00:00"/>
    <s v="Image"/>
    <n v="8809"/>
    <n v="1151"/>
    <n v="908"/>
    <n v="883"/>
    <n v="42921"/>
    <n v="151279"/>
    <s v="MacBook Air M3 Campaign"/>
    <n v="7.1840771025720687E-2"/>
    <x v="15"/>
  </r>
  <r>
    <s v="A177"/>
    <s v="YouTube"/>
    <d v="2024-07-10T00:00:00"/>
    <s v="Image"/>
    <n v="8809"/>
    <n v="1151"/>
    <n v="908"/>
    <n v="883"/>
    <n v="42921"/>
    <n v="151279"/>
    <s v="MacBook Air M3 Campaign"/>
    <n v="7.1840771025720687E-2"/>
    <x v="8"/>
  </r>
  <r>
    <s v="A178"/>
    <s v="YouTube"/>
    <d v="2025-10-10T00:00:00"/>
    <s v="Carousel"/>
    <n v="6621"/>
    <n v="922"/>
    <n v="930"/>
    <n v="694"/>
    <n v="839"/>
    <n v="243532"/>
    <s v="Apple Event September 2025"/>
    <n v="3.479214230573395E-2"/>
    <x v="4"/>
  </r>
  <r>
    <s v="A178"/>
    <s v="YouTube"/>
    <d v="2025-10-10T00:00:00"/>
    <s v="Carousel"/>
    <n v="6621"/>
    <n v="922"/>
    <n v="930"/>
    <n v="694"/>
    <n v="839"/>
    <n v="243532"/>
    <s v="Apple Event September 2025"/>
    <n v="3.479214230573395E-2"/>
    <x v="5"/>
  </r>
  <r>
    <s v="A179"/>
    <s v="Instagram"/>
    <d v="2024-07-15T00:00:00"/>
    <s v="Image"/>
    <n v="17034"/>
    <n v="231"/>
    <n v="290"/>
    <n v="1387"/>
    <n v="63550"/>
    <n v="198280"/>
    <s v="MacBook Air M3 Campaign"/>
    <n v="8.8536413153116805E-2"/>
    <x v="6"/>
  </r>
  <r>
    <s v="A179"/>
    <s v="Instagram"/>
    <d v="2024-07-15T00:00:00"/>
    <s v="Image"/>
    <n v="17034"/>
    <n v="231"/>
    <n v="290"/>
    <n v="1387"/>
    <n v="63550"/>
    <n v="198280"/>
    <s v="MacBook Air M3 Campaign"/>
    <n v="8.8536413153116805E-2"/>
    <x v="14"/>
  </r>
  <r>
    <s v="A180"/>
    <s v="YouTube"/>
    <d v="2025-10-11T00:00:00"/>
    <s v="Carousel"/>
    <n v="15623"/>
    <n v="869"/>
    <n v="423"/>
    <n v="371"/>
    <n v="47579"/>
    <n v="158516"/>
    <s v="Apple Event September 2025"/>
    <n v="0.10670847106916652"/>
    <x v="11"/>
  </r>
  <r>
    <s v="A180"/>
    <s v="YouTube"/>
    <d v="2025-10-11T00:00:00"/>
    <s v="Carousel"/>
    <n v="15623"/>
    <n v="869"/>
    <n v="423"/>
    <n v="371"/>
    <n v="47579"/>
    <n v="158516"/>
    <s v="Apple Event September 2025"/>
    <n v="0.10670847106916652"/>
    <x v="12"/>
  </r>
  <r>
    <s v="A181"/>
    <s v="Instagram"/>
    <d v="2025-10-12T00:00:00"/>
    <s v="Carousel"/>
    <n v="7126"/>
    <n v="484"/>
    <n v="565"/>
    <n v="573"/>
    <n v="7389"/>
    <n v="237096"/>
    <s v="Apple Event September 2025"/>
    <n v="3.4479704423524646E-2"/>
    <x v="11"/>
  </r>
  <r>
    <s v="A181"/>
    <s v="Instagram"/>
    <d v="2025-10-12T00:00:00"/>
    <s v="Carousel"/>
    <n v="7126"/>
    <n v="484"/>
    <n v="565"/>
    <n v="573"/>
    <n v="7389"/>
    <n v="237096"/>
    <s v="Apple Event September 2025"/>
    <n v="3.4479704423524646E-2"/>
    <x v="12"/>
  </r>
  <r>
    <s v="A182"/>
    <s v="YouTube"/>
    <d v="2024-07-31T00:00:00"/>
    <s v="Video"/>
    <n v="7122"/>
    <n v="628"/>
    <n v="757"/>
    <n v="2313"/>
    <n v="50924"/>
    <n v="210954"/>
    <s v="MacBook Air M3 Campaign"/>
    <n v="4.0326327066564277E-2"/>
    <x v="4"/>
  </r>
  <r>
    <s v="A182"/>
    <s v="YouTube"/>
    <d v="2024-07-31T00:00:00"/>
    <s v="Video"/>
    <n v="7122"/>
    <n v="628"/>
    <n v="757"/>
    <n v="2313"/>
    <n v="50924"/>
    <n v="210954"/>
    <s v="MacBook Air M3 Campaign"/>
    <n v="4.0326327066564277E-2"/>
    <x v="5"/>
  </r>
  <r>
    <s v="A183"/>
    <s v="Twitter"/>
    <d v="2024-12-17T00:00:00"/>
    <s v="Image"/>
    <n v="20030"/>
    <n v="485"/>
    <n v="888"/>
    <n v="1643"/>
    <n v="4322"/>
    <n v="196995"/>
    <s v="Sustainability Awareness Drive"/>
    <n v="0.10864742759968526"/>
    <x v="11"/>
  </r>
  <r>
    <s v="A183"/>
    <s v="Twitter"/>
    <d v="2024-12-17T00:00:00"/>
    <s v="Image"/>
    <n v="20030"/>
    <n v="485"/>
    <n v="888"/>
    <n v="1643"/>
    <n v="4322"/>
    <n v="196995"/>
    <s v="Sustainability Awareness Drive"/>
    <n v="0.10864742759968526"/>
    <x v="12"/>
  </r>
  <r>
    <s v="A184"/>
    <s v="YouTube"/>
    <d v="2025-10-13T00:00:00"/>
    <s v="Video"/>
    <n v="19302"/>
    <n v="1367"/>
    <n v="188"/>
    <n v="637"/>
    <n v="31404"/>
    <n v="154044"/>
    <s v="Apple Event September 2025"/>
    <n v="0.13539638025499209"/>
    <x v="6"/>
  </r>
  <r>
    <s v="A184"/>
    <s v="YouTube"/>
    <d v="2025-10-13T00:00:00"/>
    <s v="Video"/>
    <n v="19302"/>
    <n v="1367"/>
    <n v="188"/>
    <n v="637"/>
    <n v="31404"/>
    <n v="154044"/>
    <s v="Apple Event September 2025"/>
    <n v="0.13539638025499209"/>
    <x v="14"/>
  </r>
  <r>
    <s v="A185"/>
    <s v="Instagram"/>
    <d v="2025-01-11T00:00:00"/>
    <s v="Image"/>
    <n v="21181"/>
    <n v="1242"/>
    <n v="963"/>
    <n v="1689"/>
    <n v="49329"/>
    <n v="69165"/>
    <s v="Apple Watch Ultra 2 Launch"/>
    <n v="0.33811899081905589"/>
    <x v="2"/>
  </r>
  <r>
    <s v="A185"/>
    <s v="Instagram"/>
    <d v="2025-01-11T00:00:00"/>
    <s v="Image"/>
    <n v="21181"/>
    <n v="1242"/>
    <n v="963"/>
    <n v="1689"/>
    <n v="49329"/>
    <n v="69165"/>
    <s v="Apple Watch Ultra 2 Launch"/>
    <n v="0.33811899081905589"/>
    <x v="3"/>
  </r>
  <r>
    <s v="A186"/>
    <s v="Instagram"/>
    <d v="2024-08-24T00:00:00"/>
    <s v="Video"/>
    <n v="24890"/>
    <n v="217"/>
    <n v="178"/>
    <n v="906"/>
    <n v="54826"/>
    <n v="107203"/>
    <s v="Sustainability Awareness Drive"/>
    <n v="0.23586093672751696"/>
    <x v="4"/>
  </r>
  <r>
    <s v="A186"/>
    <s v="Instagram"/>
    <d v="2024-08-24T00:00:00"/>
    <s v="Video"/>
    <n v="24890"/>
    <n v="217"/>
    <n v="178"/>
    <n v="906"/>
    <n v="54826"/>
    <n v="107203"/>
    <s v="Sustainability Awareness Drive"/>
    <n v="0.23586093672751696"/>
    <x v="5"/>
  </r>
  <r>
    <s v="A187"/>
    <s v="Twitter"/>
    <d v="2024-12-22T00:00:00"/>
    <s v="Tweet"/>
    <n v="7870"/>
    <n v="968"/>
    <n v="626"/>
    <n v="465"/>
    <n v="27184"/>
    <n v="44114"/>
    <s v="MacBook Air M3 Campaign"/>
    <n v="0.2145350682323072"/>
    <x v="17"/>
  </r>
  <r>
    <s v="A187"/>
    <s v="Twitter"/>
    <d v="2024-12-22T00:00:00"/>
    <s v="Tweet"/>
    <n v="7870"/>
    <n v="968"/>
    <n v="626"/>
    <n v="465"/>
    <n v="27184"/>
    <n v="44114"/>
    <s v="MacBook Air M3 Campaign"/>
    <n v="0.2145350682323072"/>
    <x v="18"/>
  </r>
  <r>
    <s v="A188"/>
    <s v="YouTube"/>
    <d v="2024-06-06T00:00:00"/>
    <s v="Carousel"/>
    <n v="3531"/>
    <n v="789"/>
    <n v="467"/>
    <n v="1867"/>
    <n v="40816"/>
    <n v="236037"/>
    <s v="Sustainability Awareness Drive"/>
    <n v="2.0280718700881641E-2"/>
    <x v="17"/>
  </r>
  <r>
    <s v="A188"/>
    <s v="YouTube"/>
    <d v="2024-06-06T00:00:00"/>
    <s v="Carousel"/>
    <n v="3531"/>
    <n v="789"/>
    <n v="467"/>
    <n v="1867"/>
    <n v="40816"/>
    <n v="236037"/>
    <s v="Sustainability Awareness Drive"/>
    <n v="2.0280718700881641E-2"/>
    <x v="18"/>
  </r>
  <r>
    <s v="A189"/>
    <s v="YouTube"/>
    <d v="2025-03-24T00:00:00"/>
    <s v="Image"/>
    <n v="10172"/>
    <n v="1398"/>
    <n v="394"/>
    <n v="2358"/>
    <n v="59610"/>
    <n v="76321"/>
    <s v="iPhone 16 Launch"/>
    <n v="0.15675895231980713"/>
    <x v="8"/>
  </r>
  <r>
    <s v="A190"/>
    <s v="Twitter"/>
    <d v="2024-10-04T00:00:00"/>
    <s v="Image"/>
    <n v="21729"/>
    <n v="1209"/>
    <n v="897"/>
    <n v="1624"/>
    <n v="38771"/>
    <n v="113297"/>
    <s v="iPhone 16 Launch"/>
    <n v="0.21037626768581694"/>
    <x v="9"/>
  </r>
  <r>
    <s v="A190"/>
    <s v="Twitter"/>
    <d v="2024-10-04T00:00:00"/>
    <s v="Image"/>
    <n v="21729"/>
    <n v="1209"/>
    <n v="897"/>
    <n v="1624"/>
    <n v="38771"/>
    <n v="113297"/>
    <s v="iPhone 16 Launch"/>
    <n v="0.21037626768581694"/>
    <x v="10"/>
  </r>
  <r>
    <s v="A191"/>
    <s v="YouTube"/>
    <d v="2025-10-14T00:00:00"/>
    <s v="Carousel"/>
    <n v="9673"/>
    <n v="393"/>
    <n v="846"/>
    <n v="1028"/>
    <n v="55556"/>
    <n v="136652"/>
    <s v="Apple Event September 2025"/>
    <n v="7.9852471972601938E-2"/>
    <x v="15"/>
  </r>
  <r>
    <s v="A191"/>
    <s v="YouTube"/>
    <d v="2025-10-14T00:00:00"/>
    <s v="Carousel"/>
    <n v="9673"/>
    <n v="393"/>
    <n v="846"/>
    <n v="1028"/>
    <n v="55556"/>
    <n v="136652"/>
    <s v="Apple Event September 2025"/>
    <n v="7.9852471972601938E-2"/>
    <x v="8"/>
  </r>
  <r>
    <s v="A192"/>
    <s v="YouTube"/>
    <d v="2025-10-15T00:00:00"/>
    <s v="Image"/>
    <n v="8882"/>
    <n v="701"/>
    <n v="421"/>
    <n v="2343"/>
    <n v="13588"/>
    <n v="139304"/>
    <s v="Apple Event September 2025"/>
    <n v="7.1814161833113191E-2"/>
    <x v="11"/>
  </r>
  <r>
    <s v="A192"/>
    <s v="YouTube"/>
    <d v="2025-10-15T00:00:00"/>
    <s v="Image"/>
    <n v="8882"/>
    <n v="701"/>
    <n v="421"/>
    <n v="2343"/>
    <n v="13588"/>
    <n v="139304"/>
    <s v="Apple Event September 2025"/>
    <n v="7.1814161833113191E-2"/>
    <x v="12"/>
  </r>
  <r>
    <s v="A193"/>
    <s v="Instagram"/>
    <d v="2024-09-11T00:00:00"/>
    <s v="Image"/>
    <n v="3906"/>
    <n v="1187"/>
    <n v="589"/>
    <n v="401"/>
    <n v="52687"/>
    <n v="196498"/>
    <s v="Apple Watch Ultra 2 Launch"/>
    <n v="2.8916324848090057E-2"/>
    <x v="11"/>
  </r>
  <r>
    <s v="A193"/>
    <s v="Instagram"/>
    <d v="2024-09-11T00:00:00"/>
    <s v="Image"/>
    <n v="3906"/>
    <n v="1187"/>
    <n v="589"/>
    <n v="401"/>
    <n v="52687"/>
    <n v="196498"/>
    <s v="Apple Watch Ultra 2 Launch"/>
    <n v="2.8916324848090057E-2"/>
    <x v="12"/>
  </r>
  <r>
    <s v="A194"/>
    <s v="YouTube"/>
    <d v="2024-10-02T00:00:00"/>
    <s v="Video"/>
    <n v="5086"/>
    <n v="1336"/>
    <n v="897"/>
    <n v="1715"/>
    <n v="60592"/>
    <n v="57772"/>
    <s v="Sustainability Awareness Drive"/>
    <n v="0.12668766876687668"/>
    <x v="9"/>
  </r>
  <r>
    <s v="A194"/>
    <s v="YouTube"/>
    <d v="2024-10-02T00:00:00"/>
    <s v="Video"/>
    <n v="5086"/>
    <n v="1336"/>
    <n v="897"/>
    <n v="1715"/>
    <n v="60592"/>
    <n v="57772"/>
    <s v="Sustainability Awareness Drive"/>
    <n v="0.12668766876687668"/>
    <x v="10"/>
  </r>
  <r>
    <s v="A195"/>
    <s v="YouTube"/>
    <d v="2024-08-15T00:00:00"/>
    <s v="Image"/>
    <n v="15503"/>
    <n v="313"/>
    <n v="388"/>
    <n v="1078"/>
    <n v="11500"/>
    <n v="143754"/>
    <s v="iPhone 16 Launch"/>
    <n v="0.1127203416948398"/>
    <x v="13"/>
  </r>
  <r>
    <s v="A195"/>
    <s v="YouTube"/>
    <d v="2024-08-15T00:00:00"/>
    <s v="Image"/>
    <n v="15503"/>
    <n v="313"/>
    <n v="388"/>
    <n v="1078"/>
    <n v="11500"/>
    <n v="143754"/>
    <s v="iPhone 16 Launch"/>
    <n v="0.1127203416948398"/>
    <x v="6"/>
  </r>
  <r>
    <s v="A196"/>
    <s v="Twitter"/>
    <d v="2025-09-18T00:00:00"/>
    <s v="Tweet"/>
    <n v="10152"/>
    <n v="1445"/>
    <n v="526"/>
    <n v="513"/>
    <n v="18959"/>
    <n v="43712"/>
    <s v="Apple Event September 2025"/>
    <n v="0.27733803074670571"/>
    <x v="16"/>
  </r>
  <r>
    <s v="A197"/>
    <s v="Twitter"/>
    <d v="2024-10-22T00:00:00"/>
    <s v="Tweet"/>
    <n v="7750"/>
    <n v="1146"/>
    <n v="415"/>
    <n v="1411"/>
    <n v="85339"/>
    <n v="172439"/>
    <s v="Sustainability Awareness Drive"/>
    <n v="5.3995905798572247E-2"/>
    <x v="4"/>
  </r>
  <r>
    <s v="A197"/>
    <s v="Twitter"/>
    <d v="2024-10-22T00:00:00"/>
    <s v="Tweet"/>
    <n v="7750"/>
    <n v="1146"/>
    <n v="415"/>
    <n v="1411"/>
    <n v="85339"/>
    <n v="172439"/>
    <s v="Sustainability Awareness Drive"/>
    <n v="5.3995905798572247E-2"/>
    <x v="5"/>
  </r>
  <r>
    <s v="A198"/>
    <s v="LinkedIn"/>
    <d v="2025-09-19T00:00:00"/>
    <s v="Carousel"/>
    <n v="14772"/>
    <n v="1030"/>
    <n v="508"/>
    <n v="1876"/>
    <n v="8882"/>
    <n v="155142"/>
    <s v="Apple Event September 2025"/>
    <n v="0.10512949426976577"/>
    <x v="6"/>
  </r>
  <r>
    <s v="A198"/>
    <s v="LinkedIn"/>
    <d v="2025-09-19T00:00:00"/>
    <s v="Carousel"/>
    <n v="14772"/>
    <n v="1030"/>
    <n v="508"/>
    <n v="1876"/>
    <n v="8882"/>
    <n v="155142"/>
    <s v="Apple Event September 2025"/>
    <n v="0.10512949426976577"/>
    <x v="7"/>
  </r>
  <r>
    <s v="A199"/>
    <s v="Instagram"/>
    <d v="2025-09-20T00:00:00"/>
    <s v="Image"/>
    <n v="12267"/>
    <n v="1487"/>
    <n v="489"/>
    <n v="2748"/>
    <n v="34685"/>
    <n v="131736"/>
    <s v="Apple Event September 2025"/>
    <n v="0.1081177506528208"/>
    <x v="11"/>
  </r>
  <r>
    <s v="A199"/>
    <s v="Instagram"/>
    <d v="2025-09-20T00:00:00"/>
    <s v="Image"/>
    <n v="12267"/>
    <n v="1487"/>
    <n v="489"/>
    <n v="2748"/>
    <n v="34685"/>
    <n v="131736"/>
    <s v="Apple Event September 2025"/>
    <n v="0.1081177506528208"/>
    <x v="12"/>
  </r>
  <r>
    <s v="A200"/>
    <s v="YouTube"/>
    <d v="2025-04-07T00:00:00"/>
    <s v="Carousel"/>
    <n v="3062"/>
    <n v="1124"/>
    <n v="538"/>
    <n v="2935"/>
    <n v="69749"/>
    <n v="91924"/>
    <s v="iPhone 16 Launch"/>
    <n v="5.1390278926069365E-2"/>
    <x v="15"/>
  </r>
  <r>
    <s v="A200"/>
    <s v="YouTube"/>
    <d v="2025-04-07T00:00:00"/>
    <s v="Carousel"/>
    <n v="3062"/>
    <n v="1124"/>
    <n v="538"/>
    <n v="2935"/>
    <n v="69749"/>
    <n v="91924"/>
    <s v="iPhone 16 Launch"/>
    <n v="5.1390278926069365E-2"/>
    <x v="8"/>
  </r>
  <r>
    <s v="A201"/>
    <s v="YouTube"/>
    <d v="2025-01-15T00:00:00"/>
    <s v="Tweet"/>
    <n v="20360"/>
    <n v="254"/>
    <n v="726"/>
    <n v="1995"/>
    <n v="14280"/>
    <n v="43726"/>
    <s v="iPhone 16 Launch"/>
    <n v="0.48803915290673738"/>
    <x v="8"/>
  </r>
  <r>
    <s v="A202"/>
    <s v="LinkedIn"/>
    <d v="2025-09-21T00:00:00"/>
    <s v="Image"/>
    <n v="19680"/>
    <n v="999"/>
    <n v="838"/>
    <n v="891"/>
    <n v="29576"/>
    <n v="129152"/>
    <s v="Apple Event September 2025"/>
    <n v="0.16660214321110009"/>
    <x v="17"/>
  </r>
  <r>
    <s v="A202"/>
    <s v="LinkedIn"/>
    <d v="2025-09-21T00:00:00"/>
    <s v="Image"/>
    <n v="19680"/>
    <n v="999"/>
    <n v="838"/>
    <n v="891"/>
    <n v="29576"/>
    <n v="129152"/>
    <s v="Apple Event September 2025"/>
    <n v="0.16660214321110009"/>
    <x v="18"/>
  </r>
  <r>
    <s v="A203"/>
    <s v="YouTube"/>
    <d v="2024-11-21T00:00:00"/>
    <s v="Image"/>
    <n v="8229"/>
    <n v="977"/>
    <n v="152"/>
    <n v="1633"/>
    <n v="71447"/>
    <n v="67723"/>
    <s v="MacBook Air M3 Campaign"/>
    <n v="0.13818052950991538"/>
    <x v="11"/>
  </r>
  <r>
    <s v="A203"/>
    <s v="YouTube"/>
    <d v="2024-11-21T00:00:00"/>
    <s v="Image"/>
    <n v="8229"/>
    <n v="977"/>
    <n v="152"/>
    <n v="1633"/>
    <n v="71447"/>
    <n v="67723"/>
    <s v="MacBook Air M3 Campaign"/>
    <n v="0.13818052950991538"/>
    <x v="12"/>
  </r>
  <r>
    <s v="A204"/>
    <s v="Instagram"/>
    <d v="2025-09-22T00:00:00"/>
    <s v="Carousel"/>
    <n v="18509"/>
    <n v="361"/>
    <n v="578"/>
    <n v="1409"/>
    <n v="10569"/>
    <n v="166969"/>
    <s v="Apple Event September 2025"/>
    <n v="0.11647671124580011"/>
    <x v="8"/>
  </r>
  <r>
    <s v="A205"/>
    <s v="LinkedIn"/>
    <d v="2025-09-23T00:00:00"/>
    <s v="Tweet"/>
    <n v="17147"/>
    <n v="286"/>
    <n v="291"/>
    <n v="2439"/>
    <n v="45631"/>
    <n v="140494"/>
    <s v="Apple Event September 2025"/>
    <n v="0.12615485358805359"/>
    <x v="6"/>
  </r>
  <r>
    <s v="A205"/>
    <s v="LinkedIn"/>
    <d v="2025-09-23T00:00:00"/>
    <s v="Tweet"/>
    <n v="17147"/>
    <n v="286"/>
    <n v="291"/>
    <n v="2439"/>
    <n v="45631"/>
    <n v="140494"/>
    <s v="Apple Event September 2025"/>
    <n v="0.12615485358805359"/>
    <x v="14"/>
  </r>
  <r>
    <s v="A206"/>
    <s v="Instagram"/>
    <d v="2024-06-24T00:00:00"/>
    <s v="Image"/>
    <n v="6632"/>
    <n v="254"/>
    <n v="525"/>
    <n v="1013"/>
    <n v="13838"/>
    <n v="180180"/>
    <s v="Apple Watch Ultra 2 Launch"/>
    <n v="4.1131091131091133E-2"/>
    <x v="6"/>
  </r>
  <r>
    <s v="A206"/>
    <s v="Instagram"/>
    <d v="2024-06-24T00:00:00"/>
    <s v="Image"/>
    <n v="6632"/>
    <n v="254"/>
    <n v="525"/>
    <n v="1013"/>
    <n v="13838"/>
    <n v="180180"/>
    <s v="Apple Watch Ultra 2 Launch"/>
    <n v="4.1131091131091133E-2"/>
    <x v="14"/>
  </r>
  <r>
    <s v="A207"/>
    <s v="LinkedIn"/>
    <d v="2024-12-29T00:00:00"/>
    <s v="Carousel"/>
    <n v="8288"/>
    <n v="1401"/>
    <n v="819"/>
    <n v="1235"/>
    <n v="33446"/>
    <n v="248786"/>
    <s v="Apple Watch Ultra 2 Launch"/>
    <n v="4.2237103373984064E-2"/>
    <x v="16"/>
  </r>
  <r>
    <s v="A208"/>
    <s v="LinkedIn"/>
    <d v="2024-06-24T00:00:00"/>
    <s v="Tweet"/>
    <n v="5596"/>
    <n v="1231"/>
    <n v="473"/>
    <n v="2251"/>
    <n v="43705"/>
    <n v="75643"/>
    <s v="Apple Watch Ultra 2 Launch"/>
    <n v="9.6505955607260427E-2"/>
    <x v="2"/>
  </r>
  <r>
    <s v="A208"/>
    <s v="LinkedIn"/>
    <d v="2024-06-24T00:00:00"/>
    <s v="Tweet"/>
    <n v="5596"/>
    <n v="1231"/>
    <n v="473"/>
    <n v="2251"/>
    <n v="43705"/>
    <n v="75643"/>
    <s v="Apple Watch Ultra 2 Launch"/>
    <n v="9.6505955607260427E-2"/>
    <x v="3"/>
  </r>
  <r>
    <s v="A209"/>
    <s v="Twitter"/>
    <d v="2025-03-19T00:00:00"/>
    <s v="Carousel"/>
    <n v="13475"/>
    <n v="1032"/>
    <n v="295"/>
    <n v="541"/>
    <n v="43666"/>
    <n v="202396"/>
    <s v="MacBook Air M3 Campaign"/>
    <n v="7.3133856400324118E-2"/>
    <x v="6"/>
  </r>
  <r>
    <s v="A209"/>
    <s v="Twitter"/>
    <d v="2025-03-19T00:00:00"/>
    <s v="Carousel"/>
    <n v="13475"/>
    <n v="1032"/>
    <n v="295"/>
    <n v="541"/>
    <n v="43666"/>
    <n v="202396"/>
    <s v="MacBook Air M3 Campaign"/>
    <n v="7.3133856400324118E-2"/>
    <x v="7"/>
  </r>
  <r>
    <s v="A210"/>
    <s v="Instagram"/>
    <d v="2025-02-19T00:00:00"/>
    <s v="Video"/>
    <n v="8168"/>
    <n v="512"/>
    <n v="442"/>
    <n v="2343"/>
    <n v="2753"/>
    <n v="143896"/>
    <s v="MacBook Air M3 Campaign"/>
    <n v="6.3393006059932172E-2"/>
    <x v="13"/>
  </r>
  <r>
    <s v="A210"/>
    <s v="Instagram"/>
    <d v="2025-02-19T00:00:00"/>
    <s v="Video"/>
    <n v="8168"/>
    <n v="512"/>
    <n v="442"/>
    <n v="2343"/>
    <n v="2753"/>
    <n v="143896"/>
    <s v="MacBook Air M3 Campaign"/>
    <n v="6.3393006059932172E-2"/>
    <x v="6"/>
  </r>
  <r>
    <s v="A211"/>
    <s v="YouTube"/>
    <d v="2025-09-24T00:00:00"/>
    <s v="Image"/>
    <n v="11795"/>
    <n v="958"/>
    <n v="814"/>
    <n v="301"/>
    <n v="12564"/>
    <n v="179999"/>
    <s v="Apple Event September 2025"/>
    <n v="7.5372640959116444E-2"/>
    <x v="16"/>
  </r>
  <r>
    <s v="A212"/>
    <s v="YouTube"/>
    <d v="2025-03-03T00:00:00"/>
    <s v="Video"/>
    <n v="9561"/>
    <n v="642"/>
    <n v="581"/>
    <n v="2572"/>
    <n v="38552"/>
    <n v="133680"/>
    <s v="Apple Watch Ultra 2 Launch"/>
    <n v="8.0670257330939563E-2"/>
    <x v="0"/>
  </r>
  <r>
    <s v="A212"/>
    <s v="YouTube"/>
    <d v="2025-03-03T00:00:00"/>
    <s v="Video"/>
    <n v="9561"/>
    <n v="642"/>
    <n v="581"/>
    <n v="2572"/>
    <n v="38552"/>
    <n v="133680"/>
    <s v="Apple Watch Ultra 2 Launch"/>
    <n v="8.0670257330939563E-2"/>
    <x v="1"/>
  </r>
  <r>
    <s v="A213"/>
    <s v="Instagram"/>
    <d v="2025-05-01T00:00:00"/>
    <s v="Tweet"/>
    <n v="10258"/>
    <n v="527"/>
    <n v="854"/>
    <n v="2068"/>
    <n v="45632"/>
    <n v="136546"/>
    <s v="MacBook Air M3 Campaign"/>
    <n v="8.5238674146441498E-2"/>
    <x v="13"/>
  </r>
  <r>
    <s v="A213"/>
    <s v="Instagram"/>
    <d v="2025-05-01T00:00:00"/>
    <s v="Tweet"/>
    <n v="10258"/>
    <n v="527"/>
    <n v="854"/>
    <n v="2068"/>
    <n v="45632"/>
    <n v="136546"/>
    <s v="MacBook Air M3 Campaign"/>
    <n v="8.5238674146441498E-2"/>
    <x v="6"/>
  </r>
  <r>
    <s v="A214"/>
    <s v="YouTube"/>
    <d v="2024-12-23T00:00:00"/>
    <s v="Video"/>
    <n v="18616"/>
    <n v="1277"/>
    <n v="734"/>
    <n v="2249"/>
    <n v="3399"/>
    <n v="193515"/>
    <s v="iPhone 16 Launch"/>
    <n v="0.10659122031883833"/>
    <x v="4"/>
  </r>
  <r>
    <s v="A214"/>
    <s v="YouTube"/>
    <d v="2024-12-23T00:00:00"/>
    <s v="Video"/>
    <n v="18616"/>
    <n v="1277"/>
    <n v="734"/>
    <n v="2249"/>
    <n v="3399"/>
    <n v="193515"/>
    <s v="iPhone 16 Launch"/>
    <n v="0.10659122031883833"/>
    <x v="5"/>
  </r>
  <r>
    <s v="A215"/>
    <s v="YouTube"/>
    <d v="2025-09-25T00:00:00"/>
    <s v="Video"/>
    <n v="8371"/>
    <n v="960"/>
    <n v="548"/>
    <n v="2936"/>
    <n v="82543"/>
    <n v="119973"/>
    <s v="Apple Event September 2025"/>
    <n v="8.2343527293641069E-2"/>
    <x v="15"/>
  </r>
  <r>
    <s v="A215"/>
    <s v="YouTube"/>
    <d v="2025-09-25T00:00:00"/>
    <s v="Video"/>
    <n v="8371"/>
    <n v="960"/>
    <n v="548"/>
    <n v="2936"/>
    <n v="82543"/>
    <n v="119973"/>
    <s v="Apple Event September 2025"/>
    <n v="8.2343527293641069E-2"/>
    <x v="8"/>
  </r>
  <r>
    <s v="A216"/>
    <s v="Instagram"/>
    <d v="2024-07-29T00:00:00"/>
    <s v="Tweet"/>
    <n v="22590"/>
    <n v="1462"/>
    <n v="966"/>
    <n v="2463"/>
    <n v="29689"/>
    <n v="103449"/>
    <s v="Sustainability Awareness Drive"/>
    <n v="0.24183897379385011"/>
    <x v="0"/>
  </r>
  <r>
    <s v="A216"/>
    <s v="Instagram"/>
    <d v="2024-07-29T00:00:00"/>
    <s v="Tweet"/>
    <n v="22590"/>
    <n v="1462"/>
    <n v="966"/>
    <n v="2463"/>
    <n v="29689"/>
    <n v="103449"/>
    <s v="Sustainability Awareness Drive"/>
    <n v="0.24183897379385011"/>
    <x v="1"/>
  </r>
  <r>
    <s v="A217"/>
    <s v="LinkedIn"/>
    <d v="2025-09-26T00:00:00"/>
    <s v="Carousel"/>
    <n v="16369"/>
    <n v="1452"/>
    <n v="493"/>
    <n v="1217"/>
    <n v="91440"/>
    <n v="149834"/>
    <s v="Apple Event September 2025"/>
    <n v="0.12222859965027964"/>
    <x v="0"/>
  </r>
  <r>
    <s v="A217"/>
    <s v="LinkedIn"/>
    <d v="2025-09-26T00:00:00"/>
    <s v="Carousel"/>
    <n v="16369"/>
    <n v="1452"/>
    <n v="493"/>
    <n v="1217"/>
    <n v="91440"/>
    <n v="149834"/>
    <s v="Apple Event September 2025"/>
    <n v="0.12222859965027964"/>
    <x v="1"/>
  </r>
  <r>
    <s v="A218"/>
    <s v="Instagram"/>
    <d v="2024-06-11T00:00:00"/>
    <s v="Video"/>
    <n v="14910"/>
    <n v="778"/>
    <n v="289"/>
    <n v="2541"/>
    <n v="14309"/>
    <n v="247815"/>
    <s v="Sustainability Awareness Drive"/>
    <n v="6.4471480741682297E-2"/>
    <x v="16"/>
  </r>
  <r>
    <s v="A219"/>
    <s v="LinkedIn"/>
    <d v="2025-01-28T00:00:00"/>
    <s v="Carousel"/>
    <n v="9943"/>
    <n v="1274"/>
    <n v="336"/>
    <n v="389"/>
    <n v="6145"/>
    <n v="231305"/>
    <s v="Apple Watch Ultra 2 Launch"/>
    <n v="4.9947039623008581E-2"/>
    <x v="9"/>
  </r>
  <r>
    <s v="A219"/>
    <s v="LinkedIn"/>
    <d v="2025-01-28T00:00:00"/>
    <s v="Carousel"/>
    <n v="9943"/>
    <n v="1274"/>
    <n v="336"/>
    <n v="389"/>
    <n v="6145"/>
    <n v="231305"/>
    <s v="Apple Watch Ultra 2 Launch"/>
    <n v="4.9947039623008581E-2"/>
    <x v="10"/>
  </r>
  <r>
    <s v="A220"/>
    <s v="YouTube"/>
    <d v="2024-06-02T00:00:00"/>
    <s v="Video"/>
    <n v="14199"/>
    <n v="1206"/>
    <n v="954"/>
    <n v="2009"/>
    <n v="8"/>
    <n v="65537"/>
    <s v="Sustainability Awareness Drive"/>
    <n v="0.24961472145505592"/>
    <x v="2"/>
  </r>
  <r>
    <s v="A220"/>
    <s v="YouTube"/>
    <d v="2024-06-02T00:00:00"/>
    <s v="Video"/>
    <n v="14199"/>
    <n v="1206"/>
    <n v="954"/>
    <n v="2009"/>
    <n v="8"/>
    <n v="65537"/>
    <s v="Sustainability Awareness Drive"/>
    <n v="0.24961472145505592"/>
    <x v="3"/>
  </r>
  <r>
    <s v="A221"/>
    <s v="YouTube"/>
    <d v="2025-03-23T00:00:00"/>
    <s v="Carousel"/>
    <n v="17728"/>
    <n v="1487"/>
    <n v="210"/>
    <n v="2469"/>
    <n v="30565"/>
    <n v="117576"/>
    <s v="Apple Watch Ultra 2 Launch"/>
    <n v="0.16521228822208614"/>
    <x v="9"/>
  </r>
  <r>
    <s v="A221"/>
    <s v="YouTube"/>
    <d v="2025-03-23T00:00:00"/>
    <s v="Carousel"/>
    <n v="17728"/>
    <n v="1487"/>
    <n v="210"/>
    <n v="2469"/>
    <n v="30565"/>
    <n v="117576"/>
    <s v="Apple Watch Ultra 2 Launch"/>
    <n v="0.16521228822208614"/>
    <x v="10"/>
  </r>
  <r>
    <s v="A222"/>
    <s v="YouTube"/>
    <d v="2024-10-08T00:00:00"/>
    <s v="Tweet"/>
    <n v="8738"/>
    <n v="295"/>
    <n v="529"/>
    <n v="442"/>
    <n v="25286"/>
    <n v="147522"/>
    <s v="iPhone 16 Launch"/>
    <n v="6.4817450956467515E-2"/>
    <x v="16"/>
  </r>
  <r>
    <s v="A223"/>
    <s v="Twitter"/>
    <d v="2024-11-12T00:00:00"/>
    <s v="Video"/>
    <n v="17913"/>
    <n v="1311"/>
    <n v="859"/>
    <n v="405"/>
    <n v="59842"/>
    <n v="62612"/>
    <s v="Sustainability Awareness Drive"/>
    <n v="0.32075321024723696"/>
    <x v="4"/>
  </r>
  <r>
    <s v="A223"/>
    <s v="Twitter"/>
    <d v="2024-11-12T00:00:00"/>
    <s v="Video"/>
    <n v="17913"/>
    <n v="1311"/>
    <n v="859"/>
    <n v="405"/>
    <n v="59842"/>
    <n v="62612"/>
    <s v="Sustainability Awareness Drive"/>
    <n v="0.32075321024723696"/>
    <x v="5"/>
  </r>
  <r>
    <s v="A224"/>
    <s v="LinkedIn"/>
    <d v="2025-09-07T00:00:00"/>
    <s v="Tweet"/>
    <n v="4472"/>
    <n v="1301"/>
    <n v="956"/>
    <n v="1186"/>
    <n v="3363"/>
    <n v="46471"/>
    <s v="Apple Event September 2025"/>
    <n v="0.14479998278496267"/>
    <x v="17"/>
  </r>
  <r>
    <s v="A224"/>
    <s v="LinkedIn"/>
    <d v="2025-09-07T00:00:00"/>
    <s v="Tweet"/>
    <n v="4472"/>
    <n v="1301"/>
    <n v="956"/>
    <n v="1186"/>
    <n v="3363"/>
    <n v="46471"/>
    <s v="Apple Event September 2025"/>
    <n v="0.14479998278496267"/>
    <x v="18"/>
  </r>
  <r>
    <s v="A225"/>
    <s v="Twitter"/>
    <d v="2024-06-20T00:00:00"/>
    <s v="Video"/>
    <n v="21123"/>
    <n v="1343"/>
    <n v="589"/>
    <n v="727"/>
    <n v="87833"/>
    <n v="206703"/>
    <s v="Apple Watch Ultra 2 Launch"/>
    <n v="0.11153684271636116"/>
    <x v="11"/>
  </r>
  <r>
    <s v="A225"/>
    <s v="Twitter"/>
    <d v="2024-06-20T00:00:00"/>
    <s v="Video"/>
    <n v="21123"/>
    <n v="1343"/>
    <n v="589"/>
    <n v="727"/>
    <n v="87833"/>
    <n v="206703"/>
    <s v="Apple Watch Ultra 2 Launch"/>
    <n v="0.11153684271636116"/>
    <x v="12"/>
  </r>
  <r>
    <s v="A226"/>
    <s v="Twitter"/>
    <d v="2025-09-08T00:00:00"/>
    <s v="Tweet"/>
    <n v="23785"/>
    <n v="1013"/>
    <n v="468"/>
    <n v="1628"/>
    <n v="8272"/>
    <n v="71348"/>
    <s v="Apple Event September 2025"/>
    <n v="0.35412345125301342"/>
    <x v="11"/>
  </r>
  <r>
    <s v="A226"/>
    <s v="Twitter"/>
    <d v="2025-09-08T00:00:00"/>
    <s v="Tweet"/>
    <n v="23785"/>
    <n v="1013"/>
    <n v="468"/>
    <n v="1628"/>
    <n v="8272"/>
    <n v="71348"/>
    <s v="Apple Event September 2025"/>
    <n v="0.35412345125301342"/>
    <x v="12"/>
  </r>
  <r>
    <s v="A227"/>
    <s v="Instagram"/>
    <d v="2024-06-12T00:00:00"/>
    <s v="Tweet"/>
    <n v="17679"/>
    <n v="690"/>
    <n v="451"/>
    <n v="2195"/>
    <n v="4390"/>
    <n v="235804"/>
    <s v="MacBook Air M3 Campaign"/>
    <n v="7.9812047293514959E-2"/>
    <x v="2"/>
  </r>
  <r>
    <s v="A227"/>
    <s v="Instagram"/>
    <d v="2024-06-12T00:00:00"/>
    <s v="Tweet"/>
    <n v="17679"/>
    <n v="690"/>
    <n v="451"/>
    <n v="2195"/>
    <n v="4390"/>
    <n v="235804"/>
    <s v="MacBook Air M3 Campaign"/>
    <n v="7.9812047293514959E-2"/>
    <x v="3"/>
  </r>
  <r>
    <s v="A228"/>
    <s v="Twitter"/>
    <d v="2024-07-01T00:00:00"/>
    <s v="Video"/>
    <n v="3761"/>
    <n v="651"/>
    <n v="493"/>
    <n v="2294"/>
    <n v="71696"/>
    <n v="41177"/>
    <s v="Apple Watch Ultra 2 Launch"/>
    <n v="0.11911989702989532"/>
    <x v="4"/>
  </r>
  <r>
    <s v="A228"/>
    <s v="Twitter"/>
    <d v="2024-07-01T00:00:00"/>
    <s v="Video"/>
    <n v="3761"/>
    <n v="651"/>
    <n v="493"/>
    <n v="2294"/>
    <n v="71696"/>
    <n v="41177"/>
    <s v="Apple Watch Ultra 2 Launch"/>
    <n v="0.11911989702989532"/>
    <x v="5"/>
  </r>
  <r>
    <s v="A229"/>
    <s v="Instagram"/>
    <d v="2024-07-03T00:00:00"/>
    <s v="Video"/>
    <n v="12167"/>
    <n v="364"/>
    <n v="160"/>
    <n v="616"/>
    <n v="42228"/>
    <n v="175832"/>
    <s v="Sustainability Awareness Drive"/>
    <n v="7.2176850630146963E-2"/>
    <x v="2"/>
  </r>
  <r>
    <s v="A229"/>
    <s v="Instagram"/>
    <d v="2024-07-03T00:00:00"/>
    <s v="Video"/>
    <n v="12167"/>
    <n v="364"/>
    <n v="160"/>
    <n v="616"/>
    <n v="42228"/>
    <n v="175832"/>
    <s v="Sustainability Awareness Drive"/>
    <n v="7.2176850630146963E-2"/>
    <x v="3"/>
  </r>
  <r>
    <s v="A230"/>
    <s v="Instagram"/>
    <d v="2024-07-15T00:00:00"/>
    <s v="Video"/>
    <n v="12554"/>
    <n v="381"/>
    <n v="211"/>
    <n v="2286"/>
    <n v="50567"/>
    <n v="72779"/>
    <s v="Apple Watch Ultra 2 Launch"/>
    <n v="0.18062902760411656"/>
    <x v="8"/>
  </r>
  <r>
    <s v="A231"/>
    <s v="Twitter"/>
    <d v="2025-09-09T00:00:00"/>
    <s v="Image"/>
    <n v="19260"/>
    <n v="668"/>
    <n v="994"/>
    <n v="934"/>
    <n v="20509"/>
    <n v="61636"/>
    <s v="Apple Event September 2025"/>
    <n v="0.33944448049841003"/>
    <x v="9"/>
  </r>
  <r>
    <s v="A231"/>
    <s v="Twitter"/>
    <d v="2025-09-09T00:00:00"/>
    <s v="Image"/>
    <n v="19260"/>
    <n v="668"/>
    <n v="994"/>
    <n v="934"/>
    <n v="20509"/>
    <n v="61636"/>
    <s v="Apple Event September 2025"/>
    <n v="0.33944448049841003"/>
    <x v="10"/>
  </r>
  <r>
    <s v="A232"/>
    <s v="LinkedIn"/>
    <d v="2025-04-29T00:00:00"/>
    <s v="Carousel"/>
    <n v="16277"/>
    <n v="1109"/>
    <n v="375"/>
    <n v="2225"/>
    <n v="1044"/>
    <n v="121889"/>
    <s v="iPhone 16 Launch"/>
    <n v="0.14571454356012437"/>
    <x v="11"/>
  </r>
  <r>
    <s v="A232"/>
    <s v="LinkedIn"/>
    <d v="2025-04-29T00:00:00"/>
    <s v="Carousel"/>
    <n v="16277"/>
    <n v="1109"/>
    <n v="375"/>
    <n v="2225"/>
    <n v="1044"/>
    <n v="121889"/>
    <s v="iPhone 16 Launch"/>
    <n v="0.14571454356012437"/>
    <x v="12"/>
  </r>
  <r>
    <s v="A233"/>
    <s v="LinkedIn"/>
    <d v="2025-03-08T00:00:00"/>
    <s v="Image"/>
    <n v="5812"/>
    <n v="934"/>
    <n v="302"/>
    <n v="2356"/>
    <n v="37437"/>
    <n v="93551"/>
    <s v="Apple Watch Ultra 2 Launch"/>
    <n v="7.5338585370546551E-2"/>
    <x v="0"/>
  </r>
  <r>
    <s v="A233"/>
    <s v="LinkedIn"/>
    <d v="2025-03-08T00:00:00"/>
    <s v="Image"/>
    <n v="5812"/>
    <n v="934"/>
    <n v="302"/>
    <n v="2356"/>
    <n v="37437"/>
    <n v="93551"/>
    <s v="Apple Watch Ultra 2 Launch"/>
    <n v="7.5338585370546551E-2"/>
    <x v="1"/>
  </r>
  <r>
    <s v="A234"/>
    <s v="LinkedIn"/>
    <d v="2024-06-01T00:00:00"/>
    <s v="Image"/>
    <n v="19844"/>
    <n v="1022"/>
    <n v="860"/>
    <n v="2570"/>
    <n v="23719"/>
    <n v="182628"/>
    <s v="Sustainability Awareness Drive"/>
    <n v="0.11896313818253498"/>
    <x v="9"/>
  </r>
  <r>
    <s v="A234"/>
    <s v="LinkedIn"/>
    <d v="2024-06-01T00:00:00"/>
    <s v="Image"/>
    <n v="19844"/>
    <n v="1022"/>
    <n v="860"/>
    <n v="2570"/>
    <n v="23719"/>
    <n v="182628"/>
    <s v="Sustainability Awareness Drive"/>
    <n v="0.11896313818253498"/>
    <x v="10"/>
  </r>
  <r>
    <s v="A235"/>
    <s v="LinkedIn"/>
    <d v="2024-12-22T00:00:00"/>
    <s v="Tweet"/>
    <n v="20117"/>
    <n v="1143"/>
    <n v="713"/>
    <n v="1739"/>
    <n v="34444"/>
    <n v="198670"/>
    <s v="MacBook Air M3 Campaign"/>
    <n v="0.11060049328031409"/>
    <x v="6"/>
  </r>
  <r>
    <s v="A235"/>
    <s v="LinkedIn"/>
    <d v="2024-12-22T00:00:00"/>
    <s v="Tweet"/>
    <n v="20117"/>
    <n v="1143"/>
    <n v="713"/>
    <n v="1739"/>
    <n v="34444"/>
    <n v="198670"/>
    <s v="MacBook Air M3 Campaign"/>
    <n v="0.11060049328031409"/>
    <x v="7"/>
  </r>
  <r>
    <s v="A236"/>
    <s v="LinkedIn"/>
    <d v="2024-08-19T00:00:00"/>
    <s v="Video"/>
    <n v="3605"/>
    <n v="206"/>
    <n v="921"/>
    <n v="852"/>
    <n v="11660"/>
    <n v="182635"/>
    <s v="iPhone 16 Launch"/>
    <n v="2.590960111698196E-2"/>
    <x v="15"/>
  </r>
  <r>
    <s v="A236"/>
    <s v="LinkedIn"/>
    <d v="2024-08-19T00:00:00"/>
    <s v="Video"/>
    <n v="3605"/>
    <n v="206"/>
    <n v="921"/>
    <n v="852"/>
    <n v="11660"/>
    <n v="182635"/>
    <s v="iPhone 16 Launch"/>
    <n v="2.590960111698196E-2"/>
    <x v="8"/>
  </r>
  <r>
    <s v="A237"/>
    <s v="Twitter"/>
    <d v="2024-10-22T00:00:00"/>
    <s v="Carousel"/>
    <n v="7622"/>
    <n v="529"/>
    <n v="720"/>
    <n v="1015"/>
    <n v="71322"/>
    <n v="86819"/>
    <s v="MacBook Air M3 Campaign"/>
    <n v="0.10217809465669957"/>
    <x v="4"/>
  </r>
  <r>
    <s v="A237"/>
    <s v="Twitter"/>
    <d v="2024-10-22T00:00:00"/>
    <s v="Carousel"/>
    <n v="7622"/>
    <n v="529"/>
    <n v="720"/>
    <n v="1015"/>
    <n v="71322"/>
    <n v="86819"/>
    <s v="MacBook Air M3 Campaign"/>
    <n v="0.10217809465669957"/>
    <x v="5"/>
  </r>
  <r>
    <s v="A238"/>
    <s v="Twitter"/>
    <d v="2024-07-16T00:00:00"/>
    <s v="Tweet"/>
    <n v="8767"/>
    <n v="974"/>
    <n v="733"/>
    <n v="1587"/>
    <n v="74927"/>
    <n v="113770"/>
    <s v="Apple Watch Ultra 2 Launch"/>
    <n v="9.2062933989628198E-2"/>
    <x v="13"/>
  </r>
  <r>
    <s v="A238"/>
    <s v="Twitter"/>
    <d v="2024-07-16T00:00:00"/>
    <s v="Tweet"/>
    <n v="8767"/>
    <n v="974"/>
    <n v="733"/>
    <n v="1587"/>
    <n v="74927"/>
    <n v="113770"/>
    <s v="Apple Watch Ultra 2 Launch"/>
    <n v="9.2062933989628198E-2"/>
    <x v="6"/>
  </r>
  <r>
    <s v="A239"/>
    <s v="YouTube"/>
    <d v="2025-09-10T00:00:00"/>
    <s v="Image"/>
    <n v="13613"/>
    <n v="350"/>
    <n v="809"/>
    <n v="2013"/>
    <n v="20471"/>
    <n v="198038"/>
    <s v="Apple Event September 2025"/>
    <n v="7.4591745018632791E-2"/>
    <x v="2"/>
  </r>
  <r>
    <s v="A239"/>
    <s v="YouTube"/>
    <d v="2025-09-10T00:00:00"/>
    <s v="Image"/>
    <n v="13613"/>
    <n v="350"/>
    <n v="809"/>
    <n v="2013"/>
    <n v="20471"/>
    <n v="198038"/>
    <s v="Apple Event September 2025"/>
    <n v="7.4591745018632791E-2"/>
    <x v="3"/>
  </r>
  <r>
    <s v="A240"/>
    <s v="LinkedIn"/>
    <d v="2025-09-11T00:00:00"/>
    <s v="Video"/>
    <n v="21901"/>
    <n v="1308"/>
    <n v="724"/>
    <n v="2183"/>
    <n v="15996"/>
    <n v="230961"/>
    <s v="Apple Event September 2025"/>
    <n v="0.10362355549205277"/>
    <x v="9"/>
  </r>
  <r>
    <s v="A240"/>
    <s v="LinkedIn"/>
    <d v="2025-09-11T00:00:00"/>
    <s v="Video"/>
    <n v="21901"/>
    <n v="1308"/>
    <n v="724"/>
    <n v="2183"/>
    <n v="15996"/>
    <n v="230961"/>
    <s v="Apple Event September 2025"/>
    <n v="0.10362355549205277"/>
    <x v="10"/>
  </r>
  <r>
    <s v="A241"/>
    <s v="Twitter"/>
    <d v="2025-01-18T00:00:00"/>
    <s v="Tweet"/>
    <n v="12589"/>
    <n v="346"/>
    <n v="459"/>
    <n v="1407"/>
    <n v="29254"/>
    <n v="198059"/>
    <s v="Sustainability Awareness Drive"/>
    <n v="6.7626313371268162E-2"/>
    <x v="15"/>
  </r>
  <r>
    <s v="A241"/>
    <s v="Twitter"/>
    <d v="2025-01-18T00:00:00"/>
    <s v="Tweet"/>
    <n v="12589"/>
    <n v="346"/>
    <n v="459"/>
    <n v="1407"/>
    <n v="29254"/>
    <n v="198059"/>
    <s v="Sustainability Awareness Drive"/>
    <n v="6.7626313371268162E-2"/>
    <x v="8"/>
  </r>
  <r>
    <s v="A242"/>
    <s v="YouTube"/>
    <d v="2025-09-12T00:00:00"/>
    <s v="Video"/>
    <n v="15918"/>
    <n v="1114"/>
    <n v="392"/>
    <n v="1641"/>
    <n v="28044"/>
    <n v="118714"/>
    <s v="Apple Event September 2025"/>
    <n v="0.14677291642097814"/>
    <x v="9"/>
  </r>
  <r>
    <s v="A242"/>
    <s v="YouTube"/>
    <d v="2025-09-12T00:00:00"/>
    <s v="Video"/>
    <n v="15918"/>
    <n v="1114"/>
    <n v="392"/>
    <n v="1641"/>
    <n v="28044"/>
    <n v="118714"/>
    <s v="Apple Event September 2025"/>
    <n v="0.14677291642097814"/>
    <x v="10"/>
  </r>
  <r>
    <s v="A243"/>
    <s v="LinkedIn"/>
    <d v="2025-03-06T00:00:00"/>
    <s v="Tweet"/>
    <n v="22119"/>
    <n v="899"/>
    <n v="642"/>
    <n v="410"/>
    <n v="49490"/>
    <n v="229420"/>
    <s v="iPhone 16 Launch"/>
    <n v="0.10312963124400662"/>
    <x v="13"/>
  </r>
  <r>
    <s v="A243"/>
    <s v="LinkedIn"/>
    <d v="2025-03-06T00:00:00"/>
    <s v="Tweet"/>
    <n v="22119"/>
    <n v="899"/>
    <n v="642"/>
    <n v="410"/>
    <n v="49490"/>
    <n v="229420"/>
    <s v="iPhone 16 Launch"/>
    <n v="0.10312963124400662"/>
    <x v="6"/>
  </r>
  <r>
    <s v="A244"/>
    <s v="Instagram"/>
    <d v="2025-09-13T00:00:00"/>
    <s v="Video"/>
    <n v="15046"/>
    <n v="281"/>
    <n v="515"/>
    <n v="550"/>
    <n v="22583"/>
    <n v="64596"/>
    <s v="Apple Event September 2025"/>
    <n v="0.24524738373893121"/>
    <x v="15"/>
  </r>
  <r>
    <s v="A244"/>
    <s v="Instagram"/>
    <d v="2025-09-13T00:00:00"/>
    <s v="Video"/>
    <n v="15046"/>
    <n v="281"/>
    <n v="515"/>
    <n v="550"/>
    <n v="22583"/>
    <n v="64596"/>
    <s v="Apple Event September 2025"/>
    <n v="0.24524738373893121"/>
    <x v="8"/>
  </r>
  <r>
    <s v="A245"/>
    <s v="YouTube"/>
    <d v="2025-01-12T00:00:00"/>
    <s v="Image"/>
    <n v="4590"/>
    <n v="713"/>
    <n v="479"/>
    <n v="2730"/>
    <n v="41050"/>
    <n v="204246"/>
    <s v="Sustainability Awareness Drive"/>
    <n v="2.8308999931455206E-2"/>
    <x v="6"/>
  </r>
  <r>
    <s v="A245"/>
    <s v="YouTube"/>
    <d v="2025-01-12T00:00:00"/>
    <s v="Image"/>
    <n v="4590"/>
    <n v="713"/>
    <n v="479"/>
    <n v="2730"/>
    <n v="41050"/>
    <n v="204246"/>
    <s v="Sustainability Awareness Drive"/>
    <n v="2.8308999931455206E-2"/>
    <x v="7"/>
  </r>
  <r>
    <s v="A246"/>
    <s v="Twitter"/>
    <d v="2024-10-11T00:00:00"/>
    <s v="Carousel"/>
    <n v="19447"/>
    <n v="1014"/>
    <n v="256"/>
    <n v="2354"/>
    <n v="5472"/>
    <n v="104106"/>
    <s v="Apple Watch Ultra 2 Launch"/>
    <n v="0.19899909707413599"/>
    <x v="13"/>
  </r>
  <r>
    <s v="A246"/>
    <s v="Twitter"/>
    <d v="2024-10-11T00:00:00"/>
    <s v="Carousel"/>
    <n v="19447"/>
    <n v="1014"/>
    <n v="256"/>
    <n v="2354"/>
    <n v="5472"/>
    <n v="104106"/>
    <s v="Apple Watch Ultra 2 Launch"/>
    <n v="0.19899909707413599"/>
    <x v="6"/>
  </r>
  <r>
    <s v="A247"/>
    <s v="Instagram"/>
    <d v="2024-08-27T00:00:00"/>
    <s v="Image"/>
    <n v="6324"/>
    <n v="908"/>
    <n v="375"/>
    <n v="758"/>
    <n v="34850"/>
    <n v="241039"/>
    <s v="Apple Watch Ultra 2 Launch"/>
    <n v="3.1559208260903839E-2"/>
    <x v="16"/>
  </r>
  <r>
    <s v="A248"/>
    <s v="Instagram"/>
    <d v="2025-09-14T00:00:00"/>
    <s v="Carousel"/>
    <n v="12787"/>
    <n v="945"/>
    <n v="974"/>
    <n v="1407"/>
    <n v="4037"/>
    <n v="99182"/>
    <s v="Apple Event September 2025"/>
    <n v="0.14827287209372669"/>
    <x v="6"/>
  </r>
  <r>
    <s v="A248"/>
    <s v="Instagram"/>
    <d v="2025-09-14T00:00:00"/>
    <s v="Carousel"/>
    <n v="12787"/>
    <n v="945"/>
    <n v="974"/>
    <n v="1407"/>
    <n v="4037"/>
    <n v="99182"/>
    <s v="Apple Event September 2025"/>
    <n v="0.14827287209372669"/>
    <x v="14"/>
  </r>
  <r>
    <s v="A249"/>
    <s v="Instagram"/>
    <d v="2024-07-18T00:00:00"/>
    <s v="Video"/>
    <n v="11111"/>
    <n v="1222"/>
    <n v="367"/>
    <n v="507"/>
    <n v="14129"/>
    <n v="127163"/>
    <s v="MacBook Air M3 Campaign"/>
    <n v="9.9871818060284834E-2"/>
    <x v="16"/>
  </r>
  <r>
    <s v="A250"/>
    <s v="YouTube"/>
    <d v="2024-06-22T00:00:00"/>
    <s v="Tweet"/>
    <n v="7342"/>
    <n v="906"/>
    <n v="902"/>
    <n v="1199"/>
    <n v="68488"/>
    <n v="79310"/>
    <s v="Apple Watch Ultra 2 Launch"/>
    <n v="0.1153700668263775"/>
    <x v="11"/>
  </r>
  <r>
    <s v="A250"/>
    <s v="YouTube"/>
    <d v="2024-06-22T00:00:00"/>
    <s v="Tweet"/>
    <n v="7342"/>
    <n v="906"/>
    <n v="902"/>
    <n v="1199"/>
    <n v="68488"/>
    <n v="79310"/>
    <s v="Apple Watch Ultra 2 Launch"/>
    <n v="0.1153700668263775"/>
    <x v="12"/>
  </r>
  <r>
    <s v="A251"/>
    <s v="Twitter"/>
    <d v="2025-09-15T00:00:00"/>
    <s v="Image"/>
    <n v="18389"/>
    <n v="670"/>
    <n v="655"/>
    <n v="321"/>
    <n v="21869"/>
    <n v="96088"/>
    <s v="Apple Event September 2025"/>
    <n v="0.2051660977437349"/>
    <x v="9"/>
  </r>
  <r>
    <s v="A251"/>
    <s v="Twitter"/>
    <d v="2025-09-15T00:00:00"/>
    <s v="Image"/>
    <n v="18389"/>
    <n v="670"/>
    <n v="655"/>
    <n v="321"/>
    <n v="21869"/>
    <n v="96088"/>
    <s v="Apple Event September 2025"/>
    <n v="0.2051660977437349"/>
    <x v="10"/>
  </r>
  <r>
    <s v="A252"/>
    <s v="Instagram"/>
    <d v="2025-04-28T00:00:00"/>
    <s v="Carousel"/>
    <n v="10659"/>
    <n v="1342"/>
    <n v="408"/>
    <n v="709"/>
    <n v="16309"/>
    <n v="168803"/>
    <s v="Sustainability Awareness Drive"/>
    <n v="7.3511726687321907E-2"/>
    <x v="6"/>
  </r>
  <r>
    <s v="A252"/>
    <s v="Instagram"/>
    <d v="2025-04-28T00:00:00"/>
    <s v="Carousel"/>
    <n v="10659"/>
    <n v="1342"/>
    <n v="408"/>
    <n v="709"/>
    <n v="16309"/>
    <n v="168803"/>
    <s v="Sustainability Awareness Drive"/>
    <n v="7.3511726687321907E-2"/>
    <x v="14"/>
  </r>
  <r>
    <s v="A253"/>
    <s v="LinkedIn"/>
    <d v="2025-09-16T00:00:00"/>
    <s v="Image"/>
    <n v="16043"/>
    <n v="595"/>
    <n v="923"/>
    <n v="1194"/>
    <n v="52613"/>
    <n v="179978"/>
    <s v="Apple Event September 2025"/>
    <n v="9.757303670448611E-2"/>
    <x v="16"/>
  </r>
  <r>
    <s v="A254"/>
    <s v="Instagram"/>
    <d v="2025-01-14T00:00:00"/>
    <s v="Carousel"/>
    <n v="24350"/>
    <n v="460"/>
    <n v="666"/>
    <n v="814"/>
    <n v="21120"/>
    <n v="76914"/>
    <s v="Apple Watch Ultra 2 Launch"/>
    <n v="0.33122708479600593"/>
    <x v="6"/>
  </r>
  <r>
    <s v="A254"/>
    <s v="Instagram"/>
    <d v="2025-01-14T00:00:00"/>
    <s v="Carousel"/>
    <n v="24350"/>
    <n v="460"/>
    <n v="666"/>
    <n v="814"/>
    <n v="21120"/>
    <n v="76914"/>
    <s v="Apple Watch Ultra 2 Launch"/>
    <n v="0.33122708479600593"/>
    <x v="14"/>
  </r>
  <r>
    <s v="A255"/>
    <s v="Instagram"/>
    <d v="2025-04-03T00:00:00"/>
    <s v="Image"/>
    <n v="10837"/>
    <n v="1004"/>
    <n v="922"/>
    <n v="1108"/>
    <n v="36807"/>
    <n v="150350"/>
    <s v="Sustainability Awareness Drive"/>
    <n v="8.4888593282341204E-2"/>
    <x v="17"/>
  </r>
  <r>
    <s v="A255"/>
    <s v="Instagram"/>
    <d v="2025-04-03T00:00:00"/>
    <s v="Image"/>
    <n v="10837"/>
    <n v="1004"/>
    <n v="922"/>
    <n v="1108"/>
    <n v="36807"/>
    <n v="150350"/>
    <s v="Sustainability Awareness Drive"/>
    <n v="8.4888593282341204E-2"/>
    <x v="18"/>
  </r>
  <r>
    <s v="A256"/>
    <s v="YouTube"/>
    <d v="2025-09-17T00:00:00"/>
    <s v="Carousel"/>
    <n v="2117"/>
    <n v="1133"/>
    <n v="203"/>
    <n v="1173"/>
    <n v="40125"/>
    <n v="85379"/>
    <s v="Apple Event September 2025"/>
    <n v="4.0443200318579509E-2"/>
    <x v="9"/>
  </r>
  <r>
    <s v="A256"/>
    <s v="YouTube"/>
    <d v="2025-09-17T00:00:00"/>
    <s v="Carousel"/>
    <n v="2117"/>
    <n v="1133"/>
    <n v="203"/>
    <n v="1173"/>
    <n v="40125"/>
    <n v="85379"/>
    <s v="Apple Event September 2025"/>
    <n v="4.0443200318579509E-2"/>
    <x v="10"/>
  </r>
  <r>
    <s v="A257"/>
    <s v="YouTube"/>
    <d v="2025-04-06T00:00:00"/>
    <s v="Carousel"/>
    <n v="15917"/>
    <n v="1479"/>
    <n v="196"/>
    <n v="313"/>
    <n v="48524"/>
    <n v="249684"/>
    <s v="iPhone 16 Launch"/>
    <n v="7.0457057720959296E-2"/>
    <x v="6"/>
  </r>
  <r>
    <s v="A257"/>
    <s v="YouTube"/>
    <d v="2025-04-06T00:00:00"/>
    <s v="Carousel"/>
    <n v="15917"/>
    <n v="1479"/>
    <n v="196"/>
    <n v="313"/>
    <n v="48524"/>
    <n v="249684"/>
    <s v="iPhone 16 Launch"/>
    <n v="7.0457057720959296E-2"/>
    <x v="14"/>
  </r>
  <r>
    <s v="A258"/>
    <s v="Twitter"/>
    <d v="2024-08-05T00:00:00"/>
    <s v="Video"/>
    <n v="20935"/>
    <n v="1104"/>
    <n v="876"/>
    <n v="1270"/>
    <n v="21454"/>
    <n v="208722"/>
    <s v="Sustainability Awareness Drive"/>
    <n v="0.10978718103506099"/>
    <x v="0"/>
  </r>
  <r>
    <s v="A258"/>
    <s v="Twitter"/>
    <d v="2024-08-05T00:00:00"/>
    <s v="Video"/>
    <n v="20935"/>
    <n v="1104"/>
    <n v="876"/>
    <n v="1270"/>
    <n v="21454"/>
    <n v="208722"/>
    <s v="Sustainability Awareness Drive"/>
    <n v="0.10978718103506099"/>
    <x v="1"/>
  </r>
  <r>
    <s v="A259"/>
    <s v="LinkedIn"/>
    <d v="2025-02-10T00:00:00"/>
    <s v="Carousel"/>
    <n v="16309"/>
    <n v="1449"/>
    <n v="838"/>
    <n v="2434"/>
    <n v="2940"/>
    <n v="217953"/>
    <s v="iPhone 16 Launch"/>
    <n v="8.5321147219813445E-2"/>
    <x v="2"/>
  </r>
  <r>
    <s v="A259"/>
    <s v="LinkedIn"/>
    <d v="2025-02-10T00:00:00"/>
    <s v="Carousel"/>
    <n v="16309"/>
    <n v="1449"/>
    <n v="838"/>
    <n v="2434"/>
    <n v="2940"/>
    <n v="217953"/>
    <s v="iPhone 16 Launch"/>
    <n v="8.5321147219813445E-2"/>
    <x v="3"/>
  </r>
  <r>
    <s v="A260"/>
    <s v="YouTube"/>
    <d v="2025-02-12T00:00:00"/>
    <s v="Video"/>
    <n v="15234"/>
    <n v="1276"/>
    <n v="670"/>
    <n v="1860"/>
    <n v="60397"/>
    <n v="86413"/>
    <s v="MacBook Air M3 Campaign"/>
    <n v="0.19881267864788862"/>
    <x v="2"/>
  </r>
  <r>
    <s v="A260"/>
    <s v="YouTube"/>
    <d v="2025-02-12T00:00:00"/>
    <s v="Video"/>
    <n v="15234"/>
    <n v="1276"/>
    <n v="670"/>
    <n v="1860"/>
    <n v="60397"/>
    <n v="86413"/>
    <s v="MacBook Air M3 Campaign"/>
    <n v="0.19881267864788862"/>
    <x v="3"/>
  </r>
  <r>
    <s v="A261"/>
    <s v="Instagram"/>
    <d v="2024-10-27T00:00:00"/>
    <s v="Carousel"/>
    <n v="7560"/>
    <n v="1139"/>
    <n v="248"/>
    <n v="1624"/>
    <n v="72237"/>
    <n v="177084"/>
    <s v="Sustainability Awareness Drive"/>
    <n v="5.0524045085947912E-2"/>
    <x v="0"/>
  </r>
  <r>
    <s v="A261"/>
    <s v="Instagram"/>
    <d v="2024-10-27T00:00:00"/>
    <s v="Carousel"/>
    <n v="7560"/>
    <n v="1139"/>
    <n v="248"/>
    <n v="1624"/>
    <n v="72237"/>
    <n v="177084"/>
    <s v="Sustainability Awareness Drive"/>
    <n v="5.0524045085947912E-2"/>
    <x v="1"/>
  </r>
  <r>
    <s v="A262"/>
    <s v="Twitter"/>
    <d v="2025-01-18T00:00:00"/>
    <s v="Tweet"/>
    <n v="22673"/>
    <n v="1053"/>
    <n v="169"/>
    <n v="1566"/>
    <n v="9417"/>
    <n v="221187"/>
    <s v="iPhone 16 Launch"/>
    <n v="0.10803076130152314"/>
    <x v="15"/>
  </r>
  <r>
    <s v="A262"/>
    <s v="Twitter"/>
    <d v="2025-01-18T00:00:00"/>
    <s v="Tweet"/>
    <n v="22673"/>
    <n v="1053"/>
    <n v="169"/>
    <n v="1566"/>
    <n v="9417"/>
    <n v="221187"/>
    <s v="iPhone 16 Launch"/>
    <n v="0.10803076130152314"/>
    <x v="8"/>
  </r>
  <r>
    <s v="A263"/>
    <s v="Instagram"/>
    <d v="2024-08-20T00:00:00"/>
    <s v="Tweet"/>
    <n v="2846"/>
    <n v="792"/>
    <n v="902"/>
    <n v="2469"/>
    <n v="12130"/>
    <n v="47151"/>
    <s v="Apple Watch Ultra 2 Launch"/>
    <n v="9.6286399015927546E-2"/>
    <x v="8"/>
  </r>
  <r>
    <s v="A264"/>
    <s v="Instagram"/>
    <d v="2025-01-30T00:00:00"/>
    <s v="Tweet"/>
    <n v="12954"/>
    <n v="913"/>
    <n v="722"/>
    <n v="1049"/>
    <n v="475"/>
    <n v="97716"/>
    <s v="Apple Watch Ultra 2 Launch"/>
    <n v="0.14930001228048631"/>
    <x v="15"/>
  </r>
  <r>
    <s v="A264"/>
    <s v="Instagram"/>
    <d v="2025-01-30T00:00:00"/>
    <s v="Tweet"/>
    <n v="12954"/>
    <n v="913"/>
    <n v="722"/>
    <n v="1049"/>
    <n v="475"/>
    <n v="97716"/>
    <s v="Apple Watch Ultra 2 Launch"/>
    <n v="0.14930001228048631"/>
    <x v="8"/>
  </r>
  <r>
    <s v="A265"/>
    <s v="YouTube"/>
    <d v="2025-02-20T00:00:00"/>
    <s v="Carousel"/>
    <n v="15703"/>
    <n v="1381"/>
    <n v="639"/>
    <n v="984"/>
    <n v="10967"/>
    <n v="133747"/>
    <s v="MacBook Air M3 Campaign"/>
    <n v="0.13251138343289942"/>
    <x v="13"/>
  </r>
  <r>
    <s v="A265"/>
    <s v="YouTube"/>
    <d v="2025-02-20T00:00:00"/>
    <s v="Carousel"/>
    <n v="15703"/>
    <n v="1381"/>
    <n v="639"/>
    <n v="984"/>
    <n v="10967"/>
    <n v="133747"/>
    <s v="MacBook Air M3 Campaign"/>
    <n v="0.13251138343289942"/>
    <x v="6"/>
  </r>
  <r>
    <s v="A266"/>
    <s v="Twitter"/>
    <d v="2024-11-25T00:00:00"/>
    <s v="Video"/>
    <n v="17385"/>
    <n v="831"/>
    <n v="568"/>
    <n v="2227"/>
    <n v="49351"/>
    <n v="207450"/>
    <s v="Sustainability Awareness Drive"/>
    <n v="9.0547119787900698E-2"/>
    <x v="13"/>
  </r>
  <r>
    <s v="A266"/>
    <s v="Twitter"/>
    <d v="2024-11-25T00:00:00"/>
    <s v="Video"/>
    <n v="17385"/>
    <n v="831"/>
    <n v="568"/>
    <n v="2227"/>
    <n v="49351"/>
    <n v="207450"/>
    <s v="Sustainability Awareness Drive"/>
    <n v="9.0547119787900698E-2"/>
    <x v="6"/>
  </r>
  <r>
    <s v="A267"/>
    <s v="LinkedIn"/>
    <d v="2024-10-04T00:00:00"/>
    <s v="Video"/>
    <n v="15746"/>
    <n v="258"/>
    <n v="839"/>
    <n v="2656"/>
    <n v="66614"/>
    <n v="213724"/>
    <s v="Sustainability Awareness Drive"/>
    <n v="7.8807246729426739E-2"/>
    <x v="6"/>
  </r>
  <r>
    <s v="A267"/>
    <s v="LinkedIn"/>
    <d v="2024-10-04T00:00:00"/>
    <s v="Video"/>
    <n v="15746"/>
    <n v="258"/>
    <n v="839"/>
    <n v="2656"/>
    <n v="66614"/>
    <n v="213724"/>
    <s v="Sustainability Awareness Drive"/>
    <n v="7.8807246729426739E-2"/>
    <x v="14"/>
  </r>
  <r>
    <s v="A268"/>
    <s v="LinkedIn"/>
    <d v="2025-04-13T00:00:00"/>
    <s v="Carousel"/>
    <n v="24700"/>
    <n v="327"/>
    <n v="999"/>
    <n v="994"/>
    <n v="59400"/>
    <n v="243502"/>
    <s v="Sustainability Awareness Drive"/>
    <n v="0.10688207899729776"/>
    <x v="16"/>
  </r>
  <r>
    <s v="A269"/>
    <s v="YouTube"/>
    <d v="2024-11-05T00:00:00"/>
    <s v="Tweet"/>
    <n v="8469"/>
    <n v="935"/>
    <n v="211"/>
    <n v="2635"/>
    <n v="21890"/>
    <n v="184539"/>
    <s v="MacBook Air M3 Campaign"/>
    <n v="5.2102807536618279E-2"/>
    <x v="16"/>
  </r>
  <r>
    <s v="A270"/>
    <s v="YouTube"/>
    <d v="2025-01-15T00:00:00"/>
    <s v="Tweet"/>
    <n v="11333"/>
    <n v="920"/>
    <n v="294"/>
    <n v="606"/>
    <n v="59490"/>
    <n v="202082"/>
    <s v="Sustainability Awareness Drive"/>
    <n v="6.2088657079799291E-2"/>
    <x v="2"/>
  </r>
  <r>
    <s v="A270"/>
    <s v="YouTube"/>
    <d v="2025-01-15T00:00:00"/>
    <s v="Tweet"/>
    <n v="11333"/>
    <n v="920"/>
    <n v="294"/>
    <n v="606"/>
    <n v="59490"/>
    <n v="202082"/>
    <s v="Sustainability Awareness Drive"/>
    <n v="6.2088657079799291E-2"/>
    <x v="3"/>
  </r>
  <r>
    <s v="A271"/>
    <s v="Twitter"/>
    <d v="2024-10-17T00:00:00"/>
    <s v="Video"/>
    <n v="18608"/>
    <n v="1338"/>
    <n v="365"/>
    <n v="2289"/>
    <n v="20785"/>
    <n v="161999"/>
    <s v="Apple Watch Ultra 2 Launch"/>
    <n v="0.12537731714393299"/>
    <x v="4"/>
  </r>
  <r>
    <s v="A271"/>
    <s v="Twitter"/>
    <d v="2024-10-17T00:00:00"/>
    <s v="Video"/>
    <n v="18608"/>
    <n v="1338"/>
    <n v="365"/>
    <n v="2289"/>
    <n v="20785"/>
    <n v="161999"/>
    <s v="Apple Watch Ultra 2 Launch"/>
    <n v="0.12537731714393299"/>
    <x v="5"/>
  </r>
  <r>
    <s v="A272"/>
    <s v="LinkedIn"/>
    <d v="2025-03-27T00:00:00"/>
    <s v="Tweet"/>
    <n v="14819"/>
    <n v="1432"/>
    <n v="152"/>
    <n v="961"/>
    <n v="39154"/>
    <n v="154793"/>
    <s v="iPhone 16 Launch"/>
    <n v="0.10596732410380315"/>
    <x v="15"/>
  </r>
  <r>
    <s v="A272"/>
    <s v="LinkedIn"/>
    <d v="2025-03-27T00:00:00"/>
    <s v="Tweet"/>
    <n v="14819"/>
    <n v="1432"/>
    <n v="152"/>
    <n v="961"/>
    <n v="39154"/>
    <n v="154793"/>
    <s v="iPhone 16 Launch"/>
    <n v="0.10596732410380315"/>
    <x v="8"/>
  </r>
  <r>
    <s v="A273"/>
    <s v="LinkedIn"/>
    <d v="2024-10-12T00:00:00"/>
    <s v="Image"/>
    <n v="6208"/>
    <n v="725"/>
    <n v="309"/>
    <n v="848"/>
    <n v="39319"/>
    <n v="225763"/>
    <s v="Apple Watch Ultra 2 Launch"/>
    <n v="3.207788698768177E-2"/>
    <x v="17"/>
  </r>
  <r>
    <s v="A273"/>
    <s v="LinkedIn"/>
    <d v="2024-10-12T00:00:00"/>
    <s v="Image"/>
    <n v="6208"/>
    <n v="725"/>
    <n v="309"/>
    <n v="848"/>
    <n v="39319"/>
    <n v="225763"/>
    <s v="Apple Watch Ultra 2 Launch"/>
    <n v="3.207788698768177E-2"/>
    <x v="18"/>
  </r>
  <r>
    <s v="A274"/>
    <s v="LinkedIn"/>
    <d v="2025-01-01T00:00:00"/>
    <s v="Video"/>
    <n v="8283"/>
    <n v="720"/>
    <n v="888"/>
    <n v="611"/>
    <n v="52791"/>
    <n v="235229"/>
    <s v="Apple Watch Ultra 2 Launch"/>
    <n v="4.2048386891072105E-2"/>
    <x v="9"/>
  </r>
  <r>
    <s v="A274"/>
    <s v="LinkedIn"/>
    <d v="2025-01-01T00:00:00"/>
    <s v="Video"/>
    <n v="8283"/>
    <n v="720"/>
    <n v="888"/>
    <n v="611"/>
    <n v="52791"/>
    <n v="235229"/>
    <s v="Apple Watch Ultra 2 Launch"/>
    <n v="4.2048386891072105E-2"/>
    <x v="10"/>
  </r>
  <r>
    <s v="A275"/>
    <s v="Instagram"/>
    <d v="2024-08-05T00:00:00"/>
    <s v="Tweet"/>
    <n v="4048"/>
    <n v="751"/>
    <n v="930"/>
    <n v="1382"/>
    <n v="16844"/>
    <n v="148177"/>
    <s v="iPhone 16 Launch"/>
    <n v="3.8663220337839206E-2"/>
    <x v="11"/>
  </r>
  <r>
    <s v="A275"/>
    <s v="Instagram"/>
    <d v="2024-08-05T00:00:00"/>
    <s v="Tweet"/>
    <n v="4048"/>
    <n v="751"/>
    <n v="930"/>
    <n v="1382"/>
    <n v="16844"/>
    <n v="148177"/>
    <s v="iPhone 16 Launch"/>
    <n v="3.8663220337839206E-2"/>
    <x v="12"/>
  </r>
  <r>
    <s v="A276"/>
    <s v="LinkedIn"/>
    <d v="2024-06-07T00:00:00"/>
    <s v="Video"/>
    <n v="8233"/>
    <n v="436"/>
    <n v="269"/>
    <n v="2037"/>
    <n v="8875"/>
    <n v="52289"/>
    <s v="Apple Watch Ultra 2 Launch"/>
    <n v="0.17093461339861157"/>
    <x v="6"/>
  </r>
  <r>
    <s v="A276"/>
    <s v="LinkedIn"/>
    <d v="2024-06-07T00:00:00"/>
    <s v="Video"/>
    <n v="8233"/>
    <n v="436"/>
    <n v="269"/>
    <n v="2037"/>
    <n v="8875"/>
    <n v="52289"/>
    <s v="Apple Watch Ultra 2 Launch"/>
    <n v="0.17093461339861157"/>
    <x v="7"/>
  </r>
  <r>
    <s v="A277"/>
    <s v="Instagram"/>
    <d v="2025-04-06T00:00:00"/>
    <s v="Image"/>
    <n v="14941"/>
    <n v="1424"/>
    <n v="238"/>
    <n v="1054"/>
    <n v="20516"/>
    <n v="216048"/>
    <s v="MacBook Air M3 Campaign"/>
    <n v="7.6848663260016298E-2"/>
    <x v="16"/>
  </r>
  <r>
    <s v="A278"/>
    <s v="Twitter"/>
    <d v="2024-11-26T00:00:00"/>
    <s v="Video"/>
    <n v="14607"/>
    <n v="1458"/>
    <n v="478"/>
    <n v="334"/>
    <n v="49257"/>
    <n v="214668"/>
    <s v="iPhone 16 Launch"/>
    <n v="7.7063185942944451E-2"/>
    <x v="9"/>
  </r>
  <r>
    <s v="A278"/>
    <s v="Twitter"/>
    <d v="2024-11-26T00:00:00"/>
    <s v="Video"/>
    <n v="14607"/>
    <n v="1458"/>
    <n v="478"/>
    <n v="334"/>
    <n v="49257"/>
    <n v="214668"/>
    <s v="iPhone 16 Launch"/>
    <n v="7.7063185942944451E-2"/>
    <x v="10"/>
  </r>
  <r>
    <s v="A279"/>
    <s v="Instagram"/>
    <d v="2024-09-02T00:00:00"/>
    <s v="Video"/>
    <n v="11765"/>
    <n v="693"/>
    <n v="729"/>
    <n v="744"/>
    <n v="97772"/>
    <n v="194243"/>
    <s v="Apple Watch Ultra 2 Launch"/>
    <n v="6.7889190344053579E-2"/>
    <x v="6"/>
  </r>
  <r>
    <s v="A279"/>
    <s v="Instagram"/>
    <d v="2024-09-02T00:00:00"/>
    <s v="Video"/>
    <n v="11765"/>
    <n v="693"/>
    <n v="729"/>
    <n v="744"/>
    <n v="97772"/>
    <n v="194243"/>
    <s v="Apple Watch Ultra 2 Launch"/>
    <n v="6.7889190344053579E-2"/>
    <x v="7"/>
  </r>
  <r>
    <s v="A280"/>
    <s v="Twitter"/>
    <d v="2025-09-18T00:00:00"/>
    <s v="Video"/>
    <n v="3828"/>
    <n v="203"/>
    <n v="506"/>
    <n v="2440"/>
    <n v="63650"/>
    <n v="126365"/>
    <s v="Apple Event September 2025"/>
    <n v="3.5903929094290347E-2"/>
    <x v="9"/>
  </r>
  <r>
    <s v="A280"/>
    <s v="Twitter"/>
    <d v="2025-09-18T00:00:00"/>
    <s v="Video"/>
    <n v="3828"/>
    <n v="203"/>
    <n v="506"/>
    <n v="2440"/>
    <n v="63650"/>
    <n v="126365"/>
    <s v="Apple Event September 2025"/>
    <n v="3.5903929094290347E-2"/>
    <x v="10"/>
  </r>
  <r>
    <s v="A281"/>
    <s v="LinkedIn"/>
    <d v="2025-03-22T00:00:00"/>
    <s v="Video"/>
    <n v="3917"/>
    <n v="865"/>
    <n v="759"/>
    <n v="2282"/>
    <n v="56125"/>
    <n v="154014"/>
    <s v="Apple Watch Ultra 2 Launch"/>
    <n v="3.5977248821535704E-2"/>
    <x v="6"/>
  </r>
  <r>
    <s v="A281"/>
    <s v="LinkedIn"/>
    <d v="2025-03-22T00:00:00"/>
    <s v="Video"/>
    <n v="3917"/>
    <n v="865"/>
    <n v="759"/>
    <n v="2282"/>
    <n v="56125"/>
    <n v="154014"/>
    <s v="Apple Watch Ultra 2 Launch"/>
    <n v="3.5977248821535704E-2"/>
    <x v="14"/>
  </r>
  <r>
    <s v="A282"/>
    <s v="LinkedIn"/>
    <d v="2024-10-03T00:00:00"/>
    <s v="Image"/>
    <n v="22618"/>
    <n v="641"/>
    <n v="416"/>
    <n v="1530"/>
    <n v="18395"/>
    <n v="215211"/>
    <s v="MacBook Air M3 Campaign"/>
    <n v="0.1100083174187193"/>
    <x v="6"/>
  </r>
  <r>
    <s v="A282"/>
    <s v="LinkedIn"/>
    <d v="2024-10-03T00:00:00"/>
    <s v="Image"/>
    <n v="22618"/>
    <n v="641"/>
    <n v="416"/>
    <n v="1530"/>
    <n v="18395"/>
    <n v="215211"/>
    <s v="MacBook Air M3 Campaign"/>
    <n v="0.1100083174187193"/>
    <x v="7"/>
  </r>
  <r>
    <s v="A283"/>
    <s v="Twitter"/>
    <d v="2025-05-09T00:00:00"/>
    <s v="Carousel"/>
    <n v="8988"/>
    <n v="228"/>
    <n v="766"/>
    <n v="652"/>
    <n v="63789"/>
    <n v="219785"/>
    <s v="Sustainability Awareness Drive"/>
    <n v="4.541711217781013E-2"/>
    <x v="11"/>
  </r>
  <r>
    <s v="A283"/>
    <s v="Twitter"/>
    <d v="2025-05-09T00:00:00"/>
    <s v="Carousel"/>
    <n v="8988"/>
    <n v="228"/>
    <n v="766"/>
    <n v="652"/>
    <n v="63789"/>
    <n v="219785"/>
    <s v="Sustainability Awareness Drive"/>
    <n v="4.541711217781013E-2"/>
    <x v="12"/>
  </r>
  <r>
    <s v="A284"/>
    <s v="YouTube"/>
    <d v="2024-09-17T00:00:00"/>
    <s v="Video"/>
    <n v="20410"/>
    <n v="1332"/>
    <n v="472"/>
    <n v="1202"/>
    <n v="9418"/>
    <n v="200806"/>
    <s v="Apple Watch Ultra 2 Launch"/>
    <n v="0.11062418453631864"/>
    <x v="9"/>
  </r>
  <r>
    <s v="A284"/>
    <s v="YouTube"/>
    <d v="2024-09-17T00:00:00"/>
    <s v="Video"/>
    <n v="20410"/>
    <n v="1332"/>
    <n v="472"/>
    <n v="1202"/>
    <n v="9418"/>
    <n v="200806"/>
    <s v="Apple Watch Ultra 2 Launch"/>
    <n v="0.11062418453631864"/>
    <x v="10"/>
  </r>
  <r>
    <s v="A285"/>
    <s v="Twitter"/>
    <d v="2024-07-18T00:00:00"/>
    <s v="Video"/>
    <n v="16594"/>
    <n v="809"/>
    <n v="784"/>
    <n v="1655"/>
    <n v="35505"/>
    <n v="112588"/>
    <s v="Sustainability Awareness Drive"/>
    <n v="0.16153586527871533"/>
    <x v="0"/>
  </r>
  <r>
    <s v="A285"/>
    <s v="Twitter"/>
    <d v="2024-07-18T00:00:00"/>
    <s v="Video"/>
    <n v="16594"/>
    <n v="809"/>
    <n v="784"/>
    <n v="1655"/>
    <n v="35505"/>
    <n v="112588"/>
    <s v="Sustainability Awareness Drive"/>
    <n v="0.16153586527871533"/>
    <x v="1"/>
  </r>
  <r>
    <s v="A286"/>
    <s v="YouTube"/>
    <d v="2025-09-19T00:00:00"/>
    <s v="Tweet"/>
    <n v="22128"/>
    <n v="1004"/>
    <n v="690"/>
    <n v="2048"/>
    <n v="19443"/>
    <n v="103646"/>
    <s v="Apple Event September 2025"/>
    <n v="0.22984003241803833"/>
    <x v="11"/>
  </r>
  <r>
    <s v="A286"/>
    <s v="YouTube"/>
    <d v="2025-09-19T00:00:00"/>
    <s v="Tweet"/>
    <n v="22128"/>
    <n v="1004"/>
    <n v="690"/>
    <n v="2048"/>
    <n v="19443"/>
    <n v="103646"/>
    <s v="Apple Event September 2025"/>
    <n v="0.22984003241803833"/>
    <x v="12"/>
  </r>
  <r>
    <s v="A287"/>
    <s v="Instagram"/>
    <d v="2024-08-15T00:00:00"/>
    <s v="Video"/>
    <n v="14977"/>
    <n v="274"/>
    <n v="798"/>
    <n v="458"/>
    <n v="6636"/>
    <n v="43654"/>
    <s v="Apple Watch Ultra 2 Launch"/>
    <n v="0.36764099509781462"/>
    <x v="6"/>
  </r>
  <r>
    <s v="A287"/>
    <s v="Instagram"/>
    <d v="2024-08-15T00:00:00"/>
    <s v="Video"/>
    <n v="14977"/>
    <n v="274"/>
    <n v="798"/>
    <n v="458"/>
    <n v="6636"/>
    <n v="43654"/>
    <s v="Apple Watch Ultra 2 Launch"/>
    <n v="0.36764099509781462"/>
    <x v="7"/>
  </r>
  <r>
    <s v="A288"/>
    <s v="Instagram"/>
    <d v="2025-04-17T00:00:00"/>
    <s v="Tweet"/>
    <n v="2009"/>
    <n v="1037"/>
    <n v="344"/>
    <n v="2277"/>
    <n v="85743"/>
    <n v="58743"/>
    <s v="iPhone 16 Launch"/>
    <n v="5.7709003625963942E-2"/>
    <x v="11"/>
  </r>
  <r>
    <s v="A288"/>
    <s v="Instagram"/>
    <d v="2025-04-17T00:00:00"/>
    <s v="Tweet"/>
    <n v="2009"/>
    <n v="1037"/>
    <n v="344"/>
    <n v="2277"/>
    <n v="85743"/>
    <n v="58743"/>
    <s v="iPhone 16 Launch"/>
    <n v="5.7709003625963942E-2"/>
    <x v="12"/>
  </r>
  <r>
    <s v="A289"/>
    <s v="Instagram"/>
    <d v="2024-11-28T00:00:00"/>
    <s v="Carousel"/>
    <n v="18644"/>
    <n v="1369"/>
    <n v="887"/>
    <n v="1256"/>
    <n v="43415"/>
    <n v="88368"/>
    <s v="Sustainability Awareness Drive"/>
    <n v="0.23651095419156257"/>
    <x v="9"/>
  </r>
  <r>
    <s v="A289"/>
    <s v="Instagram"/>
    <d v="2024-11-28T00:00:00"/>
    <s v="Carousel"/>
    <n v="18644"/>
    <n v="1369"/>
    <n v="887"/>
    <n v="1256"/>
    <n v="43415"/>
    <n v="88368"/>
    <s v="Sustainability Awareness Drive"/>
    <n v="0.23651095419156257"/>
    <x v="10"/>
  </r>
  <r>
    <s v="A290"/>
    <s v="LinkedIn"/>
    <d v="2025-09-20T00:00:00"/>
    <s v="Image"/>
    <n v="24422"/>
    <n v="327"/>
    <n v="481"/>
    <n v="2371"/>
    <n v="35340"/>
    <n v="245244"/>
    <s v="Apple Event September 2025"/>
    <n v="0.10287713460879777"/>
    <x v="8"/>
  </r>
  <r>
    <s v="A291"/>
    <s v="Instagram"/>
    <d v="2024-11-06T00:00:00"/>
    <s v="Image"/>
    <n v="11865"/>
    <n v="241"/>
    <n v="319"/>
    <n v="703"/>
    <n v="69596"/>
    <n v="177513"/>
    <s v="iPhone 16 Launch"/>
    <n v="6.999487361489018E-2"/>
    <x v="9"/>
  </r>
  <r>
    <s v="A291"/>
    <s v="Instagram"/>
    <d v="2024-11-06T00:00:00"/>
    <s v="Image"/>
    <n v="11865"/>
    <n v="241"/>
    <n v="319"/>
    <n v="703"/>
    <n v="69596"/>
    <n v="177513"/>
    <s v="iPhone 16 Launch"/>
    <n v="6.999487361489018E-2"/>
    <x v="10"/>
  </r>
  <r>
    <s v="A292"/>
    <s v="YouTube"/>
    <d v="2024-11-17T00:00:00"/>
    <s v="Carousel"/>
    <n v="4219"/>
    <n v="240"/>
    <n v="670"/>
    <n v="815"/>
    <n v="11978"/>
    <n v="159735"/>
    <s v="iPhone 16 Launch"/>
    <n v="3.2109431245500357E-2"/>
    <x v="9"/>
  </r>
  <r>
    <s v="A292"/>
    <s v="YouTube"/>
    <d v="2024-11-17T00:00:00"/>
    <s v="Carousel"/>
    <n v="4219"/>
    <n v="240"/>
    <n v="670"/>
    <n v="815"/>
    <n v="11978"/>
    <n v="159735"/>
    <s v="iPhone 16 Launch"/>
    <n v="3.2109431245500357E-2"/>
    <x v="10"/>
  </r>
  <r>
    <s v="A293"/>
    <s v="Instagram"/>
    <d v="2025-05-14T00:00:00"/>
    <s v="Image"/>
    <n v="9041"/>
    <n v="1133"/>
    <n v="612"/>
    <n v="1687"/>
    <n v="28102"/>
    <n v="195683"/>
    <s v="iPhone 16 Launch"/>
    <n v="5.5119760020032396E-2"/>
    <x v="6"/>
  </r>
  <r>
    <s v="A293"/>
    <s v="Instagram"/>
    <d v="2025-05-14T00:00:00"/>
    <s v="Image"/>
    <n v="9041"/>
    <n v="1133"/>
    <n v="612"/>
    <n v="1687"/>
    <n v="28102"/>
    <n v="195683"/>
    <s v="iPhone 16 Launch"/>
    <n v="5.5119760020032396E-2"/>
    <x v="14"/>
  </r>
  <r>
    <s v="A294"/>
    <s v="Twitter"/>
    <d v="2024-06-19T00:00:00"/>
    <s v="Carousel"/>
    <n v="20444"/>
    <n v="233"/>
    <n v="189"/>
    <n v="2879"/>
    <n v="28185"/>
    <n v="159891"/>
    <s v="iPhone 16 Launch"/>
    <n v="0.13050140408153055"/>
    <x v="15"/>
  </r>
  <r>
    <s v="A294"/>
    <s v="Twitter"/>
    <d v="2024-06-19T00:00:00"/>
    <s v="Carousel"/>
    <n v="20444"/>
    <n v="233"/>
    <n v="189"/>
    <n v="2879"/>
    <n v="28185"/>
    <n v="159891"/>
    <s v="iPhone 16 Launch"/>
    <n v="0.13050140408153055"/>
    <x v="8"/>
  </r>
  <r>
    <s v="A295"/>
    <s v="Twitter"/>
    <d v="2025-05-06T00:00:00"/>
    <s v="Carousel"/>
    <n v="7287"/>
    <n v="1240"/>
    <n v="686"/>
    <n v="1255"/>
    <n v="15403"/>
    <n v="147971"/>
    <s v="Apple Watch Ultra 2 Launch"/>
    <n v="6.2262200025680704E-2"/>
    <x v="0"/>
  </r>
  <r>
    <s v="A295"/>
    <s v="Twitter"/>
    <d v="2025-05-06T00:00:00"/>
    <s v="Carousel"/>
    <n v="7287"/>
    <n v="1240"/>
    <n v="686"/>
    <n v="1255"/>
    <n v="15403"/>
    <n v="147971"/>
    <s v="Apple Watch Ultra 2 Launch"/>
    <n v="6.2262200025680704E-2"/>
    <x v="1"/>
  </r>
  <r>
    <s v="A296"/>
    <s v="LinkedIn"/>
    <d v="2025-02-11T00:00:00"/>
    <s v="Carousel"/>
    <n v="3619"/>
    <n v="1376"/>
    <n v="410"/>
    <n v="2499"/>
    <n v="58146"/>
    <n v="52149"/>
    <s v="Apple Watch Ultra 2 Launch"/>
    <n v="0.10364532397553165"/>
    <x v="17"/>
  </r>
  <r>
    <s v="A296"/>
    <s v="LinkedIn"/>
    <d v="2025-02-11T00:00:00"/>
    <s v="Carousel"/>
    <n v="3619"/>
    <n v="1376"/>
    <n v="410"/>
    <n v="2499"/>
    <n v="58146"/>
    <n v="52149"/>
    <s v="Apple Watch Ultra 2 Launch"/>
    <n v="0.10364532397553165"/>
    <x v="18"/>
  </r>
  <r>
    <s v="A297"/>
    <s v="Twitter"/>
    <d v="2024-12-24T00:00:00"/>
    <s v="Image"/>
    <n v="10512"/>
    <n v="1197"/>
    <n v="544"/>
    <n v="2012"/>
    <n v="10245"/>
    <n v="140102"/>
    <s v="Apple Watch Ultra 2 Launch"/>
    <n v="8.745770938316369E-2"/>
    <x v="16"/>
  </r>
  <r>
    <s v="A298"/>
    <s v="YouTube"/>
    <d v="2025-09-24T00:00:00"/>
    <s v="Tweet"/>
    <n v="3342"/>
    <n v="787"/>
    <n v="375"/>
    <n v="907"/>
    <n v="85823"/>
    <n v="99189"/>
    <s v="Apple Event September 2025"/>
    <n v="4.5408260996683103E-2"/>
    <x v="13"/>
  </r>
  <r>
    <s v="A298"/>
    <s v="YouTube"/>
    <d v="2025-09-24T00:00:00"/>
    <s v="Tweet"/>
    <n v="3342"/>
    <n v="787"/>
    <n v="375"/>
    <n v="907"/>
    <n v="85823"/>
    <n v="99189"/>
    <s v="Apple Event September 2025"/>
    <n v="4.5408260996683103E-2"/>
    <x v="6"/>
  </r>
  <r>
    <s v="A299"/>
    <s v="Instagram"/>
    <d v="2025-09-25T00:00:00"/>
    <s v="Carousel"/>
    <n v="12568"/>
    <n v="541"/>
    <n v="273"/>
    <n v="2767"/>
    <n v="22331"/>
    <n v="192747"/>
    <s v="Apple Event September 2025"/>
    <n v="6.9427799135654514E-2"/>
    <x v="15"/>
  </r>
  <r>
    <s v="A299"/>
    <s v="Instagram"/>
    <d v="2025-09-25T00:00:00"/>
    <s v="Carousel"/>
    <n v="12568"/>
    <n v="541"/>
    <n v="273"/>
    <n v="2767"/>
    <n v="22331"/>
    <n v="192747"/>
    <s v="Apple Event September 2025"/>
    <n v="6.9427799135654514E-2"/>
    <x v="8"/>
  </r>
  <r>
    <s v="A300"/>
    <s v="LinkedIn"/>
    <d v="2025-09-26T00:00:00"/>
    <s v="Video"/>
    <n v="21216"/>
    <n v="226"/>
    <n v="187"/>
    <n v="1573"/>
    <n v="62688"/>
    <n v="111031"/>
    <s v="Apple Event September 2025"/>
    <n v="0.19480145184678152"/>
    <x v="13"/>
  </r>
  <r>
    <s v="A300"/>
    <s v="LinkedIn"/>
    <d v="2025-09-26T00:00:00"/>
    <s v="Video"/>
    <n v="21216"/>
    <n v="226"/>
    <n v="187"/>
    <n v="1573"/>
    <n v="62688"/>
    <n v="111031"/>
    <s v="Apple Event September 2025"/>
    <n v="0.19480145184678152"/>
    <x v="6"/>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7">
  <r>
    <s v="A1"/>
    <s v="YouTube"/>
    <d v="2024-12-23T00:00:00"/>
    <s v="Image"/>
    <n v="24516"/>
    <n v="976"/>
    <n v="974"/>
    <n v="2675"/>
    <n v="23275"/>
    <n v="202932"/>
    <s v="Apple Watch Ultra 2 Launch"/>
    <n v="0.13041807107799658"/>
    <x v="0"/>
    <n v="1.3181755464884789E-2"/>
    <n v="14.359982654288137"/>
  </r>
  <r>
    <s v="A1"/>
    <s v="YouTube"/>
    <d v="2024-12-23T00:00:00"/>
    <s v="Image"/>
    <n v="24516"/>
    <n v="976"/>
    <n v="974"/>
    <n v="2675"/>
    <n v="23275"/>
    <n v="202932"/>
    <s v="Apple Watch Ultra 2 Launch"/>
    <n v="0.13041807107799658"/>
    <x v="1"/>
    <n v="1.3181755464884789E-2"/>
    <n v="14.359982654288137"/>
  </r>
  <r>
    <s v="A2"/>
    <s v="LinkedIn"/>
    <d v="2025-09-03T00:00:00"/>
    <s v="Image"/>
    <n v="4779"/>
    <n v="1110"/>
    <n v="436"/>
    <n v="1574"/>
    <n v="77167"/>
    <n v="71585"/>
    <s v="Apple Event September 2025"/>
    <n v="8.8356499266606131E-2"/>
    <x v="2"/>
    <n v="2.1987846615911154E-2"/>
    <n v="11.034434588251729"/>
  </r>
  <r>
    <s v="A2"/>
    <s v="LinkedIn"/>
    <d v="2025-09-03T00:00:00"/>
    <s v="Image"/>
    <n v="4779"/>
    <n v="1110"/>
    <n v="436"/>
    <n v="1574"/>
    <n v="77167"/>
    <n v="71585"/>
    <s v="Apple Event September 2025"/>
    <n v="8.8356499266606131E-2"/>
    <x v="3"/>
    <n v="2.1987846615911154E-2"/>
    <n v="11.034434588251729"/>
  </r>
  <r>
    <s v="A3"/>
    <s v="Instagram"/>
    <d v="2025-05-12T00:00:00"/>
    <s v="Tweet"/>
    <n v="19308"/>
    <n v="1318"/>
    <n v="795"/>
    <n v="1499"/>
    <n v="52307"/>
    <n v="193087"/>
    <s v="Sustainability Awareness Drive"/>
    <n v="0.11093962825047776"/>
    <x v="4"/>
    <n v="7.7633398416257953E-3"/>
    <n v="11.870296809210355"/>
  </r>
  <r>
    <s v="A3"/>
    <s v="Instagram"/>
    <d v="2025-05-12T00:00:00"/>
    <s v="Tweet"/>
    <n v="19308"/>
    <n v="1318"/>
    <n v="795"/>
    <n v="1499"/>
    <n v="52307"/>
    <n v="193087"/>
    <s v="Sustainability Awareness Drive"/>
    <n v="0.11093962825047776"/>
    <x v="5"/>
    <n v="7.7633398416257953E-3"/>
    <n v="11.870296809210355"/>
  </r>
  <r>
    <s v="A4"/>
    <s v="YouTube"/>
    <d v="2024-08-12T00:00:00"/>
    <s v="Video"/>
    <n v="3581"/>
    <n v="517"/>
    <n v="880"/>
    <n v="1925"/>
    <n v="18636"/>
    <n v="248611"/>
    <s v="iPhone 16 Launch"/>
    <n v="2.0023249172401864E-2"/>
    <x v="6"/>
    <n v="7.7430202203442322E-3"/>
    <n v="2.7766269392746095"/>
  </r>
  <r>
    <s v="A4"/>
    <s v="YouTube"/>
    <d v="2024-08-12T00:00:00"/>
    <s v="Video"/>
    <n v="3581"/>
    <n v="517"/>
    <n v="880"/>
    <n v="1925"/>
    <n v="18636"/>
    <n v="248611"/>
    <s v="iPhone 16 Launch"/>
    <n v="2.0023249172401864E-2"/>
    <x v="7"/>
    <n v="7.7430202203442322E-3"/>
    <n v="2.7766269392746095"/>
  </r>
  <r>
    <s v="A5"/>
    <s v="YouTube"/>
    <d v="2025-09-04T00:00:00"/>
    <s v="Video"/>
    <n v="21708"/>
    <n v="435"/>
    <n v="317"/>
    <n v="1213"/>
    <n v="70701"/>
    <n v="83585"/>
    <s v="Apple Event September 2025"/>
    <n v="0.26870850032900639"/>
    <x v="0"/>
    <n v="1.4512173236824789E-2"/>
    <n v="28.322067356583119"/>
  </r>
  <r>
    <s v="A5"/>
    <s v="YouTube"/>
    <d v="2025-09-04T00:00:00"/>
    <s v="Video"/>
    <n v="21708"/>
    <n v="435"/>
    <n v="317"/>
    <n v="1213"/>
    <n v="70701"/>
    <n v="83585"/>
    <s v="Apple Event September 2025"/>
    <n v="0.26870850032900639"/>
    <x v="1"/>
    <n v="1.4512173236824789E-2"/>
    <n v="28.322067356583119"/>
  </r>
  <r>
    <s v="A6"/>
    <s v="LinkedIn"/>
    <d v="2025-09-05T00:00:00"/>
    <s v="Image"/>
    <n v="14677"/>
    <n v="533"/>
    <n v="759"/>
    <n v="753"/>
    <n v="23275"/>
    <n v="66958"/>
    <s v="Apple Event September 2025"/>
    <n v="0.23849278652289496"/>
    <x v="8"/>
    <n v="1.1245855610980017E-2"/>
    <n v="24.973864213387497"/>
  </r>
  <r>
    <s v="A7"/>
    <s v="Instagram"/>
    <d v="2024-06-24T00:00:00"/>
    <s v="Carousel"/>
    <n v="7713"/>
    <n v="575"/>
    <n v="417"/>
    <n v="336"/>
    <n v="61660"/>
    <n v="66017"/>
    <s v="iPhone 16 Launch"/>
    <n v="0.13185997546086614"/>
    <x v="9"/>
    <n v="5.0895981338140179E-3"/>
    <n v="13.694957359468015"/>
  </r>
  <r>
    <s v="A7"/>
    <s v="Instagram"/>
    <d v="2024-06-24T00:00:00"/>
    <s v="Carousel"/>
    <n v="7713"/>
    <n v="575"/>
    <n v="417"/>
    <n v="336"/>
    <n v="61660"/>
    <n v="66017"/>
    <s v="iPhone 16 Launch"/>
    <n v="0.13185997546086614"/>
    <x v="10"/>
    <n v="5.0895981338140179E-3"/>
    <n v="13.694957359468015"/>
  </r>
  <r>
    <s v="A8"/>
    <s v="Instagram"/>
    <d v="2024-07-13T00:00:00"/>
    <s v="Video"/>
    <n v="18639"/>
    <n v="1360"/>
    <n v="898"/>
    <n v="2011"/>
    <n v="42841"/>
    <n v="247779"/>
    <s v="iPhone 16 Launch"/>
    <n v="8.4337252148083575E-2"/>
    <x v="11"/>
    <n v="8.1161034631667735E-3"/>
    <n v="9.2453355611250352"/>
  </r>
  <r>
    <s v="A8"/>
    <s v="Instagram"/>
    <d v="2024-07-13T00:00:00"/>
    <s v="Video"/>
    <n v="18639"/>
    <n v="1360"/>
    <n v="898"/>
    <n v="2011"/>
    <n v="42841"/>
    <n v="247779"/>
    <s v="iPhone 16 Launch"/>
    <n v="8.4337252148083575E-2"/>
    <x v="12"/>
    <n v="8.1161034631667735E-3"/>
    <n v="9.2453355611250352"/>
  </r>
  <r>
    <s v="A9"/>
    <s v="YouTube"/>
    <d v="2024-08-30T00:00:00"/>
    <s v="Carousel"/>
    <n v="6804"/>
    <n v="787"/>
    <n v="970"/>
    <n v="1095"/>
    <n v="56343"/>
    <n v="164677"/>
    <s v="Apple Watch Ultra 2 Launch"/>
    <n v="5.1986616224487935E-2"/>
    <x v="2"/>
    <n v="6.6493803020458231E-3"/>
    <n v="5.8635996526533756"/>
  </r>
  <r>
    <s v="A9"/>
    <s v="YouTube"/>
    <d v="2024-08-30T00:00:00"/>
    <s v="Carousel"/>
    <n v="6804"/>
    <n v="787"/>
    <n v="970"/>
    <n v="1095"/>
    <n v="56343"/>
    <n v="164677"/>
    <s v="Apple Watch Ultra 2 Launch"/>
    <n v="5.1986616224487935E-2"/>
    <x v="3"/>
    <n v="6.6493803020458231E-3"/>
    <n v="5.8635996526533756"/>
  </r>
  <r>
    <s v="A10"/>
    <s v="Twitter"/>
    <d v="2025-03-11T00:00:00"/>
    <s v="Video"/>
    <n v="20222"/>
    <n v="712"/>
    <n v="604"/>
    <n v="1272"/>
    <n v="71598"/>
    <n v="216422"/>
    <s v="Sustainability Awareness Drive"/>
    <n v="9.9518533235992648E-2"/>
    <x v="13"/>
    <n v="5.8774061786694516E-3"/>
    <n v="10.53959394146621"/>
  </r>
  <r>
    <s v="A10"/>
    <s v="Twitter"/>
    <d v="2025-03-11T00:00:00"/>
    <s v="Video"/>
    <n v="20222"/>
    <n v="712"/>
    <n v="604"/>
    <n v="1272"/>
    <n v="71598"/>
    <n v="216422"/>
    <s v="Sustainability Awareness Drive"/>
    <n v="9.9518533235992648E-2"/>
    <x v="6"/>
    <n v="5.8774061786694516E-3"/>
    <n v="10.53959394146621"/>
  </r>
  <r>
    <s v="A11"/>
    <s v="YouTube"/>
    <d v="2025-02-02T00:00:00"/>
    <s v="Carousel"/>
    <n v="12136"/>
    <n v="1117"/>
    <n v="834"/>
    <n v="892"/>
    <n v="24675"/>
    <n v="183273"/>
    <s v="Sustainability Awareness Drive"/>
    <n v="7.6863476889667326E-2"/>
    <x v="6"/>
    <n v="4.8670562494202638E-3"/>
    <n v="8.1730533139087598"/>
  </r>
  <r>
    <s v="A11"/>
    <s v="YouTube"/>
    <d v="2025-02-02T00:00:00"/>
    <s v="Carousel"/>
    <n v="12136"/>
    <n v="1117"/>
    <n v="834"/>
    <n v="892"/>
    <n v="24675"/>
    <n v="183273"/>
    <s v="Sustainability Awareness Drive"/>
    <n v="7.6863476889667326E-2"/>
    <x v="7"/>
    <n v="4.8670562494202638E-3"/>
    <n v="8.1730533139087598"/>
  </r>
  <r>
    <s v="A12"/>
    <s v="YouTube"/>
    <d v="2024-07-21T00:00:00"/>
    <s v="Tweet"/>
    <n v="2009"/>
    <n v="1072"/>
    <n v="550"/>
    <n v="1437"/>
    <n v="22982"/>
    <n v="69426"/>
    <s v="iPhone 16 Launch"/>
    <n v="5.2300290957278256E-2"/>
    <x v="2"/>
    <n v="2.069829746780745E-2"/>
    <n v="7.2998588425085709"/>
  </r>
  <r>
    <s v="A12"/>
    <s v="YouTube"/>
    <d v="2024-07-21T00:00:00"/>
    <s v="Tweet"/>
    <n v="2009"/>
    <n v="1072"/>
    <n v="550"/>
    <n v="1437"/>
    <n v="22982"/>
    <n v="69426"/>
    <s v="iPhone 16 Launch"/>
    <n v="5.2300290957278256E-2"/>
    <x v="3"/>
    <n v="2.069829746780745E-2"/>
    <n v="7.2998588425085709"/>
  </r>
  <r>
    <s v="A13"/>
    <s v="YouTube"/>
    <d v="2024-11-18T00:00:00"/>
    <s v="Carousel"/>
    <n v="21255"/>
    <n v="1452"/>
    <n v="625"/>
    <n v="1624"/>
    <n v="21282"/>
    <n v="57778"/>
    <s v="MacBook Air M3 Campaign"/>
    <n v="0.40382152376337016"/>
    <x v="9"/>
    <n v="2.8107584201599225E-2"/>
    <n v="43.192910796496939"/>
  </r>
  <r>
    <s v="A13"/>
    <s v="YouTube"/>
    <d v="2024-11-18T00:00:00"/>
    <s v="Carousel"/>
    <n v="21255"/>
    <n v="1452"/>
    <n v="625"/>
    <n v="1624"/>
    <n v="21282"/>
    <n v="57778"/>
    <s v="MacBook Air M3 Campaign"/>
    <n v="0.40382152376337016"/>
    <x v="10"/>
    <n v="2.8107584201599225E-2"/>
    <n v="43.192910796496939"/>
  </r>
  <r>
    <s v="A14"/>
    <s v="YouTube"/>
    <d v="2025-09-06T00:00:00"/>
    <s v="Tweet"/>
    <n v="7124"/>
    <n v="469"/>
    <n v="851"/>
    <n v="2571"/>
    <n v="33802"/>
    <n v="216313"/>
    <s v="Apple Event September 2025"/>
    <n v="3.9036026498638549E-2"/>
    <x v="11"/>
    <n v="1.1885554728564627E-2"/>
    <n v="5.092158122720317"/>
  </r>
  <r>
    <s v="A14"/>
    <s v="YouTube"/>
    <d v="2025-09-06T00:00:00"/>
    <s v="Tweet"/>
    <n v="7124"/>
    <n v="469"/>
    <n v="851"/>
    <n v="2571"/>
    <n v="33802"/>
    <n v="216313"/>
    <s v="Apple Event September 2025"/>
    <n v="3.9036026498638549E-2"/>
    <x v="12"/>
    <n v="1.1885554728564627E-2"/>
    <n v="5.092158122720317"/>
  </r>
  <r>
    <s v="A15"/>
    <s v="LinkedIn"/>
    <d v="2025-09-07T00:00:00"/>
    <s v="Tweet"/>
    <n v="3015"/>
    <n v="997"/>
    <n v="783"/>
    <n v="617"/>
    <n v="77167"/>
    <n v="82229"/>
    <s v="Apple Event September 2025"/>
    <n v="5.8312760704860814E-2"/>
    <x v="4"/>
    <n v="7.5034355276119135E-3"/>
    <n v="6.5816196232472732"/>
  </r>
  <r>
    <s v="A15"/>
    <s v="LinkedIn"/>
    <d v="2025-09-07T00:00:00"/>
    <s v="Tweet"/>
    <n v="3015"/>
    <n v="997"/>
    <n v="783"/>
    <n v="617"/>
    <n v="77167"/>
    <n v="82229"/>
    <s v="Apple Event September 2025"/>
    <n v="5.8312760704860814E-2"/>
    <x v="5"/>
    <n v="7.5034355276119135E-3"/>
    <n v="6.5816196232472732"/>
  </r>
  <r>
    <s v="A16"/>
    <s v="Instagram"/>
    <d v="2024-08-26T00:00:00"/>
    <s v="Carousel"/>
    <n v="4193"/>
    <n v="924"/>
    <n v="707"/>
    <n v="2696"/>
    <n v="55075"/>
    <n v="126652"/>
    <s v="iPhone 16 Launch"/>
    <n v="4.5984271863057827E-2"/>
    <x v="11"/>
    <n v="2.1286675299245175E-2"/>
    <n v="6.7270947162303001"/>
  </r>
  <r>
    <s v="A16"/>
    <s v="Instagram"/>
    <d v="2024-08-26T00:00:00"/>
    <s v="Carousel"/>
    <n v="4193"/>
    <n v="924"/>
    <n v="707"/>
    <n v="2696"/>
    <n v="55075"/>
    <n v="126652"/>
    <s v="iPhone 16 Launch"/>
    <n v="4.5984271863057827E-2"/>
    <x v="12"/>
    <n v="2.1286675299245175E-2"/>
    <n v="6.7270947162303001"/>
  </r>
  <r>
    <s v="A17"/>
    <s v="LinkedIn"/>
    <d v="2025-05-05T00:00:00"/>
    <s v="Tweet"/>
    <n v="10415"/>
    <n v="1388"/>
    <n v="725"/>
    <n v="2462"/>
    <n v="53082"/>
    <n v="168267"/>
    <s v="MacBook Air M3 Campaign"/>
    <n v="7.4453101321114656E-2"/>
    <x v="6"/>
    <n v="1.4631508257709473E-2"/>
    <n v="8.9084609578824132"/>
  </r>
  <r>
    <s v="A17"/>
    <s v="LinkedIn"/>
    <d v="2025-05-05T00:00:00"/>
    <s v="Tweet"/>
    <n v="10415"/>
    <n v="1388"/>
    <n v="725"/>
    <n v="2462"/>
    <n v="53082"/>
    <n v="168267"/>
    <s v="MacBook Air M3 Campaign"/>
    <n v="7.4453101321114656E-2"/>
    <x v="14"/>
    <n v="1.4631508257709473E-2"/>
    <n v="8.9084609578824132"/>
  </r>
  <r>
    <s v="A18"/>
    <s v="LinkedIn"/>
    <d v="2024-08-19T00:00:00"/>
    <s v="Image"/>
    <n v="15550"/>
    <n v="204"/>
    <n v="279"/>
    <n v="1646"/>
    <n v="35819"/>
    <n v="219436"/>
    <s v="Apple Watch Ultra 2 Launch"/>
    <n v="7.306458375107093E-2"/>
    <x v="11"/>
    <n v="7.5010481415993726E-3"/>
    <n v="8.0565631892670293"/>
  </r>
  <r>
    <s v="A18"/>
    <s v="LinkedIn"/>
    <d v="2024-08-19T00:00:00"/>
    <s v="Image"/>
    <n v="15550"/>
    <n v="204"/>
    <n v="279"/>
    <n v="1646"/>
    <n v="35819"/>
    <n v="219436"/>
    <s v="Apple Watch Ultra 2 Launch"/>
    <n v="7.306458375107093E-2"/>
    <x v="12"/>
    <n v="7.5010481415993726E-3"/>
    <n v="8.0565631892670293"/>
  </r>
  <r>
    <s v="A19"/>
    <s v="LinkedIn"/>
    <d v="2024-06-23T00:00:00"/>
    <s v="Tweet"/>
    <n v="16512"/>
    <n v="1050"/>
    <n v="971"/>
    <n v="1891"/>
    <n v="15865"/>
    <n v="166503"/>
    <s v="iPhone 16 Launch"/>
    <n v="0.1113073037723044"/>
    <x v="6"/>
    <n v="1.1357152723974943E-2"/>
    <n v="12.266445649627935"/>
  </r>
  <r>
    <s v="A19"/>
    <s v="LinkedIn"/>
    <d v="2024-06-23T00:00:00"/>
    <s v="Tweet"/>
    <n v="16512"/>
    <n v="1050"/>
    <n v="971"/>
    <n v="1891"/>
    <n v="15865"/>
    <n v="166503"/>
    <s v="iPhone 16 Launch"/>
    <n v="0.1113073037723044"/>
    <x v="14"/>
    <n v="1.1357152723974943E-2"/>
    <n v="12.266445649627935"/>
  </r>
  <r>
    <s v="A20"/>
    <s v="YouTube"/>
    <d v="2024-09-09T00:00:00"/>
    <s v="Video"/>
    <n v="6158"/>
    <n v="277"/>
    <n v="512"/>
    <n v="2189"/>
    <n v="76881"/>
    <n v="124878"/>
    <s v="iPhone 16 Launch"/>
    <n v="5.563029516808405E-2"/>
    <x v="4"/>
    <n v="1.7529108409807974E-2"/>
    <n v="7.3159403577892022"/>
  </r>
  <r>
    <s v="A20"/>
    <s v="YouTube"/>
    <d v="2024-09-09T00:00:00"/>
    <s v="Video"/>
    <n v="6158"/>
    <n v="277"/>
    <n v="512"/>
    <n v="2189"/>
    <n v="76881"/>
    <n v="124878"/>
    <s v="iPhone 16 Launch"/>
    <n v="5.563029516808405E-2"/>
    <x v="5"/>
    <n v="1.7529108409807974E-2"/>
    <n v="7.3159403577892022"/>
  </r>
  <r>
    <s v="A21"/>
    <s v="Twitter"/>
    <d v="2025-09-08T00:00:00"/>
    <s v="Carousel"/>
    <n v="22309"/>
    <n v="773"/>
    <n v="854"/>
    <n v="2387"/>
    <n v="72396"/>
    <n v="97056"/>
    <s v="Apple Event September 2025"/>
    <n v="0.24662050774810418"/>
    <x v="15"/>
    <n v="2.4594048796571052E-2"/>
    <n v="27.121455654467525"/>
  </r>
  <r>
    <s v="A21"/>
    <s v="Twitter"/>
    <d v="2025-09-08T00:00:00"/>
    <s v="Carousel"/>
    <n v="22309"/>
    <n v="773"/>
    <n v="854"/>
    <n v="2387"/>
    <n v="72396"/>
    <n v="97056"/>
    <s v="Apple Event September 2025"/>
    <n v="0.24662050774810418"/>
    <x v="8"/>
    <n v="2.4594048796571052E-2"/>
    <n v="27.121455654467525"/>
  </r>
  <r>
    <s v="A22"/>
    <s v="Instagram"/>
    <d v="2025-02-27T00:00:00"/>
    <s v="Image"/>
    <n v="8970"/>
    <n v="331"/>
    <n v="968"/>
    <n v="2296"/>
    <n v="24613"/>
    <n v="198562"/>
    <s v="iPhone 16 Launch"/>
    <n v="5.1716844109144754E-2"/>
    <x v="9"/>
    <n v="1.1563138969188464E-2"/>
    <n v="6.3279983078333215"/>
  </r>
  <r>
    <s v="A22"/>
    <s v="Instagram"/>
    <d v="2025-02-27T00:00:00"/>
    <s v="Image"/>
    <n v="8970"/>
    <n v="331"/>
    <n v="968"/>
    <n v="2296"/>
    <n v="24613"/>
    <n v="198562"/>
    <s v="iPhone 16 Launch"/>
    <n v="5.1716844109144754E-2"/>
    <x v="10"/>
    <n v="1.1563138969188464E-2"/>
    <n v="6.3279983078333215"/>
  </r>
  <r>
    <s v="A23"/>
    <s v="Twitter"/>
    <d v="2024-11-06T00:00:00"/>
    <s v="Carousel"/>
    <n v="8938"/>
    <n v="800"/>
    <n v="842"/>
    <n v="2072"/>
    <n v="31736"/>
    <n v="59975"/>
    <s v="iPhone 16 Launch"/>
    <n v="0.17640683618174238"/>
    <x v="6"/>
    <n v="3.4547728220091702E-2"/>
    <n v="21.095456440183408"/>
  </r>
  <r>
    <s v="A23"/>
    <s v="Twitter"/>
    <d v="2024-11-06T00:00:00"/>
    <s v="Carousel"/>
    <n v="8938"/>
    <n v="800"/>
    <n v="842"/>
    <n v="2072"/>
    <n v="31736"/>
    <n v="59975"/>
    <s v="iPhone 16 Launch"/>
    <n v="0.17640683618174238"/>
    <x v="14"/>
    <n v="3.4547728220091702E-2"/>
    <n v="21.095456440183408"/>
  </r>
  <r>
    <s v="A24"/>
    <s v="LinkedIn"/>
    <d v="2025-01-23T00:00:00"/>
    <s v="Video"/>
    <n v="23168"/>
    <n v="1265"/>
    <n v="441"/>
    <n v="1612"/>
    <n v="66615"/>
    <n v="197795"/>
    <s v="iPhone 16 Launch"/>
    <n v="0.12575646502692181"/>
    <x v="13"/>
    <n v="8.1498521196187966E-3"/>
    <n v="13.390631714654061"/>
  </r>
  <r>
    <s v="A24"/>
    <s v="LinkedIn"/>
    <d v="2025-01-23T00:00:00"/>
    <s v="Video"/>
    <n v="23168"/>
    <n v="1265"/>
    <n v="441"/>
    <n v="1612"/>
    <n v="66615"/>
    <n v="197795"/>
    <s v="iPhone 16 Launch"/>
    <n v="0.12575646502692181"/>
    <x v="6"/>
    <n v="8.1498521196187966E-3"/>
    <n v="13.390631714654061"/>
  </r>
  <r>
    <s v="A25"/>
    <s v="LinkedIn"/>
    <d v="2025-09-09T00:00:00"/>
    <s v="Video"/>
    <n v="15772"/>
    <n v="288"/>
    <n v="520"/>
    <n v="1585"/>
    <n v="59182"/>
    <n v="194351"/>
    <s v="Apple Event September 2025"/>
    <n v="8.5309568769905988E-2"/>
    <x v="11"/>
    <n v="8.1553477985706266E-3"/>
    <n v="9.346491656847661"/>
  </r>
  <r>
    <s v="A25"/>
    <s v="LinkedIn"/>
    <d v="2025-09-09T00:00:00"/>
    <s v="Video"/>
    <n v="15772"/>
    <n v="288"/>
    <n v="520"/>
    <n v="1585"/>
    <n v="59182"/>
    <n v="194351"/>
    <s v="Apple Event September 2025"/>
    <n v="8.5309568769905988E-2"/>
    <x v="12"/>
    <n v="8.1553477985706266E-3"/>
    <n v="9.346491656847661"/>
  </r>
  <r>
    <s v="A26"/>
    <s v="Twitter"/>
    <d v="2025-04-05T00:00:00"/>
    <s v="Video"/>
    <n v="22384"/>
    <n v="601"/>
    <n v="943"/>
    <n v="515"/>
    <n v="41309"/>
    <n v="249373"/>
    <s v="Apple Watch Ultra 2 Launch"/>
    <n v="9.5952649244304716E-2"/>
    <x v="11"/>
    <n v="2.0651794701110385E-3"/>
    <n v="9.8017828714415742"/>
  </r>
  <r>
    <s v="A26"/>
    <s v="Twitter"/>
    <d v="2025-04-05T00:00:00"/>
    <s v="Video"/>
    <n v="22384"/>
    <n v="601"/>
    <n v="943"/>
    <n v="515"/>
    <n v="41309"/>
    <n v="249373"/>
    <s v="Apple Watch Ultra 2 Launch"/>
    <n v="9.5952649244304716E-2"/>
    <x v="12"/>
    <n v="2.0651794701110385E-3"/>
    <n v="9.8017828714415742"/>
  </r>
  <r>
    <s v="A27"/>
    <s v="Twitter"/>
    <d v="2024-09-17T00:00:00"/>
    <s v="Tweet"/>
    <n v="20017"/>
    <n v="495"/>
    <n v="178"/>
    <n v="2683"/>
    <n v="32244"/>
    <n v="182633"/>
    <s v="Apple Watch Ultra 2 Launch"/>
    <n v="0.11328730295182141"/>
    <x v="13"/>
    <n v="1.4690663790224111E-2"/>
    <n v="12.79779667420455"/>
  </r>
  <r>
    <s v="A27"/>
    <s v="Twitter"/>
    <d v="2024-09-17T00:00:00"/>
    <s v="Tweet"/>
    <n v="20017"/>
    <n v="495"/>
    <n v="178"/>
    <n v="2683"/>
    <n v="32244"/>
    <n v="182633"/>
    <s v="Apple Watch Ultra 2 Launch"/>
    <n v="0.11328730295182141"/>
    <x v="6"/>
    <n v="1.4690663790224111E-2"/>
    <n v="12.79779667420455"/>
  </r>
  <r>
    <s v="A28"/>
    <s v="Twitter"/>
    <d v="2025-03-04T00:00:00"/>
    <s v="Tweet"/>
    <n v="12344"/>
    <n v="815"/>
    <n v="298"/>
    <n v="2439"/>
    <n v="6259"/>
    <n v="237133"/>
    <s v="iPhone 16 Launch"/>
    <n v="5.6748744375519224E-2"/>
    <x v="8"/>
    <n v="1.0285367283338885E-2"/>
    <n v="6.7034111658858118"/>
  </r>
  <r>
    <s v="A29"/>
    <s v="LinkedIn"/>
    <d v="2025-09-10T00:00:00"/>
    <s v="Carousel"/>
    <n v="9266"/>
    <n v="999"/>
    <n v="928"/>
    <n v="2700"/>
    <n v="12264"/>
    <n v="128397"/>
    <s v="Apple Event September 2025"/>
    <n v="8.7174933993784898E-2"/>
    <x v="16"/>
    <n v="2.102852870394168E-2"/>
    <n v="10.820346269772656"/>
  </r>
  <r>
    <s v="A30"/>
    <s v="LinkedIn"/>
    <d v="2025-02-25T00:00:00"/>
    <s v="Carousel"/>
    <n v="10702"/>
    <n v="621"/>
    <n v="445"/>
    <n v="2918"/>
    <n v="54808"/>
    <n v="220225"/>
    <s v="Apple Watch Ultra 2 Launch"/>
    <n v="5.3436258372119426E-2"/>
    <x v="15"/>
    <n v="1.3250085140197525E-2"/>
    <n v="6.6686343512316952"/>
  </r>
  <r>
    <s v="A30"/>
    <s v="LinkedIn"/>
    <d v="2025-02-25T00:00:00"/>
    <s v="Carousel"/>
    <n v="10702"/>
    <n v="621"/>
    <n v="445"/>
    <n v="2918"/>
    <n v="54808"/>
    <n v="220225"/>
    <s v="Apple Watch Ultra 2 Launch"/>
    <n v="5.3436258372119426E-2"/>
    <x v="8"/>
    <n v="1.3250085140197525E-2"/>
    <n v="6.6686343512316952"/>
  </r>
  <r>
    <s v="A31"/>
    <s v="Instagram"/>
    <d v="2024-12-16T00:00:00"/>
    <s v="Image"/>
    <n v="2384"/>
    <n v="1246"/>
    <n v="160"/>
    <n v="2004"/>
    <n v="2701"/>
    <n v="73142"/>
    <s v="Apple Watch Ultra 2 Launch"/>
    <n v="5.1817013480626728E-2"/>
    <x v="6"/>
    <n v="2.7398758579202102E-2"/>
    <n v="7.9215772059828824"/>
  </r>
  <r>
    <s v="A31"/>
    <s v="Instagram"/>
    <d v="2024-12-16T00:00:00"/>
    <s v="Image"/>
    <n v="2384"/>
    <n v="1246"/>
    <n v="160"/>
    <n v="2004"/>
    <n v="2701"/>
    <n v="73142"/>
    <s v="Apple Watch Ultra 2 Launch"/>
    <n v="5.1817013480626728E-2"/>
    <x v="7"/>
    <n v="2.7398758579202102E-2"/>
    <n v="7.9215772059828824"/>
  </r>
  <r>
    <s v="A32"/>
    <s v="Instagram"/>
    <d v="2024-07-31T00:00:00"/>
    <s v="Image"/>
    <n v="2404"/>
    <n v="774"/>
    <n v="661"/>
    <n v="662"/>
    <n v="12676"/>
    <n v="66916"/>
    <s v="Apple Watch Ultra 2 Launch"/>
    <n v="5.7370434574690654E-2"/>
    <x v="6"/>
    <n v="9.8930001793293091E-3"/>
    <n v="6.7263434754019968"/>
  </r>
  <r>
    <s v="A32"/>
    <s v="Instagram"/>
    <d v="2024-07-31T00:00:00"/>
    <s v="Image"/>
    <n v="2404"/>
    <n v="774"/>
    <n v="661"/>
    <n v="662"/>
    <n v="12676"/>
    <n v="66916"/>
    <s v="Apple Watch Ultra 2 Launch"/>
    <n v="5.7370434574690654E-2"/>
    <x v="14"/>
    <n v="9.8930001793293091E-3"/>
    <n v="6.7263434754019968"/>
  </r>
  <r>
    <s v="A33"/>
    <s v="LinkedIn"/>
    <d v="2025-09-11T00:00:00"/>
    <s v="Carousel"/>
    <n v="10175"/>
    <n v="342"/>
    <n v="825"/>
    <n v="2904"/>
    <n v="15954"/>
    <n v="104324"/>
    <s v="Apple Event September 2025"/>
    <n v="0.10871899083624094"/>
    <x v="13"/>
    <n v="2.7836355967946015E-2"/>
    <n v="13.655534680418697"/>
  </r>
  <r>
    <s v="A33"/>
    <s v="LinkedIn"/>
    <d v="2025-09-11T00:00:00"/>
    <s v="Carousel"/>
    <n v="10175"/>
    <n v="342"/>
    <n v="825"/>
    <n v="2904"/>
    <n v="15954"/>
    <n v="104324"/>
    <s v="Apple Event September 2025"/>
    <n v="0.10871899083624094"/>
    <x v="6"/>
    <n v="2.7836355967946015E-2"/>
    <n v="13.655534680418697"/>
  </r>
  <r>
    <s v="A34"/>
    <s v="Twitter"/>
    <d v="2025-09-12T00:00:00"/>
    <s v="Tweet"/>
    <n v="17158"/>
    <n v="1192"/>
    <n v="262"/>
    <n v="2016"/>
    <n v="28771"/>
    <n v="216037"/>
    <s v="Apple Event September 2025"/>
    <n v="8.6151909163708074E-2"/>
    <x v="4"/>
    <n v="9.3317348417169283E-3"/>
    <n v="9.5483644005424999"/>
  </r>
  <r>
    <s v="A34"/>
    <s v="Twitter"/>
    <d v="2025-09-12T00:00:00"/>
    <s v="Tweet"/>
    <n v="17158"/>
    <n v="1192"/>
    <n v="262"/>
    <n v="2016"/>
    <n v="28771"/>
    <n v="216037"/>
    <s v="Apple Event September 2025"/>
    <n v="8.6151909163708074E-2"/>
    <x v="5"/>
    <n v="9.3317348417169283E-3"/>
    <n v="9.5483644005424999"/>
  </r>
  <r>
    <s v="A35"/>
    <s v="Twitter"/>
    <d v="2024-11-30T00:00:00"/>
    <s v="Video"/>
    <n v="14763"/>
    <n v="864"/>
    <n v="336"/>
    <n v="1493"/>
    <n v="33310"/>
    <n v="165932"/>
    <s v="iPhone 16 Launch"/>
    <n v="9.6202058674637797E-2"/>
    <x v="6"/>
    <n v="8.9976616927416042E-3"/>
    <n v="10.51997203673794"/>
  </r>
  <r>
    <s v="A35"/>
    <s v="Twitter"/>
    <d v="2024-11-30T00:00:00"/>
    <s v="Video"/>
    <n v="14763"/>
    <n v="864"/>
    <n v="336"/>
    <n v="1493"/>
    <n v="33310"/>
    <n v="165932"/>
    <s v="iPhone 16 Launch"/>
    <n v="9.6202058674637797E-2"/>
    <x v="14"/>
    <n v="8.9976616927416042E-3"/>
    <n v="10.51997203673794"/>
  </r>
  <r>
    <s v="A36"/>
    <s v="Instagram"/>
    <d v="2025-04-19T00:00:00"/>
    <s v="Carousel"/>
    <n v="20384"/>
    <n v="344"/>
    <n v="956"/>
    <n v="655"/>
    <n v="67621"/>
    <n v="175720"/>
    <s v="Sustainability Awareness Drive"/>
    <n v="0.12340086501251991"/>
    <x v="16"/>
    <n v="3.7275210562258136E-3"/>
    <n v="12.712838606874573"/>
  </r>
  <r>
    <s v="A37"/>
    <s v="LinkedIn"/>
    <d v="2025-01-06T00:00:00"/>
    <s v="Image"/>
    <n v="11860"/>
    <n v="1448"/>
    <n v="893"/>
    <n v="490"/>
    <n v="23518"/>
    <n v="206205"/>
    <s v="Apple Watch Ultra 2 Launch"/>
    <n v="6.8868359157149436E-2"/>
    <x v="4"/>
    <n v="2.3762760359836085E-3"/>
    <n v="7.1244635193133039"/>
  </r>
  <r>
    <s v="A37"/>
    <s v="LinkedIn"/>
    <d v="2025-01-06T00:00:00"/>
    <s v="Image"/>
    <n v="11860"/>
    <n v="1448"/>
    <n v="893"/>
    <n v="490"/>
    <n v="23518"/>
    <n v="206205"/>
    <s v="Apple Watch Ultra 2 Launch"/>
    <n v="6.8868359157149436E-2"/>
    <x v="5"/>
    <n v="2.3762760359836085E-3"/>
    <n v="7.1244635193133039"/>
  </r>
  <r>
    <s v="A38"/>
    <s v="Instagram"/>
    <d v="2025-02-17T00:00:00"/>
    <s v="Tweet"/>
    <n v="7989"/>
    <n v="1206"/>
    <n v="376"/>
    <n v="2769"/>
    <n v="27550"/>
    <n v="221749"/>
    <s v="Sustainability Awareness Drive"/>
    <n v="4.3161412227338117E-2"/>
    <x v="2"/>
    <n v="1.248709126083996E-2"/>
    <n v="5.5648503488178074"/>
  </r>
  <r>
    <s v="A38"/>
    <s v="Instagram"/>
    <d v="2025-02-17T00:00:00"/>
    <s v="Tweet"/>
    <n v="7989"/>
    <n v="1206"/>
    <n v="376"/>
    <n v="2769"/>
    <n v="27550"/>
    <n v="221749"/>
    <s v="Sustainability Awareness Drive"/>
    <n v="4.3161412227338117E-2"/>
    <x v="3"/>
    <n v="1.248709126083996E-2"/>
    <n v="5.5648503488178074"/>
  </r>
  <r>
    <s v="A39"/>
    <s v="Instagram"/>
    <d v="2025-09-13T00:00:00"/>
    <s v="Carousel"/>
    <n v="17106"/>
    <n v="702"/>
    <n v="459"/>
    <n v="999"/>
    <n v="59627"/>
    <n v="136059"/>
    <s v="Apple Event September 2025"/>
    <n v="0.13425793222058077"/>
    <x v="9"/>
    <n v="7.3424029281414678E-3"/>
    <n v="14.160033514872225"/>
  </r>
  <r>
    <s v="A39"/>
    <s v="Instagram"/>
    <d v="2025-09-13T00:00:00"/>
    <s v="Carousel"/>
    <n v="17106"/>
    <n v="702"/>
    <n v="459"/>
    <n v="999"/>
    <n v="59627"/>
    <n v="136059"/>
    <s v="Apple Event September 2025"/>
    <n v="0.13425793222058077"/>
    <x v="10"/>
    <n v="7.3424029281414678E-3"/>
    <n v="14.160033514872225"/>
  </r>
  <r>
    <s v="A40"/>
    <s v="YouTube"/>
    <d v="2025-09-14T00:00:00"/>
    <s v="Carousel"/>
    <n v="19844"/>
    <n v="1020"/>
    <n v="247"/>
    <n v="2354"/>
    <n v="37792"/>
    <n v="138317"/>
    <s v="Apple Event September 2025"/>
    <n v="0.15262765965138053"/>
    <x v="11"/>
    <n v="1.701887692763724E-2"/>
    <n v="16.964653657901778"/>
  </r>
  <r>
    <s v="A40"/>
    <s v="YouTube"/>
    <d v="2025-09-14T00:00:00"/>
    <s v="Carousel"/>
    <n v="19844"/>
    <n v="1020"/>
    <n v="247"/>
    <n v="2354"/>
    <n v="37792"/>
    <n v="138317"/>
    <s v="Apple Event September 2025"/>
    <n v="0.15262765965138053"/>
    <x v="12"/>
    <n v="1.701887692763724E-2"/>
    <n v="16.964653657901778"/>
  </r>
  <r>
    <s v="A41"/>
    <s v="YouTube"/>
    <d v="2025-09-15T00:00:00"/>
    <s v="Tweet"/>
    <n v="5636"/>
    <n v="303"/>
    <n v="204"/>
    <n v="2480"/>
    <n v="7377"/>
    <n v="241207"/>
    <s v="Apple Event September 2025"/>
    <n v="2.5467751765081443E-2"/>
    <x v="2"/>
    <n v="1.0281625325964836E-2"/>
    <n v="3.5749377091046282"/>
  </r>
  <r>
    <s v="A41"/>
    <s v="YouTube"/>
    <d v="2025-09-15T00:00:00"/>
    <s v="Tweet"/>
    <n v="5636"/>
    <n v="303"/>
    <n v="204"/>
    <n v="2480"/>
    <n v="7377"/>
    <n v="241207"/>
    <s v="Apple Event September 2025"/>
    <n v="2.5467751765081443E-2"/>
    <x v="3"/>
    <n v="1.0281625325964836E-2"/>
    <n v="3.5749377091046282"/>
  </r>
  <r>
    <s v="A42"/>
    <s v="YouTube"/>
    <d v="2025-03-05T00:00:00"/>
    <s v="Carousel"/>
    <n v="12916"/>
    <n v="1262"/>
    <n v="772"/>
    <n v="856"/>
    <n v="11496"/>
    <n v="75046"/>
    <s v="Sustainability Awareness Drive"/>
    <n v="0.19921115049436347"/>
    <x v="6"/>
    <n v="1.1406337446366229E-2"/>
    <n v="21.061748794072972"/>
  </r>
  <r>
    <s v="A42"/>
    <s v="YouTube"/>
    <d v="2025-03-05T00:00:00"/>
    <s v="Carousel"/>
    <n v="12916"/>
    <n v="1262"/>
    <n v="772"/>
    <n v="856"/>
    <n v="11496"/>
    <n v="75046"/>
    <s v="Sustainability Awareness Drive"/>
    <n v="0.19921115049436347"/>
    <x v="14"/>
    <n v="1.1406337446366229E-2"/>
    <n v="21.061748794072972"/>
  </r>
  <r>
    <s v="A43"/>
    <s v="Twitter"/>
    <d v="2025-09-16T00:00:00"/>
    <s v="Tweet"/>
    <n v="6809"/>
    <n v="397"/>
    <n v="813"/>
    <n v="1125"/>
    <n v="12206"/>
    <n v="218136"/>
    <s v="Apple Event September 2025"/>
    <n v="3.6761469908680823E-2"/>
    <x v="16"/>
    <n v="5.1573330399383869E-3"/>
    <n v="4.1918802948619209"/>
  </r>
  <r>
    <s v="A44"/>
    <s v="LinkedIn"/>
    <d v="2025-03-02T00:00:00"/>
    <s v="Video"/>
    <n v="22562"/>
    <n v="778"/>
    <n v="907"/>
    <n v="1354"/>
    <n v="34475"/>
    <n v="141459"/>
    <s v="iPhone 16 Launch"/>
    <n v="0.17140655596321194"/>
    <x v="15"/>
    <n v="9.5716780127103971E-3"/>
    <n v="18.097823397592233"/>
  </r>
  <r>
    <s v="A44"/>
    <s v="LinkedIn"/>
    <d v="2025-03-02T00:00:00"/>
    <s v="Video"/>
    <n v="22562"/>
    <n v="778"/>
    <n v="907"/>
    <n v="1354"/>
    <n v="34475"/>
    <n v="141459"/>
    <s v="iPhone 16 Launch"/>
    <n v="0.17140655596321194"/>
    <x v="8"/>
    <n v="9.5716780127103971E-3"/>
    <n v="18.097823397592233"/>
  </r>
  <r>
    <s v="A45"/>
    <s v="LinkedIn"/>
    <d v="2025-09-17T00:00:00"/>
    <s v="Tweet"/>
    <n v="15456"/>
    <n v="590"/>
    <n v="555"/>
    <n v="2882"/>
    <n v="49816"/>
    <n v="240422"/>
    <s v="Apple Event September 2025"/>
    <n v="6.9049421433978589E-2"/>
    <x v="9"/>
    <n v="1.1987255741987007E-2"/>
    <n v="8.1036677175965597"/>
  </r>
  <r>
    <s v="A45"/>
    <s v="LinkedIn"/>
    <d v="2025-09-17T00:00:00"/>
    <s v="Tweet"/>
    <n v="15456"/>
    <n v="590"/>
    <n v="555"/>
    <n v="2882"/>
    <n v="49816"/>
    <n v="240422"/>
    <s v="Apple Event September 2025"/>
    <n v="6.9049421433978589E-2"/>
    <x v="10"/>
    <n v="1.1987255741987007E-2"/>
    <n v="8.1036677175965597"/>
  </r>
  <r>
    <s v="A46"/>
    <s v="LinkedIn"/>
    <d v="2025-05-02T00:00:00"/>
    <s v="Tweet"/>
    <n v="17444"/>
    <n v="1402"/>
    <n v="218"/>
    <n v="725"/>
    <n v="8710"/>
    <n v="85893"/>
    <s v="MacBook Air M3 Campaign"/>
    <n v="0.22195056640238436"/>
    <x v="6"/>
    <n v="8.4407344021049449E-3"/>
    <n v="23.039130080448931"/>
  </r>
  <r>
    <s v="A46"/>
    <s v="LinkedIn"/>
    <d v="2025-05-02T00:00:00"/>
    <s v="Tweet"/>
    <n v="17444"/>
    <n v="1402"/>
    <n v="218"/>
    <n v="725"/>
    <n v="8710"/>
    <n v="85893"/>
    <s v="MacBook Air M3 Campaign"/>
    <n v="0.22195056640238436"/>
    <x v="14"/>
    <n v="8.4407344021049449E-3"/>
    <n v="23.039130080448931"/>
  </r>
  <r>
    <s v="A47"/>
    <s v="LinkedIn"/>
    <d v="2025-02-24T00:00:00"/>
    <s v="Tweet"/>
    <n v="24984"/>
    <n v="753"/>
    <n v="461"/>
    <n v="2710"/>
    <n v="20792"/>
    <n v="141520"/>
    <s v="Sustainability Awareness Drive"/>
    <n v="0.18511871113623515"/>
    <x v="13"/>
    <n v="1.9149236856981347E-2"/>
    <n v="20.426794799321652"/>
  </r>
  <r>
    <s v="A47"/>
    <s v="LinkedIn"/>
    <d v="2025-02-24T00:00:00"/>
    <s v="Tweet"/>
    <n v="24984"/>
    <n v="753"/>
    <n v="461"/>
    <n v="2710"/>
    <n v="20792"/>
    <n v="141520"/>
    <s v="Sustainability Awareness Drive"/>
    <n v="0.18511871113623515"/>
    <x v="6"/>
    <n v="1.9149236856981347E-2"/>
    <n v="20.426794799321652"/>
  </r>
  <r>
    <s v="A48"/>
    <s v="YouTube"/>
    <d v="2025-03-11T00:00:00"/>
    <s v="Carousel"/>
    <n v="7997"/>
    <n v="1238"/>
    <n v="438"/>
    <n v="1874"/>
    <n v="36272"/>
    <n v="165818"/>
    <s v="MacBook Air M3 Campaign"/>
    <n v="5.8335042034037318E-2"/>
    <x v="0"/>
    <n v="1.1301547479766973E-2"/>
    <n v="6.9636589513804292"/>
  </r>
  <r>
    <s v="A48"/>
    <s v="YouTube"/>
    <d v="2025-03-11T00:00:00"/>
    <s v="Carousel"/>
    <n v="7997"/>
    <n v="1238"/>
    <n v="438"/>
    <n v="1874"/>
    <n v="36272"/>
    <n v="165818"/>
    <s v="MacBook Air M3 Campaign"/>
    <n v="5.8335042034037318E-2"/>
    <x v="1"/>
    <n v="1.1301547479766973E-2"/>
    <n v="6.9636589513804292"/>
  </r>
  <r>
    <s v="A49"/>
    <s v="Twitter"/>
    <d v="2025-09-18T00:00:00"/>
    <s v="Carousel"/>
    <n v="4048"/>
    <n v="677"/>
    <n v="911"/>
    <n v="2429"/>
    <n v="27361"/>
    <n v="101272"/>
    <s v="Apple Event September 2025"/>
    <n v="5.5652105221581483E-2"/>
    <x v="6"/>
    <n v="2.3984911920372859E-2"/>
    <n v="7.9637017141954338"/>
  </r>
  <r>
    <s v="A49"/>
    <s v="Twitter"/>
    <d v="2025-09-18T00:00:00"/>
    <s v="Carousel"/>
    <n v="4048"/>
    <n v="677"/>
    <n v="911"/>
    <n v="2429"/>
    <n v="27361"/>
    <n v="101272"/>
    <s v="Apple Event September 2025"/>
    <n v="5.5652105221581483E-2"/>
    <x v="14"/>
    <n v="2.3984911920372859E-2"/>
    <n v="7.9637017141954338"/>
  </r>
  <r>
    <s v="A50"/>
    <s v="Twitter"/>
    <d v="2024-07-03T00:00:00"/>
    <s v="Tweet"/>
    <n v="14338"/>
    <n v="1454"/>
    <n v="697"/>
    <n v="2703"/>
    <n v="21288"/>
    <n v="107649"/>
    <s v="iPhone 16 Launch"/>
    <n v="0.1531737405828201"/>
    <x v="9"/>
    <n v="2.5109383273416382E-2"/>
    <n v="17.828312385623647"/>
  </r>
  <r>
    <s v="A50"/>
    <s v="Twitter"/>
    <d v="2024-07-03T00:00:00"/>
    <s v="Tweet"/>
    <n v="14338"/>
    <n v="1454"/>
    <n v="697"/>
    <n v="2703"/>
    <n v="21288"/>
    <n v="107649"/>
    <s v="iPhone 16 Launch"/>
    <n v="0.1531737405828201"/>
    <x v="10"/>
    <n v="2.5109383273416382E-2"/>
    <n v="17.828312385623647"/>
  </r>
  <r>
    <s v="A51"/>
    <s v="YouTube"/>
    <d v="2024-06-13T00:00:00"/>
    <s v="Carousel"/>
    <n v="23164"/>
    <n v="1122"/>
    <n v="900"/>
    <n v="888"/>
    <n v="36938"/>
    <n v="104674"/>
    <s v="Apple Watch Ultra 2 Launch"/>
    <n v="0.24061371496264594"/>
    <x v="11"/>
    <n v="8.4834820490284121E-3"/>
    <n v="24.909719701167436"/>
  </r>
  <r>
    <s v="A51"/>
    <s v="YouTube"/>
    <d v="2024-06-13T00:00:00"/>
    <s v="Carousel"/>
    <n v="23164"/>
    <n v="1122"/>
    <n v="900"/>
    <n v="888"/>
    <n v="36938"/>
    <n v="104674"/>
    <s v="Apple Watch Ultra 2 Launch"/>
    <n v="0.24061371496264594"/>
    <x v="12"/>
    <n v="8.4834820490284121E-3"/>
    <n v="24.909719701167436"/>
  </r>
  <r>
    <s v="A52"/>
    <s v="Twitter"/>
    <d v="2025-09-19T00:00:00"/>
    <s v="Image"/>
    <n v="19100"/>
    <n v="619"/>
    <n v="297"/>
    <n v="2312"/>
    <n v="9730"/>
    <n v="184832"/>
    <s v="Apple Event September 2025"/>
    <n v="0.10829293628808864"/>
    <x v="11"/>
    <n v="1.2508656509695291E-2"/>
    <n v="12.080159279778394"/>
  </r>
  <r>
    <s v="A52"/>
    <s v="Twitter"/>
    <d v="2025-09-19T00:00:00"/>
    <s v="Image"/>
    <n v="19100"/>
    <n v="619"/>
    <n v="297"/>
    <n v="2312"/>
    <n v="9730"/>
    <n v="184832"/>
    <s v="Apple Event September 2025"/>
    <n v="0.10829293628808864"/>
    <x v="12"/>
    <n v="1.2508656509695291E-2"/>
    <n v="12.080159279778394"/>
  </r>
  <r>
    <s v="A53"/>
    <s v="YouTube"/>
    <d v="2025-02-24T00:00:00"/>
    <s v="Image"/>
    <n v="23949"/>
    <n v="356"/>
    <n v="616"/>
    <n v="1847"/>
    <n v="3144"/>
    <n v="192999"/>
    <s v="iPhone 16 Launch"/>
    <n v="0.12912502137316773"/>
    <x v="6"/>
    <n v="9.5699977720091808E-3"/>
    <n v="13.86950191451769"/>
  </r>
  <r>
    <s v="A53"/>
    <s v="YouTube"/>
    <d v="2025-02-24T00:00:00"/>
    <s v="Image"/>
    <n v="23949"/>
    <n v="356"/>
    <n v="616"/>
    <n v="1847"/>
    <n v="3144"/>
    <n v="192999"/>
    <s v="iPhone 16 Launch"/>
    <n v="0.12912502137316773"/>
    <x v="14"/>
    <n v="9.5699977720091808E-3"/>
    <n v="13.86950191451769"/>
  </r>
  <r>
    <s v="A54"/>
    <s v="LinkedIn"/>
    <d v="2025-03-13T00:00:00"/>
    <s v="Carousel"/>
    <n v="6544"/>
    <n v="749"/>
    <n v="888"/>
    <n v="594"/>
    <n v="18171"/>
    <n v="126475"/>
    <s v="Sustainability Awareness Drive"/>
    <n v="6.4684720300454635E-2"/>
    <x v="4"/>
    <n v="4.6965803518481918E-3"/>
    <n v="6.9381300652302826"/>
  </r>
  <r>
    <s v="A54"/>
    <s v="LinkedIn"/>
    <d v="2025-03-13T00:00:00"/>
    <s v="Carousel"/>
    <n v="6544"/>
    <n v="749"/>
    <n v="888"/>
    <n v="594"/>
    <n v="18171"/>
    <n v="126475"/>
    <s v="Sustainability Awareness Drive"/>
    <n v="6.4684720300454635E-2"/>
    <x v="5"/>
    <n v="4.6965803518481918E-3"/>
    <n v="6.9381300652302826"/>
  </r>
  <r>
    <s v="A55"/>
    <s v="YouTube"/>
    <d v="2024-06-17T00:00:00"/>
    <s v="Carousel"/>
    <n v="6976"/>
    <n v="1320"/>
    <n v="393"/>
    <n v="2285"/>
    <n v="14049"/>
    <n v="101367"/>
    <s v="MacBook Air M3 Campaign"/>
    <n v="8.5718231771681114E-2"/>
    <x v="0"/>
    <n v="2.2541852871250011E-2"/>
    <n v="10.826008464293114"/>
  </r>
  <r>
    <s v="A55"/>
    <s v="YouTube"/>
    <d v="2024-06-17T00:00:00"/>
    <s v="Carousel"/>
    <n v="6976"/>
    <n v="1320"/>
    <n v="393"/>
    <n v="2285"/>
    <n v="14049"/>
    <n v="101367"/>
    <s v="MacBook Air M3 Campaign"/>
    <n v="8.5718231771681114E-2"/>
    <x v="1"/>
    <n v="2.2541852871250011E-2"/>
    <n v="10.826008464293114"/>
  </r>
  <r>
    <s v="A56"/>
    <s v="LinkedIn"/>
    <d v="2024-12-18T00:00:00"/>
    <s v="Tweet"/>
    <n v="14775"/>
    <n v="1220"/>
    <n v="640"/>
    <n v="1547"/>
    <n v="28527"/>
    <n v="183660"/>
    <s v="MacBook Air M3 Campaign"/>
    <n v="9.0574975498203203E-2"/>
    <x v="13"/>
    <n v="8.4231732549275833E-3"/>
    <n v="9.8998148753130781"/>
  </r>
  <r>
    <s v="A56"/>
    <s v="LinkedIn"/>
    <d v="2024-12-18T00:00:00"/>
    <s v="Tweet"/>
    <n v="14775"/>
    <n v="1220"/>
    <n v="640"/>
    <n v="1547"/>
    <n v="28527"/>
    <n v="183660"/>
    <s v="MacBook Air M3 Campaign"/>
    <n v="9.0574975498203203E-2"/>
    <x v="6"/>
    <n v="8.4231732549275833E-3"/>
    <n v="9.8998148753130781"/>
  </r>
  <r>
    <s v="A57"/>
    <s v="LinkedIn"/>
    <d v="2024-10-21T00:00:00"/>
    <s v="Video"/>
    <n v="12015"/>
    <n v="1196"/>
    <n v="998"/>
    <n v="1848"/>
    <n v="44739"/>
    <n v="161750"/>
    <s v="MacBook Air M3 Campaign"/>
    <n v="8.7845440494590421E-2"/>
    <x v="6"/>
    <n v="1.1425038639876352E-2"/>
    <n v="9.9270479134466765"/>
  </r>
  <r>
    <s v="A57"/>
    <s v="LinkedIn"/>
    <d v="2024-10-21T00:00:00"/>
    <s v="Video"/>
    <n v="12015"/>
    <n v="1196"/>
    <n v="998"/>
    <n v="1848"/>
    <n v="44739"/>
    <n v="161750"/>
    <s v="MacBook Air M3 Campaign"/>
    <n v="8.7845440494590421E-2"/>
    <x v="14"/>
    <n v="1.1425038639876352E-2"/>
    <n v="9.9270479134466765"/>
  </r>
  <r>
    <s v="A58"/>
    <s v="Instagram"/>
    <d v="2025-04-15T00:00:00"/>
    <s v="Carousel"/>
    <n v="5419"/>
    <n v="1150"/>
    <n v="656"/>
    <n v="1990"/>
    <n v="410"/>
    <n v="158154"/>
    <s v="Sustainability Awareness Drive"/>
    <n v="4.5683321319726342E-2"/>
    <x v="4"/>
    <n v="1.2582672584948848E-2"/>
    <n v="5.8265993904675195"/>
  </r>
  <r>
    <s v="A58"/>
    <s v="Instagram"/>
    <d v="2025-04-15T00:00:00"/>
    <s v="Carousel"/>
    <n v="5419"/>
    <n v="1150"/>
    <n v="656"/>
    <n v="1990"/>
    <n v="410"/>
    <n v="158154"/>
    <s v="Sustainability Awareness Drive"/>
    <n v="4.5683321319726342E-2"/>
    <x v="5"/>
    <n v="1.2582672584948848E-2"/>
    <n v="5.8265993904675195"/>
  </r>
  <r>
    <s v="A59"/>
    <s v="YouTube"/>
    <d v="2024-06-22T00:00:00"/>
    <s v="Image"/>
    <n v="16430"/>
    <n v="488"/>
    <n v="514"/>
    <n v="1436"/>
    <n v="30059"/>
    <n v="223305"/>
    <s v="iPhone 16 Launch"/>
    <n v="7.8063634938760881E-2"/>
    <x v="11"/>
    <n v="6.4306665771030657E-3"/>
    <n v="8.4494301515863945"/>
  </r>
  <r>
    <s v="A59"/>
    <s v="YouTube"/>
    <d v="2024-06-22T00:00:00"/>
    <s v="Image"/>
    <n v="16430"/>
    <n v="488"/>
    <n v="514"/>
    <n v="1436"/>
    <n v="30059"/>
    <n v="223305"/>
    <s v="iPhone 16 Launch"/>
    <n v="7.8063634938760881E-2"/>
    <x v="12"/>
    <n v="6.4306665771030657E-3"/>
    <n v="8.4494301515863945"/>
  </r>
  <r>
    <s v="A60"/>
    <s v="Instagram"/>
    <d v="2025-01-28T00:00:00"/>
    <s v="Tweet"/>
    <n v="9239"/>
    <n v="1477"/>
    <n v="631"/>
    <n v="1556"/>
    <n v="11580"/>
    <n v="84738"/>
    <s v="Sustainability Awareness Drive"/>
    <n v="0.13390686586891359"/>
    <x v="11"/>
    <n v="1.8362482003351506E-2"/>
    <n v="15.22693478722651"/>
  </r>
  <r>
    <s v="A60"/>
    <s v="Instagram"/>
    <d v="2025-01-28T00:00:00"/>
    <s v="Tweet"/>
    <n v="9239"/>
    <n v="1477"/>
    <n v="631"/>
    <n v="1556"/>
    <n v="11580"/>
    <n v="84738"/>
    <s v="Sustainability Awareness Drive"/>
    <n v="0.13390686586891359"/>
    <x v="12"/>
    <n v="1.8362482003351506E-2"/>
    <n v="15.22693478722651"/>
  </r>
  <r>
    <s v="A61"/>
    <s v="YouTube"/>
    <d v="2024-09-05T00:00:00"/>
    <s v="Carousel"/>
    <n v="16489"/>
    <n v="395"/>
    <n v="350"/>
    <n v="2364"/>
    <n v="43239"/>
    <n v="73397"/>
    <s v="MacBook Air M3 Campaign"/>
    <n v="0.23480523727127811"/>
    <x v="16"/>
    <n v="3.2208400888319687E-2"/>
    <n v="26.701363815959777"/>
  </r>
  <r>
    <s v="A62"/>
    <s v="YouTube"/>
    <d v="2025-09-20T00:00:00"/>
    <s v="Image"/>
    <n v="18633"/>
    <n v="797"/>
    <n v="303"/>
    <n v="659"/>
    <n v="7"/>
    <n v="122189"/>
    <s v="Apple Event September 2025"/>
    <n v="0.16149571565361859"/>
    <x v="6"/>
    <n v="5.3932841745165279E-3"/>
    <n v="16.688899982813513"/>
  </r>
  <r>
    <s v="A62"/>
    <s v="YouTube"/>
    <d v="2025-09-20T00:00:00"/>
    <s v="Image"/>
    <n v="18633"/>
    <n v="797"/>
    <n v="303"/>
    <n v="659"/>
    <n v="7"/>
    <n v="122189"/>
    <s v="Apple Event September 2025"/>
    <n v="0.16149571565361859"/>
    <x v="14"/>
    <n v="5.3932841745165279E-3"/>
    <n v="16.688899982813513"/>
  </r>
  <r>
    <s v="A63"/>
    <s v="Instagram"/>
    <d v="2024-07-31T00:00:00"/>
    <s v="Image"/>
    <n v="12357"/>
    <n v="716"/>
    <n v="599"/>
    <n v="999"/>
    <n v="89591"/>
    <n v="116367"/>
    <s v="Apple Watch Ultra 2 Launch"/>
    <n v="0.11749035379446063"/>
    <x v="0"/>
    <n v="8.5849080925004505E-3"/>
    <n v="12.607526188696108"/>
  </r>
  <r>
    <s v="A63"/>
    <s v="Instagram"/>
    <d v="2024-07-31T00:00:00"/>
    <s v="Image"/>
    <n v="12357"/>
    <n v="716"/>
    <n v="599"/>
    <n v="999"/>
    <n v="89591"/>
    <n v="116367"/>
    <s v="Apple Watch Ultra 2 Launch"/>
    <n v="0.11749035379446063"/>
    <x v="1"/>
    <n v="8.5849080925004505E-3"/>
    <n v="12.607526188696108"/>
  </r>
  <r>
    <s v="A64"/>
    <s v="Instagram"/>
    <d v="2024-08-17T00:00:00"/>
    <s v="Video"/>
    <n v="19154"/>
    <n v="1064"/>
    <n v="650"/>
    <n v="747"/>
    <n v="42667"/>
    <n v="242332"/>
    <s v="Sustainability Awareness Drive"/>
    <n v="8.6113266097750191E-2"/>
    <x v="8"/>
    <n v="3.0825479094795569E-3"/>
    <n v="8.9195814007229739"/>
  </r>
  <r>
    <s v="A65"/>
    <s v="YouTube"/>
    <d v="2025-03-28T00:00:00"/>
    <s v="Tweet"/>
    <n v="6363"/>
    <n v="1341"/>
    <n v="222"/>
    <n v="2712"/>
    <n v="19987"/>
    <n v="160585"/>
    <s v="Sustainability Awareness Drive"/>
    <n v="4.9357038328611019E-2"/>
    <x v="0"/>
    <n v="1.6888252327427841E-2"/>
    <n v="6.6245290656038858"/>
  </r>
  <r>
    <s v="A65"/>
    <s v="YouTube"/>
    <d v="2025-03-28T00:00:00"/>
    <s v="Tweet"/>
    <n v="6363"/>
    <n v="1341"/>
    <n v="222"/>
    <n v="2712"/>
    <n v="19987"/>
    <n v="160585"/>
    <s v="Sustainability Awareness Drive"/>
    <n v="4.9357038328611019E-2"/>
    <x v="1"/>
    <n v="1.6888252327427841E-2"/>
    <n v="6.6245290656038858"/>
  </r>
  <r>
    <s v="A66"/>
    <s v="Twitter"/>
    <d v="2024-07-26T00:00:00"/>
    <s v="Tweet"/>
    <n v="12176"/>
    <n v="1005"/>
    <n v="862"/>
    <n v="974"/>
    <n v="2285"/>
    <n v="116619"/>
    <s v="iPhone 16 Launch"/>
    <n v="0.12041777068916729"/>
    <x v="11"/>
    <n v="8.351983810528301E-3"/>
    <n v="12.876975449969558"/>
  </r>
  <r>
    <s v="A66"/>
    <s v="Twitter"/>
    <d v="2024-07-26T00:00:00"/>
    <s v="Tweet"/>
    <n v="12176"/>
    <n v="1005"/>
    <n v="862"/>
    <n v="974"/>
    <n v="2285"/>
    <n v="116619"/>
    <s v="iPhone 16 Launch"/>
    <n v="0.12041777068916729"/>
    <x v="12"/>
    <n v="8.351983810528301E-3"/>
    <n v="12.876975449969558"/>
  </r>
  <r>
    <s v="A67"/>
    <s v="LinkedIn"/>
    <d v="2025-03-29T00:00:00"/>
    <s v="Video"/>
    <n v="19461"/>
    <n v="1382"/>
    <n v="445"/>
    <n v="1307"/>
    <n v="84691"/>
    <n v="151453"/>
    <s v="iPhone 16 Launch"/>
    <n v="0.14055845707909384"/>
    <x v="11"/>
    <n v="8.6297399193149028E-3"/>
    <n v="14.918819699840874"/>
  </r>
  <r>
    <s v="A67"/>
    <s v="LinkedIn"/>
    <d v="2025-03-29T00:00:00"/>
    <s v="Video"/>
    <n v="19461"/>
    <n v="1382"/>
    <n v="445"/>
    <n v="1307"/>
    <n v="84691"/>
    <n v="151453"/>
    <s v="iPhone 16 Launch"/>
    <n v="0.14055845707909384"/>
    <x v="12"/>
    <n v="8.6297399193149028E-3"/>
    <n v="14.918819699840874"/>
  </r>
  <r>
    <s v="A68"/>
    <s v="Instagram"/>
    <d v="2024-12-08T00:00:00"/>
    <s v="Video"/>
    <n v="10427"/>
    <n v="1014"/>
    <n v="166"/>
    <n v="1649"/>
    <n v="15145"/>
    <n v="59816"/>
    <s v="Sustainability Awareness Drive"/>
    <n v="0.19404507155276179"/>
    <x v="2"/>
    <n v="2.7567874816102716E-2"/>
    <n v="22.161294636886449"/>
  </r>
  <r>
    <s v="A68"/>
    <s v="Instagram"/>
    <d v="2024-12-08T00:00:00"/>
    <s v="Video"/>
    <n v="10427"/>
    <n v="1014"/>
    <n v="166"/>
    <n v="1649"/>
    <n v="15145"/>
    <n v="59816"/>
    <s v="Sustainability Awareness Drive"/>
    <n v="0.19404507155276179"/>
    <x v="3"/>
    <n v="2.7567874816102716E-2"/>
    <n v="22.161294636886449"/>
  </r>
  <r>
    <s v="A69"/>
    <s v="LinkedIn"/>
    <d v="2025-03-08T00:00:00"/>
    <s v="Tweet"/>
    <n v="10580"/>
    <n v="427"/>
    <n v="790"/>
    <n v="2814"/>
    <n v="24916"/>
    <n v="213312"/>
    <s v="MacBook Air M3 Campaign"/>
    <n v="5.530396789678968E-2"/>
    <x v="11"/>
    <n v="1.3191944194419441E-2"/>
    <n v="6.8495912091209119"/>
  </r>
  <r>
    <s v="A69"/>
    <s v="LinkedIn"/>
    <d v="2025-03-08T00:00:00"/>
    <s v="Tweet"/>
    <n v="10580"/>
    <n v="427"/>
    <n v="790"/>
    <n v="2814"/>
    <n v="24916"/>
    <n v="213312"/>
    <s v="MacBook Air M3 Campaign"/>
    <n v="5.530396789678968E-2"/>
    <x v="12"/>
    <n v="1.3191944194419441E-2"/>
    <n v="6.8495912091209119"/>
  </r>
  <r>
    <s v="A70"/>
    <s v="Twitter"/>
    <d v="2025-04-02T00:00:00"/>
    <s v="Tweet"/>
    <n v="6858"/>
    <n v="415"/>
    <n v="366"/>
    <n v="2761"/>
    <n v="2988"/>
    <n v="177348"/>
    <s v="Apple Watch Ultra 2 Launch"/>
    <n v="4.3073505198818141E-2"/>
    <x v="13"/>
    <n v="1.5568261271624152E-2"/>
    <n v="5.8641766470442294"/>
  </r>
  <r>
    <s v="A70"/>
    <s v="Twitter"/>
    <d v="2025-04-02T00:00:00"/>
    <s v="Tweet"/>
    <n v="6858"/>
    <n v="415"/>
    <n v="366"/>
    <n v="2761"/>
    <n v="2988"/>
    <n v="177348"/>
    <s v="Apple Watch Ultra 2 Launch"/>
    <n v="4.3073505198818141E-2"/>
    <x v="6"/>
    <n v="1.5568261271624152E-2"/>
    <n v="5.8641766470442294"/>
  </r>
  <r>
    <s v="A71"/>
    <s v="Twitter"/>
    <d v="2024-09-02T00:00:00"/>
    <s v="Carousel"/>
    <n v="12040"/>
    <n v="1147"/>
    <n v="210"/>
    <n v="885"/>
    <n v="30360"/>
    <n v="119530"/>
    <s v="iPhone 16 Launch"/>
    <n v="0.1120806492094035"/>
    <x v="6"/>
    <n v="7.4039989960679323E-3"/>
    <n v="11.948464820547143"/>
  </r>
  <r>
    <s v="A71"/>
    <s v="Twitter"/>
    <d v="2024-09-02T00:00:00"/>
    <s v="Carousel"/>
    <n v="12040"/>
    <n v="1147"/>
    <n v="210"/>
    <n v="885"/>
    <n v="30360"/>
    <n v="119530"/>
    <s v="iPhone 16 Launch"/>
    <n v="0.1120806492094035"/>
    <x v="7"/>
    <n v="7.4039989960679323E-3"/>
    <n v="11.948464820547143"/>
  </r>
  <r>
    <s v="A72"/>
    <s v="Twitter"/>
    <d v="2025-03-03T00:00:00"/>
    <s v="Carousel"/>
    <n v="24928"/>
    <n v="214"/>
    <n v="765"/>
    <n v="1556"/>
    <n v="5239"/>
    <n v="194571"/>
    <s v="MacBook Air M3 Campaign"/>
    <n v="0.13314933880177415"/>
    <x v="6"/>
    <n v="7.9970807571529152E-3"/>
    <n v="14.114641955892706"/>
  </r>
  <r>
    <s v="A72"/>
    <s v="Twitter"/>
    <d v="2025-03-03T00:00:00"/>
    <s v="Carousel"/>
    <n v="24928"/>
    <n v="214"/>
    <n v="765"/>
    <n v="1556"/>
    <n v="5239"/>
    <n v="194571"/>
    <s v="MacBook Air M3 Campaign"/>
    <n v="0.13314933880177415"/>
    <x v="14"/>
    <n v="7.9970807571529152E-3"/>
    <n v="14.114641955892706"/>
  </r>
  <r>
    <s v="A73"/>
    <s v="Instagram"/>
    <d v="2025-09-21T00:00:00"/>
    <s v="Video"/>
    <n v="23103"/>
    <n v="1380"/>
    <n v="191"/>
    <n v="1547"/>
    <n v="77798"/>
    <n v="148856"/>
    <s v="Apple Event September 2025"/>
    <n v="0.16575751061428495"/>
    <x v="0"/>
    <n v="1.0392594184984146E-2"/>
    <n v="17.615010479926909"/>
  </r>
  <r>
    <s v="A73"/>
    <s v="Instagram"/>
    <d v="2025-09-21T00:00:00"/>
    <s v="Video"/>
    <n v="23103"/>
    <n v="1380"/>
    <n v="191"/>
    <n v="1547"/>
    <n v="77798"/>
    <n v="148856"/>
    <s v="Apple Event September 2025"/>
    <n v="0.16575751061428495"/>
    <x v="1"/>
    <n v="1.0392594184984146E-2"/>
    <n v="17.615010479926909"/>
  </r>
  <r>
    <s v="A74"/>
    <s v="Twitter"/>
    <d v="2024-10-28T00:00:00"/>
    <s v="Carousel"/>
    <n v="21198"/>
    <n v="1484"/>
    <n v="174"/>
    <n v="1293"/>
    <n v="16330"/>
    <n v="111635"/>
    <s v="iPhone 16 Launch"/>
    <n v="0.20473865723115511"/>
    <x v="6"/>
    <n v="1.1582389035696691E-2"/>
    <n v="21.63210462668518"/>
  </r>
  <r>
    <s v="A74"/>
    <s v="Twitter"/>
    <d v="2024-10-28T00:00:00"/>
    <s v="Carousel"/>
    <n v="21198"/>
    <n v="1484"/>
    <n v="174"/>
    <n v="1293"/>
    <n v="16330"/>
    <n v="111635"/>
    <s v="iPhone 16 Launch"/>
    <n v="0.20473865723115511"/>
    <x v="7"/>
    <n v="1.1582389035696691E-2"/>
    <n v="21.63210462668518"/>
  </r>
  <r>
    <s v="A75"/>
    <s v="Instagram"/>
    <d v="2024-08-01T00:00:00"/>
    <s v="Image"/>
    <n v="21758"/>
    <n v="1380"/>
    <n v="188"/>
    <n v="1735"/>
    <n v="20998"/>
    <n v="147803"/>
    <s v="MacBook Air M3 Campaign"/>
    <n v="0.15781817689762725"/>
    <x v="4"/>
    <n v="1.1738597998687442E-2"/>
    <n v="16.955677489631469"/>
  </r>
  <r>
    <s v="A75"/>
    <s v="Instagram"/>
    <d v="2024-08-01T00:00:00"/>
    <s v="Image"/>
    <n v="21758"/>
    <n v="1380"/>
    <n v="188"/>
    <n v="1735"/>
    <n v="20998"/>
    <n v="147803"/>
    <s v="MacBook Air M3 Campaign"/>
    <n v="0.15781817689762725"/>
    <x v="5"/>
    <n v="1.1738597998687442E-2"/>
    <n v="16.955677489631469"/>
  </r>
  <r>
    <s v="A76"/>
    <s v="Twitter"/>
    <d v="2024-11-07T00:00:00"/>
    <s v="Carousel"/>
    <n v="17254"/>
    <n v="246"/>
    <n v="952"/>
    <n v="871"/>
    <n v="14957"/>
    <n v="75946"/>
    <s v="MacBook Air M3 Campaign"/>
    <n v="0.24296210465330631"/>
    <x v="8"/>
    <n v="1.1468675111263265E-2"/>
    <n v="25.443077976456959"/>
  </r>
  <r>
    <s v="A77"/>
    <s v="LinkedIn"/>
    <d v="2025-03-04T00:00:00"/>
    <s v="Carousel"/>
    <n v="13470"/>
    <n v="523"/>
    <n v="280"/>
    <n v="2682"/>
    <n v="8538"/>
    <n v="95204"/>
    <s v="Apple Watch Ultra 2 Launch"/>
    <n v="0.14992017142136885"/>
    <x v="13"/>
    <n v="2.8171085248518971E-2"/>
    <n v="17.809125666988781"/>
  </r>
  <r>
    <s v="A77"/>
    <s v="LinkedIn"/>
    <d v="2025-03-04T00:00:00"/>
    <s v="Carousel"/>
    <n v="13470"/>
    <n v="523"/>
    <n v="280"/>
    <n v="2682"/>
    <n v="8538"/>
    <n v="95204"/>
    <s v="Apple Watch Ultra 2 Launch"/>
    <n v="0.14992017142136885"/>
    <x v="6"/>
    <n v="2.8171085248518971E-2"/>
    <n v="17.809125666988781"/>
  </r>
  <r>
    <s v="A78"/>
    <s v="LinkedIn"/>
    <d v="2024-06-17T00:00:00"/>
    <s v="Image"/>
    <n v="3252"/>
    <n v="1043"/>
    <n v="647"/>
    <n v="1545"/>
    <n v="18859"/>
    <n v="222958"/>
    <s v="Apple Watch Ultra 2 Launch"/>
    <n v="2.2165609666394567E-2"/>
    <x v="9"/>
    <n v="6.9295562392917053E-3"/>
    <n v="2.9095165905686273"/>
  </r>
  <r>
    <s v="A78"/>
    <s v="LinkedIn"/>
    <d v="2024-06-17T00:00:00"/>
    <s v="Image"/>
    <n v="3252"/>
    <n v="1043"/>
    <n v="647"/>
    <n v="1545"/>
    <n v="18859"/>
    <n v="222958"/>
    <s v="Apple Watch Ultra 2 Launch"/>
    <n v="2.2165609666394567E-2"/>
    <x v="10"/>
    <n v="6.9295562392917053E-3"/>
    <n v="2.9095165905686273"/>
  </r>
  <r>
    <s v="A79"/>
    <s v="YouTube"/>
    <d v="2025-09-22T00:00:00"/>
    <s v="Video"/>
    <n v="8996"/>
    <n v="329"/>
    <n v="378"/>
    <n v="2384"/>
    <n v="39404"/>
    <n v="242724"/>
    <s v="Apple Event September 2025"/>
    <n v="3.9975445361810122E-2"/>
    <x v="17"/>
    <n v="9.821855275951287E-3"/>
    <n v="4.9797300637761408"/>
  </r>
  <r>
    <s v="A79"/>
    <s v="YouTube"/>
    <d v="2025-09-22T00:00:00"/>
    <s v="Video"/>
    <n v="8996"/>
    <n v="329"/>
    <n v="378"/>
    <n v="2384"/>
    <n v="39404"/>
    <n v="242724"/>
    <s v="Apple Event September 2025"/>
    <n v="3.9975445361810122E-2"/>
    <x v="18"/>
    <n v="9.821855275951287E-3"/>
    <n v="4.9797300637761408"/>
  </r>
  <r>
    <s v="A80"/>
    <s v="LinkedIn"/>
    <d v="2024-06-13T00:00:00"/>
    <s v="Image"/>
    <n v="14173"/>
    <n v="294"/>
    <n v="257"/>
    <n v="1288"/>
    <n v="39466"/>
    <n v="55563"/>
    <s v="MacBook Air M3 Campaign"/>
    <n v="0.26499649047027696"/>
    <x v="0"/>
    <n v="2.3180893760236129E-2"/>
    <n v="28.81773842305131"/>
  </r>
  <r>
    <s v="A80"/>
    <s v="LinkedIn"/>
    <d v="2024-06-13T00:00:00"/>
    <s v="Image"/>
    <n v="14173"/>
    <n v="294"/>
    <n v="257"/>
    <n v="1288"/>
    <n v="39466"/>
    <n v="55563"/>
    <s v="MacBook Air M3 Campaign"/>
    <n v="0.26499649047027696"/>
    <x v="1"/>
    <n v="2.3180893760236129E-2"/>
    <n v="28.81773842305131"/>
  </r>
  <r>
    <s v="A81"/>
    <s v="YouTube"/>
    <d v="2024-10-19T00:00:00"/>
    <s v="Carousel"/>
    <n v="6673"/>
    <n v="826"/>
    <n v="321"/>
    <n v="577"/>
    <n v="19262"/>
    <n v="132324"/>
    <s v="MacBook Air M3 Campaign"/>
    <n v="5.9097367068710133E-2"/>
    <x v="6"/>
    <n v="4.3605090535352616E-3"/>
    <n v="6.3457876122245391"/>
  </r>
  <r>
    <s v="A81"/>
    <s v="YouTube"/>
    <d v="2024-10-19T00:00:00"/>
    <s v="Carousel"/>
    <n v="6673"/>
    <n v="826"/>
    <n v="321"/>
    <n v="577"/>
    <n v="19262"/>
    <n v="132324"/>
    <s v="MacBook Air M3 Campaign"/>
    <n v="5.9097367068710133E-2"/>
    <x v="7"/>
    <n v="4.3605090535352616E-3"/>
    <n v="6.3457876122245391"/>
  </r>
  <r>
    <s v="A82"/>
    <s v="LinkedIn"/>
    <d v="2024-07-24T00:00:00"/>
    <s v="Video"/>
    <n v="22914"/>
    <n v="954"/>
    <n v="584"/>
    <n v="1519"/>
    <n v="13637"/>
    <n v="49847"/>
    <s v="Apple Watch Ultra 2 Launch"/>
    <n v="0.49054105563022848"/>
    <x v="9"/>
    <n v="3.0473248139306276E-2"/>
    <n v="52.101430376953473"/>
  </r>
  <r>
    <s v="A82"/>
    <s v="LinkedIn"/>
    <d v="2024-07-24T00:00:00"/>
    <s v="Video"/>
    <n v="22914"/>
    <n v="954"/>
    <n v="584"/>
    <n v="1519"/>
    <n v="13637"/>
    <n v="49847"/>
    <s v="Apple Watch Ultra 2 Launch"/>
    <n v="0.49054105563022848"/>
    <x v="10"/>
    <n v="3.0473248139306276E-2"/>
    <n v="52.101430376953473"/>
  </r>
  <r>
    <s v="A83"/>
    <s v="Instagram"/>
    <d v="2024-10-15T00:00:00"/>
    <s v="Carousel"/>
    <n v="17781"/>
    <n v="993"/>
    <n v="627"/>
    <n v="2187"/>
    <n v="9609"/>
    <n v="66155"/>
    <s v="iPhone 16 Launch"/>
    <n v="0.29326581513113142"/>
    <x v="8"/>
    <n v="3.3058725719900234E-2"/>
    <n v="32.63245408510317"/>
  </r>
  <r>
    <s v="A84"/>
    <s v="LinkedIn"/>
    <d v="2024-12-09T00:00:00"/>
    <s v="Image"/>
    <n v="15051"/>
    <n v="268"/>
    <n v="251"/>
    <n v="783"/>
    <n v="34154"/>
    <n v="119671"/>
    <s v="iPhone 16 Launch"/>
    <n v="0.13010670922779954"/>
    <x v="2"/>
    <n v="6.5429385565425211E-3"/>
    <n v="13.664964778434207"/>
  </r>
  <r>
    <s v="A84"/>
    <s v="LinkedIn"/>
    <d v="2024-12-09T00:00:00"/>
    <s v="Image"/>
    <n v="15051"/>
    <n v="268"/>
    <n v="251"/>
    <n v="783"/>
    <n v="34154"/>
    <n v="119671"/>
    <s v="iPhone 16 Launch"/>
    <n v="0.13010670922779954"/>
    <x v="3"/>
    <n v="6.5429385565425211E-3"/>
    <n v="13.664964778434207"/>
  </r>
  <r>
    <s v="A85"/>
    <s v="YouTube"/>
    <d v="2025-04-19T00:00:00"/>
    <s v="Image"/>
    <n v="8881"/>
    <n v="210"/>
    <n v="673"/>
    <n v="1565"/>
    <n v="24847"/>
    <n v="156891"/>
    <s v="Sustainability Awareness Drive"/>
    <n v="6.223429004850501E-2"/>
    <x v="9"/>
    <n v="9.9750782390321951E-3"/>
    <n v="7.2209368287537217"/>
  </r>
  <r>
    <s v="A85"/>
    <s v="YouTube"/>
    <d v="2025-04-19T00:00:00"/>
    <s v="Image"/>
    <n v="8881"/>
    <n v="210"/>
    <n v="673"/>
    <n v="1565"/>
    <n v="24847"/>
    <n v="156891"/>
    <s v="Sustainability Awareness Drive"/>
    <n v="6.223429004850501E-2"/>
    <x v="10"/>
    <n v="9.9750782390321951E-3"/>
    <n v="7.2209368287537217"/>
  </r>
  <r>
    <s v="A86"/>
    <s v="YouTube"/>
    <d v="2025-01-27T00:00:00"/>
    <s v="Carousel"/>
    <n v="8949"/>
    <n v="1477"/>
    <n v="424"/>
    <n v="1030"/>
    <n v="58052"/>
    <n v="123310"/>
    <s v="Apple Watch Ultra 2 Launch"/>
    <n v="8.7989619657773091E-2"/>
    <x v="13"/>
    <n v="8.3529316357148654E-3"/>
    <n v="9.6342551293487961"/>
  </r>
  <r>
    <s v="A86"/>
    <s v="YouTube"/>
    <d v="2025-01-27T00:00:00"/>
    <s v="Carousel"/>
    <n v="8949"/>
    <n v="1477"/>
    <n v="424"/>
    <n v="1030"/>
    <n v="58052"/>
    <n v="123310"/>
    <s v="Apple Watch Ultra 2 Launch"/>
    <n v="8.7989619657773091E-2"/>
    <x v="6"/>
    <n v="8.3529316357148654E-3"/>
    <n v="9.6342551293487961"/>
  </r>
  <r>
    <s v="A87"/>
    <s v="Twitter"/>
    <d v="2024-06-06T00:00:00"/>
    <s v="Tweet"/>
    <n v="11521"/>
    <n v="1071"/>
    <n v="762"/>
    <n v="2539"/>
    <n v="12701"/>
    <n v="238350"/>
    <s v="Sustainability Awareness Drive"/>
    <n v="5.6026851269142017E-2"/>
    <x v="13"/>
    <n v="1.065240192993497E-2"/>
    <n v="6.6679253199076989"/>
  </r>
  <r>
    <s v="A87"/>
    <s v="Twitter"/>
    <d v="2024-06-06T00:00:00"/>
    <s v="Tweet"/>
    <n v="11521"/>
    <n v="1071"/>
    <n v="762"/>
    <n v="2539"/>
    <n v="12701"/>
    <n v="238350"/>
    <s v="Sustainability Awareness Drive"/>
    <n v="5.6026851269142017E-2"/>
    <x v="6"/>
    <n v="1.065240192993497E-2"/>
    <n v="6.6679253199076989"/>
  </r>
  <r>
    <s v="A88"/>
    <s v="Instagram"/>
    <d v="2024-07-07T00:00:00"/>
    <s v="Tweet"/>
    <n v="24625"/>
    <n v="749"/>
    <n v="193"/>
    <n v="1340"/>
    <n v="4890"/>
    <n v="189381"/>
    <s v="Apple Watch Ultra 2 Launch"/>
    <n v="0.13500298340382616"/>
    <x v="2"/>
    <n v="7.0756834106906188E-3"/>
    <n v="14.207866681451678"/>
  </r>
  <r>
    <s v="A88"/>
    <s v="Instagram"/>
    <d v="2024-07-07T00:00:00"/>
    <s v="Tweet"/>
    <n v="24625"/>
    <n v="749"/>
    <n v="193"/>
    <n v="1340"/>
    <n v="4890"/>
    <n v="189381"/>
    <s v="Apple Watch Ultra 2 Launch"/>
    <n v="0.13500298340382616"/>
    <x v="3"/>
    <n v="7.0756834106906188E-3"/>
    <n v="14.207866681451678"/>
  </r>
  <r>
    <s v="A89"/>
    <s v="LinkedIn"/>
    <d v="2025-09-23T00:00:00"/>
    <s v="Image"/>
    <n v="10017"/>
    <n v="1357"/>
    <n v="966"/>
    <n v="2871"/>
    <n v="14800"/>
    <n v="171691"/>
    <s v="Apple Event September 2025"/>
    <n v="7.1873307278774071E-2"/>
    <x v="17"/>
    <n v="1.6721901555701812E-2"/>
    <n v="8.8595208834475887"/>
  </r>
  <r>
    <s v="A89"/>
    <s v="LinkedIn"/>
    <d v="2025-09-23T00:00:00"/>
    <s v="Image"/>
    <n v="10017"/>
    <n v="1357"/>
    <n v="966"/>
    <n v="2871"/>
    <n v="14800"/>
    <n v="171691"/>
    <s v="Apple Event September 2025"/>
    <n v="7.1873307278774071E-2"/>
    <x v="18"/>
    <n v="1.6721901555701812E-2"/>
    <n v="8.8595208834475887"/>
  </r>
  <r>
    <s v="A90"/>
    <s v="Twitter"/>
    <d v="2024-06-03T00:00:00"/>
    <s v="Image"/>
    <n v="8941"/>
    <n v="911"/>
    <n v="166"/>
    <n v="1217"/>
    <n v="68817"/>
    <n v="221180"/>
    <s v="MacBook Air M3 Campaign"/>
    <n v="4.5293426168731353E-2"/>
    <x v="6"/>
    <n v="5.5023058142689213E-3"/>
    <n v="5.0795731983000278"/>
  </r>
  <r>
    <s v="A90"/>
    <s v="Twitter"/>
    <d v="2024-06-03T00:00:00"/>
    <s v="Image"/>
    <n v="8941"/>
    <n v="911"/>
    <n v="166"/>
    <n v="1217"/>
    <n v="68817"/>
    <n v="221180"/>
    <s v="MacBook Air M3 Campaign"/>
    <n v="4.5293426168731353E-2"/>
    <x v="14"/>
    <n v="5.5023058142689213E-3"/>
    <n v="5.0795731983000278"/>
  </r>
  <r>
    <s v="A91"/>
    <s v="LinkedIn"/>
    <d v="2025-09-24T00:00:00"/>
    <s v="Tweet"/>
    <n v="12209"/>
    <n v="222"/>
    <n v="479"/>
    <n v="2748"/>
    <n v="24615"/>
    <n v="74707"/>
    <s v="Apple Event September 2025"/>
    <n v="0.17280843829895459"/>
    <x v="9"/>
    <n v="3.678370166115625E-2"/>
    <n v="20.959213996011083"/>
  </r>
  <r>
    <s v="A91"/>
    <s v="LinkedIn"/>
    <d v="2025-09-24T00:00:00"/>
    <s v="Tweet"/>
    <n v="12209"/>
    <n v="222"/>
    <n v="479"/>
    <n v="2748"/>
    <n v="24615"/>
    <n v="74707"/>
    <s v="Apple Event September 2025"/>
    <n v="0.17280843829895459"/>
    <x v="10"/>
    <n v="3.678370166115625E-2"/>
    <n v="20.959213996011083"/>
  </r>
  <r>
    <s v="A92"/>
    <s v="LinkedIn"/>
    <d v="2024-10-21T00:00:00"/>
    <s v="Tweet"/>
    <n v="19715"/>
    <n v="1014"/>
    <n v="718"/>
    <n v="1185"/>
    <n v="37625"/>
    <n v="191409"/>
    <s v="Apple Watch Ultra 2 Launch"/>
    <n v="0.11204802282024356"/>
    <x v="2"/>
    <n v="6.1909314609030919E-3"/>
    <n v="11.823895428114666"/>
  </r>
  <r>
    <s v="A92"/>
    <s v="LinkedIn"/>
    <d v="2024-10-21T00:00:00"/>
    <s v="Tweet"/>
    <n v="19715"/>
    <n v="1014"/>
    <n v="718"/>
    <n v="1185"/>
    <n v="37625"/>
    <n v="191409"/>
    <s v="Apple Watch Ultra 2 Launch"/>
    <n v="0.11204802282024356"/>
    <x v="3"/>
    <n v="6.1909314609030919E-3"/>
    <n v="11.823895428114666"/>
  </r>
  <r>
    <s v="A93"/>
    <s v="Twitter"/>
    <d v="2024-12-11T00:00:00"/>
    <s v="Carousel"/>
    <n v="22645"/>
    <n v="545"/>
    <n v="972"/>
    <n v="321"/>
    <n v="8396"/>
    <n v="121537"/>
    <s v="MacBook Air M3 Campaign"/>
    <n v="0.19880365649966678"/>
    <x v="13"/>
    <n v="2.641171001423435E-3"/>
    <n v="20.14448275010902"/>
  </r>
  <r>
    <s v="A93"/>
    <s v="Twitter"/>
    <d v="2024-12-11T00:00:00"/>
    <s v="Carousel"/>
    <n v="22645"/>
    <n v="545"/>
    <n v="972"/>
    <n v="321"/>
    <n v="8396"/>
    <n v="121537"/>
    <s v="MacBook Air M3 Campaign"/>
    <n v="0.19880365649966678"/>
    <x v="6"/>
    <n v="2.641171001423435E-3"/>
    <n v="20.14448275010902"/>
  </r>
  <r>
    <s v="A94"/>
    <s v="Twitter"/>
    <d v="2024-11-07T00:00:00"/>
    <s v="Carousel"/>
    <n v="11550"/>
    <n v="501"/>
    <n v="646"/>
    <n v="773"/>
    <n v="17841"/>
    <n v="237576"/>
    <s v="iPhone 16 Launch"/>
    <n v="5.3443950567397383E-2"/>
    <x v="13"/>
    <n v="3.2536956594942249E-3"/>
    <n v="5.6697646226891605"/>
  </r>
  <r>
    <s v="A94"/>
    <s v="Twitter"/>
    <d v="2024-11-07T00:00:00"/>
    <s v="Carousel"/>
    <n v="11550"/>
    <n v="501"/>
    <n v="646"/>
    <n v="773"/>
    <n v="17841"/>
    <n v="237576"/>
    <s v="iPhone 16 Launch"/>
    <n v="5.3443950567397383E-2"/>
    <x v="6"/>
    <n v="3.2536956594942249E-3"/>
    <n v="5.6697646226891605"/>
  </r>
  <r>
    <s v="A95"/>
    <s v="Twitter"/>
    <d v="2024-11-08T00:00:00"/>
    <s v="Tweet"/>
    <n v="23499"/>
    <n v="562"/>
    <n v="964"/>
    <n v="2557"/>
    <n v="56890"/>
    <n v="218686"/>
    <s v="iPhone 16 Launch"/>
    <n v="0.11443347996671026"/>
    <x v="6"/>
    <n v="1.1692563767227897E-2"/>
    <n v="12.612604373393815"/>
  </r>
  <r>
    <s v="A95"/>
    <s v="Twitter"/>
    <d v="2024-11-08T00:00:00"/>
    <s v="Tweet"/>
    <n v="23499"/>
    <n v="562"/>
    <n v="964"/>
    <n v="2557"/>
    <n v="56890"/>
    <n v="218686"/>
    <s v="iPhone 16 Launch"/>
    <n v="0.11443347996671026"/>
    <x v="7"/>
    <n v="1.1692563767227897E-2"/>
    <n v="12.612604373393815"/>
  </r>
  <r>
    <s v="A96"/>
    <s v="Twitter"/>
    <d v="2024-09-10T00:00:00"/>
    <s v="Carousel"/>
    <n v="6637"/>
    <n v="595"/>
    <n v="161"/>
    <n v="2653"/>
    <n v="19334"/>
    <n v="131155"/>
    <s v="Sustainability Awareness Drive"/>
    <n v="5.6368419046166747E-2"/>
    <x v="11"/>
    <n v="2.0227974533948381E-2"/>
    <n v="7.6596393580115132"/>
  </r>
  <r>
    <s v="A96"/>
    <s v="Twitter"/>
    <d v="2024-09-10T00:00:00"/>
    <s v="Carousel"/>
    <n v="6637"/>
    <n v="595"/>
    <n v="161"/>
    <n v="2653"/>
    <n v="19334"/>
    <n v="131155"/>
    <s v="Sustainability Awareness Drive"/>
    <n v="5.6368419046166747E-2"/>
    <x v="12"/>
    <n v="2.0227974533948381E-2"/>
    <n v="7.6596393580115132"/>
  </r>
  <r>
    <s v="A97"/>
    <s v="Twitter"/>
    <d v="2024-08-13T00:00:00"/>
    <s v="Carousel"/>
    <n v="6854"/>
    <n v="417"/>
    <n v="467"/>
    <n v="1003"/>
    <n v="61333"/>
    <n v="40281"/>
    <s v="Apple Watch Ultra 2 Launch"/>
    <n v="0.19210049402944315"/>
    <x v="17"/>
    <n v="2.4900076959360494E-2"/>
    <n v="21.700057098880364"/>
  </r>
  <r>
    <s v="A97"/>
    <s v="Twitter"/>
    <d v="2024-08-13T00:00:00"/>
    <s v="Carousel"/>
    <n v="6854"/>
    <n v="417"/>
    <n v="467"/>
    <n v="1003"/>
    <n v="61333"/>
    <n v="40281"/>
    <s v="Apple Watch Ultra 2 Launch"/>
    <n v="0.19210049402944315"/>
    <x v="18"/>
    <n v="2.4900076959360494E-2"/>
    <n v="21.700057098880364"/>
  </r>
  <r>
    <s v="A98"/>
    <s v="LinkedIn"/>
    <d v="2024-06-10T00:00:00"/>
    <s v="Video"/>
    <n v="21561"/>
    <n v="340"/>
    <n v="741"/>
    <n v="986"/>
    <n v="24826"/>
    <n v="198492"/>
    <s v="Apple Watch Ultra 2 Launch"/>
    <n v="0.11407008846704149"/>
    <x v="9"/>
    <n v="4.9674546077423777E-3"/>
    <n v="11.903754307478387"/>
  </r>
  <r>
    <s v="A98"/>
    <s v="LinkedIn"/>
    <d v="2024-06-10T00:00:00"/>
    <s v="Video"/>
    <n v="21561"/>
    <n v="340"/>
    <n v="741"/>
    <n v="986"/>
    <n v="24826"/>
    <n v="198492"/>
    <s v="Apple Watch Ultra 2 Launch"/>
    <n v="0.11407008846704149"/>
    <x v="10"/>
    <n v="4.9674546077423777E-3"/>
    <n v="11.903754307478387"/>
  </r>
  <r>
    <s v="A99"/>
    <s v="Twitter"/>
    <d v="2024-07-02T00:00:00"/>
    <s v="Carousel"/>
    <n v="12320"/>
    <n v="1157"/>
    <n v="365"/>
    <n v="584"/>
    <n v="66634"/>
    <n v="210102"/>
    <s v="iPhone 16 Launch"/>
    <n v="6.5882285746922925E-2"/>
    <x v="9"/>
    <n v="2.7796022884122949E-3"/>
    <n v="6.8661888035335226"/>
  </r>
  <r>
    <s v="A99"/>
    <s v="Twitter"/>
    <d v="2024-07-02T00:00:00"/>
    <s v="Carousel"/>
    <n v="12320"/>
    <n v="1157"/>
    <n v="365"/>
    <n v="584"/>
    <n v="66634"/>
    <n v="210102"/>
    <s v="iPhone 16 Launch"/>
    <n v="6.5882285746922925E-2"/>
    <x v="10"/>
    <n v="2.7796022884122949E-3"/>
    <n v="6.8661888035335226"/>
  </r>
  <r>
    <s v="A100"/>
    <s v="Instagram"/>
    <d v="2025-09-25T00:00:00"/>
    <s v="Image"/>
    <n v="20564"/>
    <n v="1433"/>
    <n v="488"/>
    <n v="1015"/>
    <n v="24333"/>
    <n v="172130"/>
    <s v="Apple Event September 2025"/>
    <n v="0.13062801371056759"/>
    <x v="8"/>
    <n v="5.8967059780398534E-3"/>
    <n v="13.652471968860743"/>
  </r>
  <r>
    <s v="A101"/>
    <s v="YouTube"/>
    <d v="2024-10-18T00:00:00"/>
    <s v="Carousel"/>
    <n v="6892"/>
    <n v="1184"/>
    <n v="925"/>
    <n v="1062"/>
    <n v="75008"/>
    <n v="116260"/>
    <s v="MacBook Air M3 Campaign"/>
    <n v="7.7421297092723204E-2"/>
    <x v="2"/>
    <n v="9.1346980904868404E-3"/>
    <n v="8.6555995183210044"/>
  </r>
  <r>
    <s v="A101"/>
    <s v="YouTube"/>
    <d v="2024-10-18T00:00:00"/>
    <s v="Carousel"/>
    <n v="6892"/>
    <n v="1184"/>
    <n v="925"/>
    <n v="1062"/>
    <n v="75008"/>
    <n v="116260"/>
    <s v="MacBook Air M3 Campaign"/>
    <n v="7.7421297092723204E-2"/>
    <x v="3"/>
    <n v="9.1346980904868404E-3"/>
    <n v="8.6555995183210044"/>
  </r>
  <r>
    <s v="A102"/>
    <s v="Twitter"/>
    <d v="2025-09-26T00:00:00"/>
    <s v="Carousel"/>
    <n v="9043"/>
    <n v="1192"/>
    <n v="810"/>
    <n v="1550"/>
    <n v="5221"/>
    <n v="199476"/>
    <s v="Apple Event September 2025"/>
    <n v="5.5370069582305642E-2"/>
    <x v="8"/>
    <n v="7.7703583388477812E-3"/>
    <n v="6.3140427921153428"/>
  </r>
  <r>
    <s v="A103"/>
    <s v="Twitter"/>
    <d v="2025-09-27T00:00:00"/>
    <s v="Tweet"/>
    <n v="18521"/>
    <n v="1027"/>
    <n v="230"/>
    <n v="1247"/>
    <n v="39588"/>
    <n v="200928"/>
    <s v="Apple Event September 2025"/>
    <n v="9.8433269628921807E-2"/>
    <x v="2"/>
    <n v="6.206203217072782E-3"/>
    <n v="10.46394728459946"/>
  </r>
  <r>
    <s v="A103"/>
    <s v="Twitter"/>
    <d v="2025-09-27T00:00:00"/>
    <s v="Tweet"/>
    <n v="18521"/>
    <n v="1027"/>
    <n v="230"/>
    <n v="1247"/>
    <n v="39588"/>
    <n v="200928"/>
    <s v="Apple Event September 2025"/>
    <n v="9.8433269628921807E-2"/>
    <x v="3"/>
    <n v="6.206203217072782E-3"/>
    <n v="10.46394728459946"/>
  </r>
  <r>
    <s v="A104"/>
    <s v="LinkedIn"/>
    <d v="2025-03-23T00:00:00"/>
    <s v="Image"/>
    <n v="24711"/>
    <n v="882"/>
    <n v="876"/>
    <n v="2728"/>
    <n v="32015"/>
    <n v="180272"/>
    <s v="iPhone 16 Launch"/>
    <n v="0.1468281263867933"/>
    <x v="4"/>
    <n v="1.5132688382000532E-2"/>
    <n v="16.196081476879382"/>
  </r>
  <r>
    <s v="A104"/>
    <s v="LinkedIn"/>
    <d v="2025-03-23T00:00:00"/>
    <s v="Image"/>
    <n v="24711"/>
    <n v="882"/>
    <n v="876"/>
    <n v="2728"/>
    <n v="32015"/>
    <n v="180272"/>
    <s v="iPhone 16 Launch"/>
    <n v="0.1468281263867933"/>
    <x v="5"/>
    <n v="1.5132688382000532E-2"/>
    <n v="16.196081476879382"/>
  </r>
  <r>
    <s v="A105"/>
    <s v="Twitter"/>
    <d v="2024-06-14T00:00:00"/>
    <s v="Carousel"/>
    <n v="21856"/>
    <n v="1203"/>
    <n v="634"/>
    <n v="2807"/>
    <n v="3647"/>
    <n v="104178"/>
    <s v="iPhone 16 Launch"/>
    <n v="0.22742805582752595"/>
    <x v="13"/>
    <n v="2.6944268463591162E-2"/>
    <n v="25.43723242911171"/>
  </r>
  <r>
    <s v="A105"/>
    <s v="Twitter"/>
    <d v="2024-06-14T00:00:00"/>
    <s v="Carousel"/>
    <n v="21856"/>
    <n v="1203"/>
    <n v="634"/>
    <n v="2807"/>
    <n v="3647"/>
    <n v="104178"/>
    <s v="iPhone 16 Launch"/>
    <n v="0.22742805582752595"/>
    <x v="6"/>
    <n v="2.6944268463591162E-2"/>
    <n v="25.43723242911171"/>
  </r>
  <r>
    <s v="A106"/>
    <s v="Twitter"/>
    <d v="2025-02-04T00:00:00"/>
    <s v="Carousel"/>
    <n v="23833"/>
    <n v="555"/>
    <n v="523"/>
    <n v="1330"/>
    <n v="69141"/>
    <n v="73997"/>
    <s v="iPhone 16 Launch"/>
    <n v="0.33664878305877266"/>
    <x v="11"/>
    <n v="1.7973701636552833E-2"/>
    <n v="35.462248469532547"/>
  </r>
  <r>
    <s v="A106"/>
    <s v="Twitter"/>
    <d v="2025-02-04T00:00:00"/>
    <s v="Carousel"/>
    <n v="23833"/>
    <n v="555"/>
    <n v="523"/>
    <n v="1330"/>
    <n v="69141"/>
    <n v="73997"/>
    <s v="iPhone 16 Launch"/>
    <n v="0.33664878305877266"/>
    <x v="12"/>
    <n v="1.7973701636552833E-2"/>
    <n v="35.462248469532547"/>
  </r>
  <r>
    <s v="A107"/>
    <s v="Twitter"/>
    <d v="2024-06-21T00:00:00"/>
    <s v="Video"/>
    <n v="21216"/>
    <n v="1207"/>
    <n v="859"/>
    <n v="328"/>
    <n v="91296"/>
    <n v="196683"/>
    <s v="Sustainability Awareness Drive"/>
    <n v="0.1183732198512327"/>
    <x v="6"/>
    <n v="1.6676581097502072E-3"/>
    <n v="12.004087796098291"/>
  </r>
  <r>
    <s v="A107"/>
    <s v="Twitter"/>
    <d v="2024-06-21T00:00:00"/>
    <s v="Video"/>
    <n v="21216"/>
    <n v="1207"/>
    <n v="859"/>
    <n v="328"/>
    <n v="91296"/>
    <n v="196683"/>
    <s v="Sustainability Awareness Drive"/>
    <n v="0.1183732198512327"/>
    <x v="7"/>
    <n v="1.6676581097502072E-3"/>
    <n v="12.004087796098291"/>
  </r>
  <r>
    <s v="A108"/>
    <s v="LinkedIn"/>
    <d v="2025-09-28T00:00:00"/>
    <s v="Carousel"/>
    <n v="21963"/>
    <n v="1356"/>
    <n v="349"/>
    <n v="1206"/>
    <n v="51755"/>
    <n v="159273"/>
    <s v="Apple Event September 2025"/>
    <n v="0.14860020216860359"/>
    <x v="11"/>
    <n v="7.5719048426286942E-3"/>
    <n v="15.617210701123231"/>
  </r>
  <r>
    <s v="A108"/>
    <s v="LinkedIn"/>
    <d v="2025-09-28T00:00:00"/>
    <s v="Carousel"/>
    <n v="21963"/>
    <n v="1356"/>
    <n v="349"/>
    <n v="1206"/>
    <n v="51755"/>
    <n v="159273"/>
    <s v="Apple Event September 2025"/>
    <n v="0.14860020216860359"/>
    <x v="12"/>
    <n v="7.5719048426286942E-3"/>
    <n v="15.617210701123231"/>
  </r>
  <r>
    <s v="A109"/>
    <s v="Twitter"/>
    <d v="2024-08-08T00:00:00"/>
    <s v="Carousel"/>
    <n v="24355"/>
    <n v="1087"/>
    <n v="686"/>
    <n v="2426"/>
    <n v="24963"/>
    <n v="212307"/>
    <s v="Apple Watch Ultra 2 Launch"/>
    <n v="0.1230670679723231"/>
    <x v="11"/>
    <n v="1.1426848855666558E-2"/>
    <n v="13.449391682798966"/>
  </r>
  <r>
    <s v="A109"/>
    <s v="Twitter"/>
    <d v="2024-08-08T00:00:00"/>
    <s v="Carousel"/>
    <n v="24355"/>
    <n v="1087"/>
    <n v="686"/>
    <n v="2426"/>
    <n v="24963"/>
    <n v="212307"/>
    <s v="Apple Watch Ultra 2 Launch"/>
    <n v="0.1230670679723231"/>
    <x v="12"/>
    <n v="1.1426848855666558E-2"/>
    <n v="13.449391682798966"/>
  </r>
  <r>
    <s v="A110"/>
    <s v="YouTube"/>
    <d v="2024-07-29T00:00:00"/>
    <s v="Video"/>
    <n v="6164"/>
    <n v="326"/>
    <n v="615"/>
    <n v="2806"/>
    <n v="38579"/>
    <n v="206129"/>
    <s v="MacBook Air M3 Campaign"/>
    <n v="3.4468706489625425E-2"/>
    <x v="11"/>
    <n v="1.3612834681194785E-2"/>
    <n v="4.8081541170820215"/>
  </r>
  <r>
    <s v="A110"/>
    <s v="YouTube"/>
    <d v="2024-07-29T00:00:00"/>
    <s v="Video"/>
    <n v="6164"/>
    <n v="326"/>
    <n v="615"/>
    <n v="2806"/>
    <n v="38579"/>
    <n v="206129"/>
    <s v="MacBook Air M3 Campaign"/>
    <n v="3.4468706489625425E-2"/>
    <x v="12"/>
    <n v="1.3612834681194785E-2"/>
    <n v="4.8081541170820215"/>
  </r>
  <r>
    <s v="A111"/>
    <s v="LinkedIn"/>
    <d v="2024-11-23T00:00:00"/>
    <s v="Tweet"/>
    <n v="9941"/>
    <n v="1329"/>
    <n v="238"/>
    <n v="869"/>
    <n v="40281"/>
    <n v="172311"/>
    <s v="Sustainability Awareness Drive"/>
    <n v="6.6786217943137702E-2"/>
    <x v="8"/>
    <n v="5.043206759870235E-3"/>
    <n v="7.1829424703007936"/>
  </r>
  <r>
    <s v="A112"/>
    <s v="YouTube"/>
    <d v="2024-10-05T00:00:00"/>
    <s v="Carousel"/>
    <n v="16388"/>
    <n v="1208"/>
    <n v="417"/>
    <n v="2306"/>
    <n v="16865"/>
    <n v="236733"/>
    <s v="Apple Watch Ultra 2 Launch"/>
    <n v="7.6089940988370866E-2"/>
    <x v="2"/>
    <n v="9.7409317670117818E-3"/>
    <n v="8.583087275538265"/>
  </r>
  <r>
    <s v="A112"/>
    <s v="YouTube"/>
    <d v="2024-10-05T00:00:00"/>
    <s v="Carousel"/>
    <n v="16388"/>
    <n v="1208"/>
    <n v="417"/>
    <n v="2306"/>
    <n v="16865"/>
    <n v="236733"/>
    <s v="Apple Watch Ultra 2 Launch"/>
    <n v="7.6089940988370866E-2"/>
    <x v="3"/>
    <n v="9.7409317670117818E-3"/>
    <n v="8.583087275538265"/>
  </r>
  <r>
    <s v="A113"/>
    <s v="LinkedIn"/>
    <d v="2025-09-29T00:00:00"/>
    <s v="Video"/>
    <n v="7569"/>
    <n v="803"/>
    <n v="804"/>
    <n v="1753"/>
    <n v="43582"/>
    <n v="166945"/>
    <s v="Apple Event September 2025"/>
    <n v="5.4964209769684629E-2"/>
    <x v="15"/>
    <n v="1.0500464224744677E-2"/>
    <n v="6.5464673994429301"/>
  </r>
  <r>
    <s v="A113"/>
    <s v="LinkedIn"/>
    <d v="2025-09-29T00:00:00"/>
    <s v="Video"/>
    <n v="7569"/>
    <n v="803"/>
    <n v="804"/>
    <n v="1753"/>
    <n v="43582"/>
    <n v="166945"/>
    <s v="Apple Event September 2025"/>
    <n v="5.4964209769684629E-2"/>
    <x v="8"/>
    <n v="1.0500464224744677E-2"/>
    <n v="6.5464673994429301"/>
  </r>
  <r>
    <s v="A114"/>
    <s v="Twitter"/>
    <d v="2024-11-14T00:00:00"/>
    <s v="Image"/>
    <n v="6300"/>
    <n v="1213"/>
    <n v="720"/>
    <n v="1037"/>
    <n v="39569"/>
    <n v="85272"/>
    <s v="iPhone 16 Launch"/>
    <n v="9.6549863964724647E-2"/>
    <x v="4"/>
    <n v="1.2161084529505583E-2"/>
    <n v="10.871094849423022"/>
  </r>
  <r>
    <s v="A114"/>
    <s v="Twitter"/>
    <d v="2024-11-14T00:00:00"/>
    <s v="Image"/>
    <n v="6300"/>
    <n v="1213"/>
    <n v="720"/>
    <n v="1037"/>
    <n v="39569"/>
    <n v="85272"/>
    <s v="iPhone 16 Launch"/>
    <n v="9.6549863964724647E-2"/>
    <x v="5"/>
    <n v="1.2161084529505583E-2"/>
    <n v="10.871094849423022"/>
  </r>
  <r>
    <s v="A115"/>
    <s v="YouTube"/>
    <d v="2025-09-30T00:00:00"/>
    <s v="Tweet"/>
    <n v="8269"/>
    <n v="250"/>
    <n v="638"/>
    <n v="815"/>
    <n v="41991"/>
    <n v="129393"/>
    <s v="Apple Event September 2025"/>
    <n v="7.0768897853825175E-2"/>
    <x v="0"/>
    <n v="6.2986405756107365E-3"/>
    <n v="7.7067538429435904"/>
  </r>
  <r>
    <s v="A115"/>
    <s v="YouTube"/>
    <d v="2025-09-30T00:00:00"/>
    <s v="Tweet"/>
    <n v="8269"/>
    <n v="250"/>
    <n v="638"/>
    <n v="815"/>
    <n v="41991"/>
    <n v="129393"/>
    <s v="Apple Event September 2025"/>
    <n v="7.0768897853825175E-2"/>
    <x v="1"/>
    <n v="6.2986405756107365E-3"/>
    <n v="7.7067538429435904"/>
  </r>
  <r>
    <s v="A116"/>
    <s v="LinkedIn"/>
    <d v="2025-03-18T00:00:00"/>
    <s v="Image"/>
    <n v="5818"/>
    <n v="1252"/>
    <n v="687"/>
    <n v="2300"/>
    <n v="25081"/>
    <n v="101212"/>
    <s v="MacBook Air M3 Campaign"/>
    <n v="7.6641109749832043E-2"/>
    <x v="11"/>
    <n v="2.27245781132672E-2"/>
    <n v="9.9365687863099232"/>
  </r>
  <r>
    <s v="A116"/>
    <s v="LinkedIn"/>
    <d v="2025-03-18T00:00:00"/>
    <s v="Image"/>
    <n v="5818"/>
    <n v="1252"/>
    <n v="687"/>
    <n v="2300"/>
    <n v="25081"/>
    <n v="101212"/>
    <s v="MacBook Air M3 Campaign"/>
    <n v="7.6641109749832043E-2"/>
    <x v="12"/>
    <n v="2.27245781132672E-2"/>
    <n v="9.9365687863099232"/>
  </r>
  <r>
    <s v="A117"/>
    <s v="Instagram"/>
    <d v="2024-11-04T00:00:00"/>
    <s v="Image"/>
    <n v="14015"/>
    <n v="978"/>
    <n v="196"/>
    <n v="2744"/>
    <n v="20190"/>
    <n v="186470"/>
    <s v="Sustainability Awareness Drive"/>
    <n v="8.1455462004611998E-2"/>
    <x v="6"/>
    <n v="1.4715503834396954E-2"/>
    <n v="9.6170965839008957"/>
  </r>
  <r>
    <s v="A117"/>
    <s v="Instagram"/>
    <d v="2024-11-04T00:00:00"/>
    <s v="Image"/>
    <n v="14015"/>
    <n v="978"/>
    <n v="196"/>
    <n v="2744"/>
    <n v="20190"/>
    <n v="186470"/>
    <s v="Sustainability Awareness Drive"/>
    <n v="8.1455462004611998E-2"/>
    <x v="14"/>
    <n v="1.4715503834396954E-2"/>
    <n v="9.6170965839008957"/>
  </r>
  <r>
    <s v="A118"/>
    <s v="Twitter"/>
    <d v="2024-11-04T00:00:00"/>
    <s v="Video"/>
    <n v="14234"/>
    <n v="1013"/>
    <n v="437"/>
    <n v="338"/>
    <n v="67754"/>
    <n v="160030"/>
    <s v="Sustainability Awareness Drive"/>
    <n v="9.8006623758045364E-2"/>
    <x v="8"/>
    <n v="2.1121039805036554E-3"/>
    <n v="10.011872773854902"/>
  </r>
  <r>
    <s v="A119"/>
    <s v="LinkedIn"/>
    <d v="2025-02-07T00:00:00"/>
    <s v="Carousel"/>
    <n v="20290"/>
    <n v="619"/>
    <n v="927"/>
    <n v="1186"/>
    <n v="8924"/>
    <n v="96503"/>
    <s v="MacBook Air M3 Campaign"/>
    <n v="0.22627275835984373"/>
    <x v="17"/>
    <n v="1.2289773374920987E-2"/>
    <n v="23.856253173476471"/>
  </r>
  <r>
    <s v="A119"/>
    <s v="LinkedIn"/>
    <d v="2025-02-07T00:00:00"/>
    <s v="Carousel"/>
    <n v="20290"/>
    <n v="619"/>
    <n v="927"/>
    <n v="1186"/>
    <n v="8924"/>
    <n v="96503"/>
    <s v="MacBook Air M3 Campaign"/>
    <n v="0.22627275835984373"/>
    <x v="18"/>
    <n v="1.2289773374920987E-2"/>
    <n v="23.856253173476471"/>
  </r>
  <r>
    <s v="A120"/>
    <s v="Instagram"/>
    <d v="2024-10-21T00:00:00"/>
    <s v="Video"/>
    <n v="8254"/>
    <n v="1405"/>
    <n v="165"/>
    <n v="2504"/>
    <n v="8081"/>
    <n v="177710"/>
    <s v="Apple Watch Ultra 2 Launch"/>
    <n v="5.5281075910190762E-2"/>
    <x v="6"/>
    <n v="1.409037195430758E-2"/>
    <n v="6.9371447864498332"/>
  </r>
  <r>
    <s v="A120"/>
    <s v="Instagram"/>
    <d v="2024-10-21T00:00:00"/>
    <s v="Video"/>
    <n v="8254"/>
    <n v="1405"/>
    <n v="165"/>
    <n v="2504"/>
    <n v="8081"/>
    <n v="177710"/>
    <s v="Apple Watch Ultra 2 Launch"/>
    <n v="5.5281075910190762E-2"/>
    <x v="7"/>
    <n v="1.409037195430758E-2"/>
    <n v="6.9371447864498332"/>
  </r>
  <r>
    <s v="A121"/>
    <s v="LinkedIn"/>
    <d v="2024-07-29T00:00:00"/>
    <s v="Video"/>
    <n v="19144"/>
    <n v="1182"/>
    <n v="860"/>
    <n v="1398"/>
    <n v="4185"/>
    <n v="46570"/>
    <s v="Apple Watch Ultra 2 Launch"/>
    <n v="0.454928065278076"/>
    <x v="0"/>
    <n v="3.0019325746188534E-2"/>
    <n v="48.49473910242645"/>
  </r>
  <r>
    <s v="A121"/>
    <s v="LinkedIn"/>
    <d v="2024-07-29T00:00:00"/>
    <s v="Video"/>
    <n v="19144"/>
    <n v="1182"/>
    <n v="860"/>
    <n v="1398"/>
    <n v="4185"/>
    <n v="46570"/>
    <s v="Apple Watch Ultra 2 Launch"/>
    <n v="0.454928065278076"/>
    <x v="1"/>
    <n v="3.0019325746188534E-2"/>
    <n v="48.49473910242645"/>
  </r>
  <r>
    <s v="A122"/>
    <s v="Instagram"/>
    <d v="2024-10-02T00:00:00"/>
    <s v="Video"/>
    <n v="9350"/>
    <n v="1024"/>
    <n v="550"/>
    <n v="2123"/>
    <n v="53916"/>
    <n v="108785"/>
    <s v="Sustainability Awareness Drive"/>
    <n v="0.10041825619340902"/>
    <x v="15"/>
    <n v="1.9515558211150433E-2"/>
    <n v="11.993381440455945"/>
  </r>
  <r>
    <s v="A122"/>
    <s v="Instagram"/>
    <d v="2024-10-02T00:00:00"/>
    <s v="Video"/>
    <n v="9350"/>
    <n v="1024"/>
    <n v="550"/>
    <n v="2123"/>
    <n v="53916"/>
    <n v="108785"/>
    <s v="Sustainability Awareness Drive"/>
    <n v="0.10041825619340902"/>
    <x v="8"/>
    <n v="1.9515558211150433E-2"/>
    <n v="11.993381440455945"/>
  </r>
  <r>
    <s v="A123"/>
    <s v="Twitter"/>
    <d v="2024-06-14T00:00:00"/>
    <s v="Video"/>
    <n v="17183"/>
    <n v="1224"/>
    <n v="943"/>
    <n v="2010"/>
    <n v="21481"/>
    <n v="49110"/>
    <s v="Sustainability Awareness Drive"/>
    <n v="0.39401343921808185"/>
    <x v="6"/>
    <n v="4.092852779474649E-2"/>
    <n v="43.494196701282831"/>
  </r>
  <r>
    <s v="A123"/>
    <s v="Twitter"/>
    <d v="2024-06-14T00:00:00"/>
    <s v="Video"/>
    <n v="17183"/>
    <n v="1224"/>
    <n v="943"/>
    <n v="2010"/>
    <n v="21481"/>
    <n v="49110"/>
    <s v="Sustainability Awareness Drive"/>
    <n v="0.39401343921808185"/>
    <x v="14"/>
    <n v="4.092852779474649E-2"/>
    <n v="43.494196701282831"/>
  </r>
  <r>
    <s v="A124"/>
    <s v="YouTube"/>
    <d v="2025-04-06T00:00:00"/>
    <s v="Tweet"/>
    <n v="8238"/>
    <n v="766"/>
    <n v="235"/>
    <n v="1273"/>
    <n v="4706"/>
    <n v="119141"/>
    <s v="iPhone 16 Launch"/>
    <n v="7.7546772311798629E-2"/>
    <x v="15"/>
    <n v="1.0684818828111229E-2"/>
    <n v="8.823159113990986"/>
  </r>
  <r>
    <s v="A124"/>
    <s v="YouTube"/>
    <d v="2025-04-06T00:00:00"/>
    <s v="Tweet"/>
    <n v="8238"/>
    <n v="766"/>
    <n v="235"/>
    <n v="1273"/>
    <n v="4706"/>
    <n v="119141"/>
    <s v="iPhone 16 Launch"/>
    <n v="7.7546772311798629E-2"/>
    <x v="8"/>
    <n v="1.0684818828111229E-2"/>
    <n v="8.823159113990986"/>
  </r>
  <r>
    <s v="A125"/>
    <s v="Instagram"/>
    <d v="2024-09-08T00:00:00"/>
    <s v="Carousel"/>
    <n v="8090"/>
    <n v="570"/>
    <n v="399"/>
    <n v="1862"/>
    <n v="34088"/>
    <n v="52115"/>
    <s v="Apple Watch Ultra 2 Launch"/>
    <n v="0.17382711311522595"/>
    <x v="0"/>
    <n v="3.572867696440564E-2"/>
    <n v="20.955579007963159"/>
  </r>
  <r>
    <s v="A125"/>
    <s v="Instagram"/>
    <d v="2024-09-08T00:00:00"/>
    <s v="Carousel"/>
    <n v="8090"/>
    <n v="570"/>
    <n v="399"/>
    <n v="1862"/>
    <n v="34088"/>
    <n v="52115"/>
    <s v="Apple Watch Ultra 2 Launch"/>
    <n v="0.17382711311522595"/>
    <x v="1"/>
    <n v="3.572867696440564E-2"/>
    <n v="20.955579007963159"/>
  </r>
  <r>
    <s v="A126"/>
    <s v="LinkedIn"/>
    <d v="2025-03-28T00:00:00"/>
    <s v="Image"/>
    <n v="13637"/>
    <n v="1135"/>
    <n v="540"/>
    <n v="1288"/>
    <n v="45183"/>
    <n v="79062"/>
    <s v="MacBook Air M3 Campaign"/>
    <n v="0.19367079001290127"/>
    <x v="11"/>
    <n v="1.6291012117072678E-2"/>
    <n v="20.996180212997395"/>
  </r>
  <r>
    <s v="A126"/>
    <s v="LinkedIn"/>
    <d v="2025-03-28T00:00:00"/>
    <s v="Image"/>
    <n v="13637"/>
    <n v="1135"/>
    <n v="540"/>
    <n v="1288"/>
    <n v="45183"/>
    <n v="79062"/>
    <s v="MacBook Air M3 Campaign"/>
    <n v="0.19367079001290127"/>
    <x v="12"/>
    <n v="1.6291012117072678E-2"/>
    <n v="20.996180212997395"/>
  </r>
  <r>
    <s v="A127"/>
    <s v="Twitter"/>
    <d v="2025-01-27T00:00:00"/>
    <s v="Image"/>
    <n v="24415"/>
    <n v="860"/>
    <n v="931"/>
    <n v="320"/>
    <n v="65049"/>
    <n v="62911"/>
    <s v="Apple Watch Ultra 2 Launch"/>
    <n v="0.41655672298962027"/>
    <x v="6"/>
    <n v="5.0865508416652093E-3"/>
    <n v="42.164327383128544"/>
  </r>
  <r>
    <s v="A127"/>
    <s v="Twitter"/>
    <d v="2025-01-27T00:00:00"/>
    <s v="Image"/>
    <n v="24415"/>
    <n v="860"/>
    <n v="931"/>
    <n v="320"/>
    <n v="65049"/>
    <n v="62911"/>
    <s v="Apple Watch Ultra 2 Launch"/>
    <n v="0.41655672298962027"/>
    <x v="14"/>
    <n v="5.0865508416652093E-3"/>
    <n v="42.164327383128544"/>
  </r>
  <r>
    <s v="A128"/>
    <s v="Instagram"/>
    <d v="2025-01-10T00:00:00"/>
    <s v="Carousel"/>
    <n v="14647"/>
    <n v="1168"/>
    <n v="484"/>
    <n v="2650"/>
    <n v="27217"/>
    <n v="144061"/>
    <s v="iPhone 16 Launch"/>
    <n v="0.11313957281984714"/>
    <x v="15"/>
    <n v="1.8394985457549234E-2"/>
    <n v="13.153455827739638"/>
  </r>
  <r>
    <s v="A128"/>
    <s v="Instagram"/>
    <d v="2025-01-10T00:00:00"/>
    <s v="Carousel"/>
    <n v="14647"/>
    <n v="1168"/>
    <n v="484"/>
    <n v="2650"/>
    <n v="27217"/>
    <n v="144061"/>
    <s v="iPhone 16 Launch"/>
    <n v="0.11313957281984714"/>
    <x v="8"/>
    <n v="1.8394985457549234E-2"/>
    <n v="13.153455827739638"/>
  </r>
  <r>
    <s v="A129"/>
    <s v="LinkedIn"/>
    <d v="2024-07-21T00:00:00"/>
    <s v="Image"/>
    <n v="11911"/>
    <n v="1360"/>
    <n v="778"/>
    <n v="1168"/>
    <n v="16483"/>
    <n v="72556"/>
    <s v="Sustainability Awareness Drive"/>
    <n v="0.19362974805667346"/>
    <x v="6"/>
    <n v="1.609791057941452E-2"/>
    <n v="20.972765863608796"/>
  </r>
  <r>
    <s v="A129"/>
    <s v="LinkedIn"/>
    <d v="2024-07-21T00:00:00"/>
    <s v="Image"/>
    <n v="11911"/>
    <n v="1360"/>
    <n v="778"/>
    <n v="1168"/>
    <n v="16483"/>
    <n v="72556"/>
    <s v="Sustainability Awareness Drive"/>
    <n v="0.19362974805667346"/>
    <x v="7"/>
    <n v="1.609791057941452E-2"/>
    <n v="20.972765863608796"/>
  </r>
  <r>
    <s v="A130"/>
    <s v="LinkedIn"/>
    <d v="2024-09-29T00:00:00"/>
    <s v="Carousel"/>
    <n v="10472"/>
    <n v="401"/>
    <n v="668"/>
    <n v="383"/>
    <n v="37571"/>
    <n v="249203"/>
    <s v="Sustainability Awareness Drive"/>
    <n v="4.6311641513143903E-2"/>
    <x v="2"/>
    <n v="1.5368996360396946E-3"/>
    <n v="4.7848541149183594"/>
  </r>
  <r>
    <s v="A130"/>
    <s v="LinkedIn"/>
    <d v="2024-09-29T00:00:00"/>
    <s v="Carousel"/>
    <n v="10472"/>
    <n v="401"/>
    <n v="668"/>
    <n v="383"/>
    <n v="37571"/>
    <n v="249203"/>
    <s v="Sustainability Awareness Drive"/>
    <n v="4.6311641513143903E-2"/>
    <x v="3"/>
    <n v="1.5368996360396946E-3"/>
    <n v="4.7848541149183594"/>
  </r>
  <r>
    <s v="A131"/>
    <s v="LinkedIn"/>
    <d v="2024-10-21T00:00:00"/>
    <s v="Image"/>
    <n v="20271"/>
    <n v="512"/>
    <n v="286"/>
    <n v="1982"/>
    <n v="43225"/>
    <n v="168335"/>
    <s v="iPhone 16 Launch"/>
    <n v="0.12516113701844536"/>
    <x v="13"/>
    <n v="1.1774140850090592E-2"/>
    <n v="13.693527786853595"/>
  </r>
  <r>
    <s v="A131"/>
    <s v="LinkedIn"/>
    <d v="2024-10-21T00:00:00"/>
    <s v="Image"/>
    <n v="20271"/>
    <n v="512"/>
    <n v="286"/>
    <n v="1982"/>
    <n v="43225"/>
    <n v="168335"/>
    <s v="iPhone 16 Launch"/>
    <n v="0.12516113701844536"/>
    <x v="6"/>
    <n v="1.1774140850090592E-2"/>
    <n v="13.693527786853595"/>
  </r>
  <r>
    <s v="A132"/>
    <s v="Instagram"/>
    <d v="2025-03-04T00:00:00"/>
    <s v="Video"/>
    <n v="5266"/>
    <n v="316"/>
    <n v="837"/>
    <n v="2276"/>
    <n v="20967"/>
    <n v="41969"/>
    <s v="MacBook Air M3 Campaign"/>
    <n v="0.1529462222116324"/>
    <x v="2"/>
    <n v="5.4230503466844576E-2"/>
    <n v="20.717672567847696"/>
  </r>
  <r>
    <s v="A132"/>
    <s v="Instagram"/>
    <d v="2025-03-04T00:00:00"/>
    <s v="Video"/>
    <n v="5266"/>
    <n v="316"/>
    <n v="837"/>
    <n v="2276"/>
    <n v="20967"/>
    <n v="41969"/>
    <s v="MacBook Air M3 Campaign"/>
    <n v="0.1529462222116324"/>
    <x v="3"/>
    <n v="5.4230503466844576E-2"/>
    <n v="20.717672567847696"/>
  </r>
  <r>
    <s v="A133"/>
    <s v="Instagram"/>
    <d v="2025-02-06T00:00:00"/>
    <s v="Image"/>
    <n v="2666"/>
    <n v="1136"/>
    <n v="989"/>
    <n v="1710"/>
    <n v="36467"/>
    <n v="83753"/>
    <s v="Sustainability Awareness Drive"/>
    <n v="5.7203921053574198E-2"/>
    <x v="0"/>
    <n v="2.0417179086122287E-2"/>
    <n v="7.7621100139696493"/>
  </r>
  <r>
    <s v="A133"/>
    <s v="Instagram"/>
    <d v="2025-02-06T00:00:00"/>
    <s v="Image"/>
    <n v="2666"/>
    <n v="1136"/>
    <n v="989"/>
    <n v="1710"/>
    <n v="36467"/>
    <n v="83753"/>
    <s v="Sustainability Awareness Drive"/>
    <n v="5.7203921053574198E-2"/>
    <x v="1"/>
    <n v="2.0417179086122287E-2"/>
    <n v="7.7621100139696493"/>
  </r>
  <r>
    <s v="A134"/>
    <s v="Instagram"/>
    <d v="2025-10-01T00:00:00"/>
    <s v="Carousel"/>
    <n v="6188"/>
    <n v="774"/>
    <n v="647"/>
    <n v="1830"/>
    <n v="55436"/>
    <n v="175542"/>
    <s v="Apple Event September 2025"/>
    <n v="4.3345752013763089E-2"/>
    <x v="8"/>
    <n v="1.0424855590115186E-2"/>
    <n v="5.3770607603878275"/>
  </r>
  <r>
    <s v="A135"/>
    <s v="YouTube"/>
    <d v="2024-11-28T00:00:00"/>
    <s v="Carousel"/>
    <n v="19055"/>
    <n v="443"/>
    <n v="976"/>
    <n v="869"/>
    <n v="75437"/>
    <n v="161863"/>
    <s v="Sustainability Awareness Drive"/>
    <n v="0.12648968572187591"/>
    <x v="13"/>
    <n v="5.368737759710372E-3"/>
    <n v="13.185842348158626"/>
  </r>
  <r>
    <s v="A135"/>
    <s v="YouTube"/>
    <d v="2024-11-28T00:00:00"/>
    <s v="Carousel"/>
    <n v="19055"/>
    <n v="443"/>
    <n v="976"/>
    <n v="869"/>
    <n v="75437"/>
    <n v="161863"/>
    <s v="Sustainability Awareness Drive"/>
    <n v="0.12648968572187591"/>
    <x v="6"/>
    <n v="5.368737759710372E-3"/>
    <n v="13.185842348158626"/>
  </r>
  <r>
    <s v="A136"/>
    <s v="Instagram"/>
    <d v="2025-10-02T00:00:00"/>
    <s v="Carousel"/>
    <n v="12161"/>
    <n v="736"/>
    <n v="876"/>
    <n v="1233"/>
    <n v="21337"/>
    <n v="50225"/>
    <s v="Apple Event September 2025"/>
    <n v="0.27422598307615731"/>
    <x v="4"/>
    <n v="2.4549527127924339E-2"/>
    <n v="29.877551020408166"/>
  </r>
  <r>
    <s v="A136"/>
    <s v="Instagram"/>
    <d v="2025-10-02T00:00:00"/>
    <s v="Carousel"/>
    <n v="12161"/>
    <n v="736"/>
    <n v="876"/>
    <n v="1233"/>
    <n v="21337"/>
    <n v="50225"/>
    <s v="Apple Event September 2025"/>
    <n v="0.27422598307615731"/>
    <x v="5"/>
    <n v="2.4549527127924339E-2"/>
    <n v="29.877551020408166"/>
  </r>
  <r>
    <s v="A137"/>
    <s v="Instagram"/>
    <d v="2024-07-31T00:00:00"/>
    <s v="Carousel"/>
    <n v="13314"/>
    <n v="274"/>
    <n v="626"/>
    <n v="2280"/>
    <n v="14639"/>
    <n v="163008"/>
    <s v="iPhone 16 Launch"/>
    <n v="8.7198174322732622E-2"/>
    <x v="6"/>
    <n v="1.3987043580683157E-2"/>
    <n v="10.118521790341578"/>
  </r>
  <r>
    <s v="A137"/>
    <s v="Instagram"/>
    <d v="2024-07-31T00:00:00"/>
    <s v="Carousel"/>
    <n v="13314"/>
    <n v="274"/>
    <n v="626"/>
    <n v="2280"/>
    <n v="14639"/>
    <n v="163008"/>
    <s v="iPhone 16 Launch"/>
    <n v="8.7198174322732622E-2"/>
    <x v="7"/>
    <n v="1.3987043580683157E-2"/>
    <n v="10.118521790341578"/>
  </r>
  <r>
    <s v="A138"/>
    <s v="Instagram"/>
    <d v="2025-03-29T00:00:00"/>
    <s v="Carousel"/>
    <n v="23508"/>
    <n v="585"/>
    <n v="743"/>
    <n v="2155"/>
    <n v="3704"/>
    <n v="194268"/>
    <s v="iPhone 16 Launch"/>
    <n v="0.1278440093067309"/>
    <x v="4"/>
    <n v="1.1092923178289785E-2"/>
    <n v="13.893693248502068"/>
  </r>
  <r>
    <s v="A138"/>
    <s v="Instagram"/>
    <d v="2025-03-29T00:00:00"/>
    <s v="Carousel"/>
    <n v="23508"/>
    <n v="585"/>
    <n v="743"/>
    <n v="2155"/>
    <n v="3704"/>
    <n v="194268"/>
    <s v="iPhone 16 Launch"/>
    <n v="0.1278440093067309"/>
    <x v="5"/>
    <n v="1.1092923178289785E-2"/>
    <n v="13.893693248502068"/>
  </r>
  <r>
    <s v="A139"/>
    <s v="YouTube"/>
    <d v="2024-10-29T00:00:00"/>
    <s v="Tweet"/>
    <n v="23969"/>
    <n v="1433"/>
    <n v="372"/>
    <n v="1092"/>
    <n v="32147"/>
    <n v="145823"/>
    <s v="Sustainability Awareness Drive"/>
    <n v="0.17674852389540743"/>
    <x v="6"/>
    <n v="7.4885306158836394E-3"/>
    <n v="18.423705451129109"/>
  </r>
  <r>
    <s v="A139"/>
    <s v="YouTube"/>
    <d v="2024-10-29T00:00:00"/>
    <s v="Tweet"/>
    <n v="23969"/>
    <n v="1433"/>
    <n v="372"/>
    <n v="1092"/>
    <n v="32147"/>
    <n v="145823"/>
    <s v="Sustainability Awareness Drive"/>
    <n v="0.17674852389540743"/>
    <x v="14"/>
    <n v="7.4885306158836394E-3"/>
    <n v="18.423705451129109"/>
  </r>
  <r>
    <s v="A140"/>
    <s v="Instagram"/>
    <d v="2024-07-15T00:00:00"/>
    <s v="Tweet"/>
    <n v="14891"/>
    <n v="674"/>
    <n v="521"/>
    <n v="1091"/>
    <n v="18101"/>
    <n v="53669"/>
    <s v="Apple Watch Ultra 2 Launch"/>
    <n v="0.29972609886526674"/>
    <x v="9"/>
    <n v="2.0328308707074846E-2"/>
    <n v="32.005440757234162"/>
  </r>
  <r>
    <s v="A140"/>
    <s v="Instagram"/>
    <d v="2024-07-15T00:00:00"/>
    <s v="Tweet"/>
    <n v="14891"/>
    <n v="674"/>
    <n v="521"/>
    <n v="1091"/>
    <n v="18101"/>
    <n v="53669"/>
    <s v="Apple Watch Ultra 2 Launch"/>
    <n v="0.29972609886526674"/>
    <x v="10"/>
    <n v="2.0328308707074846E-2"/>
    <n v="32.005440757234162"/>
  </r>
  <r>
    <s v="A141"/>
    <s v="LinkedIn"/>
    <d v="2025-10-03T00:00:00"/>
    <s v="Image"/>
    <n v="6777"/>
    <n v="617"/>
    <n v="551"/>
    <n v="2109"/>
    <n v="18559"/>
    <n v="208452"/>
    <s v="Apple Event September 2025"/>
    <n v="3.8114290100358834E-2"/>
    <x v="13"/>
    <n v="1.0117437107823384E-2"/>
    <n v="4.8231727208182216"/>
  </r>
  <r>
    <s v="A141"/>
    <s v="LinkedIn"/>
    <d v="2025-10-03T00:00:00"/>
    <s v="Image"/>
    <n v="6777"/>
    <n v="617"/>
    <n v="551"/>
    <n v="2109"/>
    <n v="18559"/>
    <n v="208452"/>
    <s v="Apple Event September 2025"/>
    <n v="3.8114290100358834E-2"/>
    <x v="6"/>
    <n v="1.0117437107823384E-2"/>
    <n v="4.8231727208182216"/>
  </r>
  <r>
    <s v="A142"/>
    <s v="Instagram"/>
    <d v="2025-03-25T00:00:00"/>
    <s v="Carousel"/>
    <n v="5900"/>
    <n v="546"/>
    <n v="592"/>
    <n v="1594"/>
    <n v="38627"/>
    <n v="164398"/>
    <s v="MacBook Air M3 Campaign"/>
    <n v="4.2810739790021778E-2"/>
    <x v="4"/>
    <n v="9.6959817029404257E-3"/>
    <n v="5.2506721492962205"/>
  </r>
  <r>
    <s v="A142"/>
    <s v="Instagram"/>
    <d v="2025-03-25T00:00:00"/>
    <s v="Carousel"/>
    <n v="5900"/>
    <n v="546"/>
    <n v="592"/>
    <n v="1594"/>
    <n v="38627"/>
    <n v="164398"/>
    <s v="MacBook Air M3 Campaign"/>
    <n v="4.2810739790021778E-2"/>
    <x v="5"/>
    <n v="9.6959817029404257E-3"/>
    <n v="5.2506721492962205"/>
  </r>
  <r>
    <s v="A143"/>
    <s v="LinkedIn"/>
    <d v="2024-10-02T00:00:00"/>
    <s v="Image"/>
    <n v="15716"/>
    <n v="839"/>
    <n v="639"/>
    <n v="2839"/>
    <n v="349"/>
    <n v="150677"/>
    <s v="Sustainability Awareness Drive"/>
    <n v="0.11411164278556117"/>
    <x v="4"/>
    <n v="1.8841628118425505E-2"/>
    <n v="13.295327090398668"/>
  </r>
  <r>
    <s v="A143"/>
    <s v="LinkedIn"/>
    <d v="2024-10-02T00:00:00"/>
    <s v="Image"/>
    <n v="15716"/>
    <n v="839"/>
    <n v="639"/>
    <n v="2839"/>
    <n v="349"/>
    <n v="150677"/>
    <s v="Sustainability Awareness Drive"/>
    <n v="0.11411164278556117"/>
    <x v="5"/>
    <n v="1.8841628118425505E-2"/>
    <n v="13.295327090398668"/>
  </r>
  <r>
    <s v="A144"/>
    <s v="LinkedIn"/>
    <d v="2024-10-28T00:00:00"/>
    <s v="Carousel"/>
    <n v="8981"/>
    <n v="1138"/>
    <n v="764"/>
    <n v="2555"/>
    <n v="92810"/>
    <n v="88320"/>
    <s v="MacBook Air M3 Campaign"/>
    <n v="0.1232223731884058"/>
    <x v="15"/>
    <n v="2.8928894927536232E-2"/>
    <n v="15.215126811594203"/>
  </r>
  <r>
    <s v="A144"/>
    <s v="LinkedIn"/>
    <d v="2024-10-28T00:00:00"/>
    <s v="Carousel"/>
    <n v="8981"/>
    <n v="1138"/>
    <n v="764"/>
    <n v="2555"/>
    <n v="92810"/>
    <n v="88320"/>
    <s v="MacBook Air M3 Campaign"/>
    <n v="0.1232223731884058"/>
    <x v="8"/>
    <n v="2.8928894927536232E-2"/>
    <n v="15.215126811594203"/>
  </r>
  <r>
    <s v="A145"/>
    <s v="LinkedIn"/>
    <d v="2024-08-12T00:00:00"/>
    <s v="Carousel"/>
    <n v="8376"/>
    <n v="1154"/>
    <n v="422"/>
    <n v="1907"/>
    <n v="36874"/>
    <n v="218486"/>
    <s v="Sustainability Awareness Drive"/>
    <n v="4.5549829279679245E-2"/>
    <x v="2"/>
    <n v="8.7282480341989883E-3"/>
    <n v="5.4278077313878237"/>
  </r>
  <r>
    <s v="A145"/>
    <s v="LinkedIn"/>
    <d v="2024-08-12T00:00:00"/>
    <s v="Carousel"/>
    <n v="8376"/>
    <n v="1154"/>
    <n v="422"/>
    <n v="1907"/>
    <n v="36874"/>
    <n v="218486"/>
    <s v="Sustainability Awareness Drive"/>
    <n v="4.5549829279679245E-2"/>
    <x v="3"/>
    <n v="8.7282480341989883E-3"/>
    <n v="5.4278077313878237"/>
  </r>
  <r>
    <s v="A146"/>
    <s v="YouTube"/>
    <d v="2024-06-05T00:00:00"/>
    <s v="Tweet"/>
    <n v="18907"/>
    <n v="1075"/>
    <n v="675"/>
    <n v="1383"/>
    <n v="17875"/>
    <n v="186649"/>
    <s v="Apple Watch Ultra 2 Launch"/>
    <n v="0.11067297440650634"/>
    <x v="15"/>
    <n v="7.409629839966997E-3"/>
    <n v="11.808260424647333"/>
  </r>
  <r>
    <s v="A146"/>
    <s v="YouTube"/>
    <d v="2024-06-05T00:00:00"/>
    <s v="Tweet"/>
    <n v="18907"/>
    <n v="1075"/>
    <n v="675"/>
    <n v="1383"/>
    <n v="17875"/>
    <n v="186649"/>
    <s v="Apple Watch Ultra 2 Launch"/>
    <n v="0.11067297440650634"/>
    <x v="8"/>
    <n v="7.409629839966997E-3"/>
    <n v="11.808260424647333"/>
  </r>
  <r>
    <s v="A147"/>
    <s v="YouTube"/>
    <d v="2024-10-21T00:00:00"/>
    <s v="Tweet"/>
    <n v="20777"/>
    <n v="962"/>
    <n v="308"/>
    <n v="2777"/>
    <n v="25529"/>
    <n v="165354"/>
    <s v="Apple Watch Ultra 2 Launch"/>
    <n v="0.13333212380710477"/>
    <x v="13"/>
    <n v="1.6794271683781462E-2"/>
    <n v="15.012639549088625"/>
  </r>
  <r>
    <s v="A147"/>
    <s v="YouTube"/>
    <d v="2024-10-21T00:00:00"/>
    <s v="Tweet"/>
    <n v="20777"/>
    <n v="962"/>
    <n v="308"/>
    <n v="2777"/>
    <n v="25529"/>
    <n v="165354"/>
    <s v="Apple Watch Ultra 2 Launch"/>
    <n v="0.13333212380710477"/>
    <x v="6"/>
    <n v="1.6794271683781462E-2"/>
    <n v="15.012639549088625"/>
  </r>
  <r>
    <s v="A148"/>
    <s v="YouTube"/>
    <d v="2025-04-15T00:00:00"/>
    <s v="Video"/>
    <n v="20977"/>
    <n v="1402"/>
    <n v="301"/>
    <n v="1284"/>
    <n v="24620"/>
    <n v="128009"/>
    <s v="Apple Watch Ultra 2 Launch"/>
    <n v="0.17717504237983267"/>
    <x v="13"/>
    <n v="1.003054472732386E-2"/>
    <n v="18.720558710715654"/>
  </r>
  <r>
    <s v="A148"/>
    <s v="YouTube"/>
    <d v="2025-04-15T00:00:00"/>
    <s v="Video"/>
    <n v="20977"/>
    <n v="1402"/>
    <n v="301"/>
    <n v="1284"/>
    <n v="24620"/>
    <n v="128009"/>
    <s v="Apple Watch Ultra 2 Launch"/>
    <n v="0.17717504237983267"/>
    <x v="6"/>
    <n v="1.003054472732386E-2"/>
    <n v="18.720558710715654"/>
  </r>
  <r>
    <s v="A149"/>
    <s v="Instagram"/>
    <d v="2024-06-16T00:00:00"/>
    <s v="Tweet"/>
    <n v="12160"/>
    <n v="1405"/>
    <n v="769"/>
    <n v="1980"/>
    <n v="33174"/>
    <n v="226481"/>
    <s v="Apple Watch Ultra 2 Launch"/>
    <n v="6.329007731332871E-2"/>
    <x v="0"/>
    <n v="8.7424552169939208E-3"/>
    <n v="7.2032532530322628"/>
  </r>
  <r>
    <s v="A149"/>
    <s v="Instagram"/>
    <d v="2024-06-16T00:00:00"/>
    <s v="Tweet"/>
    <n v="12160"/>
    <n v="1405"/>
    <n v="769"/>
    <n v="1980"/>
    <n v="33174"/>
    <n v="226481"/>
    <s v="Apple Watch Ultra 2 Launch"/>
    <n v="6.329007731332871E-2"/>
    <x v="1"/>
    <n v="8.7424552169939208E-3"/>
    <n v="7.2032532530322628"/>
  </r>
  <r>
    <s v="A150"/>
    <s v="LinkedIn"/>
    <d v="2024-08-22T00:00:00"/>
    <s v="Video"/>
    <n v="16124"/>
    <n v="863"/>
    <n v="337"/>
    <n v="819"/>
    <n v="85788"/>
    <n v="68625"/>
    <s v="iPhone 16 Launch"/>
    <n v="0.25244444444444447"/>
    <x v="15"/>
    <n v="1.1934426229508197E-2"/>
    <n v="26.437887067395266"/>
  </r>
  <r>
    <s v="A150"/>
    <s v="LinkedIn"/>
    <d v="2024-08-22T00:00:00"/>
    <s v="Video"/>
    <n v="16124"/>
    <n v="863"/>
    <n v="337"/>
    <n v="819"/>
    <n v="85788"/>
    <n v="68625"/>
    <s v="iPhone 16 Launch"/>
    <n v="0.25244444444444447"/>
    <x v="8"/>
    <n v="1.1934426229508197E-2"/>
    <n v="26.437887067395266"/>
  </r>
  <r>
    <s v="A151"/>
    <s v="YouTube"/>
    <d v="2024-07-26T00:00:00"/>
    <s v="Video"/>
    <n v="18282"/>
    <n v="224"/>
    <n v="962"/>
    <n v="890"/>
    <n v="35105"/>
    <n v="64089"/>
    <s v="iPhone 16 Launch"/>
    <n v="0.30376507669022768"/>
    <x v="16"/>
    <n v="1.3886938476181559E-2"/>
    <n v="31.765201516640921"/>
  </r>
  <r>
    <s v="A152"/>
    <s v="YouTube"/>
    <d v="2025-10-04T00:00:00"/>
    <s v="Video"/>
    <n v="12488"/>
    <n v="1403"/>
    <n v="247"/>
    <n v="1350"/>
    <n v="28370"/>
    <n v="76487"/>
    <s v="Apple Event September 2025"/>
    <n v="0.18484186855282597"/>
    <x v="17"/>
    <n v="1.7650058179821407E-2"/>
    <n v="20.249192673264737"/>
  </r>
  <r>
    <s v="A152"/>
    <s v="YouTube"/>
    <d v="2025-10-04T00:00:00"/>
    <s v="Video"/>
    <n v="12488"/>
    <n v="1403"/>
    <n v="247"/>
    <n v="1350"/>
    <n v="28370"/>
    <n v="76487"/>
    <s v="Apple Event September 2025"/>
    <n v="0.18484186855282597"/>
    <x v="18"/>
    <n v="1.7650058179821407E-2"/>
    <n v="20.249192673264737"/>
  </r>
  <r>
    <s v="A153"/>
    <s v="Instagram"/>
    <d v="2025-01-01T00:00:00"/>
    <s v="Video"/>
    <n v="24574"/>
    <n v="909"/>
    <n v="280"/>
    <n v="2009"/>
    <n v="6221"/>
    <n v="236910"/>
    <s v="MacBook Air M3 Campaign"/>
    <n v="0.10874593727575872"/>
    <x v="2"/>
    <n v="8.4800135072390353E-3"/>
    <n v="11.722595078299776"/>
  </r>
  <r>
    <s v="A153"/>
    <s v="Instagram"/>
    <d v="2025-01-01T00:00:00"/>
    <s v="Video"/>
    <n v="24574"/>
    <n v="909"/>
    <n v="280"/>
    <n v="2009"/>
    <n v="6221"/>
    <n v="236910"/>
    <s v="MacBook Air M3 Campaign"/>
    <n v="0.10874593727575872"/>
    <x v="3"/>
    <n v="8.4800135072390353E-3"/>
    <n v="11.722595078299776"/>
  </r>
  <r>
    <s v="A154"/>
    <s v="YouTube"/>
    <d v="2024-10-09T00:00:00"/>
    <s v="Video"/>
    <n v="7240"/>
    <n v="1384"/>
    <n v="954"/>
    <n v="2335"/>
    <n v="6757"/>
    <n v="150448"/>
    <s v="Sustainability Awareness Drive"/>
    <n v="6.3663192598106988E-2"/>
    <x v="13"/>
    <n v="1.5520312666170372E-2"/>
    <n v="7.9183505264277363"/>
  </r>
  <r>
    <s v="A154"/>
    <s v="YouTube"/>
    <d v="2024-10-09T00:00:00"/>
    <s v="Video"/>
    <n v="7240"/>
    <n v="1384"/>
    <n v="954"/>
    <n v="2335"/>
    <n v="6757"/>
    <n v="150448"/>
    <s v="Sustainability Awareness Drive"/>
    <n v="6.3663192598106988E-2"/>
    <x v="6"/>
    <n v="1.5520312666170372E-2"/>
    <n v="7.9183505264277363"/>
  </r>
  <r>
    <s v="A155"/>
    <s v="Instagram"/>
    <d v="2024-12-21T00:00:00"/>
    <s v="Image"/>
    <n v="12453"/>
    <n v="376"/>
    <n v="320"/>
    <n v="2546"/>
    <n v="22617"/>
    <n v="90138"/>
    <s v="Sustainability Awareness Drive"/>
    <n v="0.14587632297144379"/>
    <x v="0"/>
    <n v="2.824557900108722E-2"/>
    <n v="17.412190197253103"/>
  </r>
  <r>
    <s v="A155"/>
    <s v="Instagram"/>
    <d v="2024-12-21T00:00:00"/>
    <s v="Image"/>
    <n v="12453"/>
    <n v="376"/>
    <n v="320"/>
    <n v="2546"/>
    <n v="22617"/>
    <n v="90138"/>
    <s v="Sustainability Awareness Drive"/>
    <n v="0.14587632297144379"/>
    <x v="1"/>
    <n v="2.824557900108722E-2"/>
    <n v="17.412190197253103"/>
  </r>
  <r>
    <s v="A156"/>
    <s v="Twitter"/>
    <d v="2024-10-22T00:00:00"/>
    <s v="Tweet"/>
    <n v="12478"/>
    <n v="484"/>
    <n v="332"/>
    <n v="2734"/>
    <n v="43338"/>
    <n v="213895"/>
    <s v="iPhone 16 Launch"/>
    <n v="6.2151990462610156E-2"/>
    <x v="9"/>
    <n v="1.278197246312443E-2"/>
    <n v="7.4933962925734594"/>
  </r>
  <r>
    <s v="A156"/>
    <s v="Twitter"/>
    <d v="2024-10-22T00:00:00"/>
    <s v="Tweet"/>
    <n v="12478"/>
    <n v="484"/>
    <n v="332"/>
    <n v="2734"/>
    <n v="43338"/>
    <n v="213895"/>
    <s v="iPhone 16 Launch"/>
    <n v="6.2151990462610156E-2"/>
    <x v="10"/>
    <n v="1.278197246312443E-2"/>
    <n v="7.4933962925734594"/>
  </r>
  <r>
    <s v="A157"/>
    <s v="YouTube"/>
    <d v="2024-07-23T00:00:00"/>
    <s v="Video"/>
    <n v="24877"/>
    <n v="262"/>
    <n v="513"/>
    <n v="648"/>
    <n v="47544"/>
    <n v="208280"/>
    <s v="Sustainability Awareness Drive"/>
    <n v="0.12316112924908777"/>
    <x v="15"/>
    <n v="3.1111964662953718E-3"/>
    <n v="12.627232571538313"/>
  </r>
  <r>
    <s v="A157"/>
    <s v="YouTube"/>
    <d v="2024-07-23T00:00:00"/>
    <s v="Video"/>
    <n v="24877"/>
    <n v="262"/>
    <n v="513"/>
    <n v="648"/>
    <n v="47544"/>
    <n v="208280"/>
    <s v="Sustainability Awareness Drive"/>
    <n v="0.12316112924908777"/>
    <x v="8"/>
    <n v="3.1111964662953718E-3"/>
    <n v="12.627232571538313"/>
  </r>
  <r>
    <s v="A158"/>
    <s v="Twitter"/>
    <d v="2024-08-11T00:00:00"/>
    <s v="Carousel"/>
    <n v="14394"/>
    <n v="1202"/>
    <n v="188"/>
    <n v="1259"/>
    <n v="21925"/>
    <n v="94061"/>
    <s v="iPhone 16 Launch"/>
    <n v="0.1678059982351878"/>
    <x v="2"/>
    <n v="1.3384931055378956E-2"/>
    <n v="18.119092929056677"/>
  </r>
  <r>
    <s v="A158"/>
    <s v="Twitter"/>
    <d v="2024-08-11T00:00:00"/>
    <s v="Carousel"/>
    <n v="14394"/>
    <n v="1202"/>
    <n v="188"/>
    <n v="1259"/>
    <n v="21925"/>
    <n v="94061"/>
    <s v="iPhone 16 Launch"/>
    <n v="0.1678059982351878"/>
    <x v="3"/>
    <n v="1.3384931055378956E-2"/>
    <n v="18.119092929056677"/>
  </r>
  <r>
    <s v="A159"/>
    <s v="Instagram"/>
    <d v="2025-10-05T00:00:00"/>
    <s v="Tweet"/>
    <n v="21262"/>
    <n v="861"/>
    <n v="676"/>
    <n v="2263"/>
    <n v="12085"/>
    <n v="201731"/>
    <s v="Apple Event September 2025"/>
    <n v="0.11301683925623726"/>
    <x v="9"/>
    <n v="1.121790899762555E-2"/>
    <n v="12.423474825386281"/>
  </r>
  <r>
    <s v="A159"/>
    <s v="Instagram"/>
    <d v="2025-10-05T00:00:00"/>
    <s v="Tweet"/>
    <n v="21262"/>
    <n v="861"/>
    <n v="676"/>
    <n v="2263"/>
    <n v="12085"/>
    <n v="201731"/>
    <s v="Apple Event September 2025"/>
    <n v="0.11301683925623726"/>
    <x v="10"/>
    <n v="1.121790899762555E-2"/>
    <n v="12.423474825386281"/>
  </r>
  <r>
    <s v="A160"/>
    <s v="LinkedIn"/>
    <d v="2024-08-24T00:00:00"/>
    <s v="Tweet"/>
    <n v="22527"/>
    <n v="865"/>
    <n v="646"/>
    <n v="992"/>
    <n v="18654"/>
    <n v="141376"/>
    <s v="MacBook Air M3 Campaign"/>
    <n v="0.17002885921231325"/>
    <x v="15"/>
    <n v="7.0167496604798549E-3"/>
    <n v="17.70456088727931"/>
  </r>
  <r>
    <s v="A160"/>
    <s v="LinkedIn"/>
    <d v="2024-08-24T00:00:00"/>
    <s v="Tweet"/>
    <n v="22527"/>
    <n v="865"/>
    <n v="646"/>
    <n v="992"/>
    <n v="18654"/>
    <n v="141376"/>
    <s v="MacBook Air M3 Campaign"/>
    <n v="0.17002885921231325"/>
    <x v="8"/>
    <n v="7.0167496604798549E-3"/>
    <n v="17.70456088727931"/>
  </r>
  <r>
    <s v="A161"/>
    <s v="YouTube"/>
    <d v="2025-10-06T00:00:00"/>
    <s v="Video"/>
    <n v="22028"/>
    <n v="355"/>
    <n v="665"/>
    <n v="1859"/>
    <n v="50565"/>
    <n v="202962"/>
    <s v="Apple Event September 2025"/>
    <n v="0.11355820301337197"/>
    <x v="4"/>
    <n v="9.1593500261132627E-3"/>
    <n v="12.271755303948522"/>
  </r>
  <r>
    <s v="A161"/>
    <s v="YouTube"/>
    <d v="2025-10-06T00:00:00"/>
    <s v="Video"/>
    <n v="22028"/>
    <n v="355"/>
    <n v="665"/>
    <n v="1859"/>
    <n v="50565"/>
    <n v="202962"/>
    <s v="Apple Event September 2025"/>
    <n v="0.11355820301337197"/>
    <x v="5"/>
    <n v="9.1593500261132627E-3"/>
    <n v="12.271755303948522"/>
  </r>
  <r>
    <s v="A162"/>
    <s v="Instagram"/>
    <d v="2025-04-01T00:00:00"/>
    <s v="Image"/>
    <n v="6432"/>
    <n v="1272"/>
    <n v="498"/>
    <n v="677"/>
    <n v="47305"/>
    <n v="119134"/>
    <s v="Apple Watch Ultra 2 Launch"/>
    <n v="6.8846844729464299E-2"/>
    <x v="9"/>
    <n v="5.6826766498228884E-3"/>
    <n v="7.4529521379287189"/>
  </r>
  <r>
    <s v="A162"/>
    <s v="Instagram"/>
    <d v="2025-04-01T00:00:00"/>
    <s v="Image"/>
    <n v="6432"/>
    <n v="1272"/>
    <n v="498"/>
    <n v="677"/>
    <n v="47305"/>
    <n v="119134"/>
    <s v="Apple Watch Ultra 2 Launch"/>
    <n v="6.8846844729464299E-2"/>
    <x v="10"/>
    <n v="5.6826766498228884E-3"/>
    <n v="7.4529521379287189"/>
  </r>
  <r>
    <s v="A163"/>
    <s v="LinkedIn"/>
    <d v="2025-04-08T00:00:00"/>
    <s v="Video"/>
    <n v="15568"/>
    <n v="1166"/>
    <n v="546"/>
    <n v="826"/>
    <n v="21836"/>
    <n v="87055"/>
    <s v="Apple Watch Ultra 2 Launch"/>
    <n v="0.19849520418126471"/>
    <x v="0"/>
    <n v="9.4882545517201763E-3"/>
    <n v="20.798345873298487"/>
  </r>
  <r>
    <s v="A163"/>
    <s v="LinkedIn"/>
    <d v="2025-04-08T00:00:00"/>
    <s v="Video"/>
    <n v="15568"/>
    <n v="1166"/>
    <n v="546"/>
    <n v="826"/>
    <n v="21836"/>
    <n v="87055"/>
    <s v="Apple Watch Ultra 2 Launch"/>
    <n v="0.19849520418126471"/>
    <x v="1"/>
    <n v="9.4882545517201763E-3"/>
    <n v="20.798345873298487"/>
  </r>
  <r>
    <s v="A164"/>
    <s v="LinkedIn"/>
    <d v="2025-02-27T00:00:00"/>
    <s v="Image"/>
    <n v="16178"/>
    <n v="1048"/>
    <n v="871"/>
    <n v="2553"/>
    <n v="39025"/>
    <n v="59508"/>
    <s v="Apple Watch Ultra 2 Launch"/>
    <n v="0.30411037171472743"/>
    <x v="2"/>
    <n v="4.2901794716676753E-2"/>
    <n v="34.70121664314042"/>
  </r>
  <r>
    <s v="A164"/>
    <s v="LinkedIn"/>
    <d v="2025-02-27T00:00:00"/>
    <s v="Image"/>
    <n v="16178"/>
    <n v="1048"/>
    <n v="871"/>
    <n v="2553"/>
    <n v="39025"/>
    <n v="59508"/>
    <s v="Apple Watch Ultra 2 Launch"/>
    <n v="0.30411037171472743"/>
    <x v="3"/>
    <n v="4.2901794716676753E-2"/>
    <n v="34.70121664314042"/>
  </r>
  <r>
    <s v="A165"/>
    <s v="Twitter"/>
    <d v="2025-10-07T00:00:00"/>
    <s v="Carousel"/>
    <n v="19660"/>
    <n v="1307"/>
    <n v="310"/>
    <n v="2802"/>
    <n v="22171"/>
    <n v="213359"/>
    <s v="Apple Event September 2025"/>
    <n v="9.9723939463533293E-2"/>
    <x v="11"/>
    <n v="1.3132794960606303E-2"/>
    <n v="11.285673442413961"/>
  </r>
  <r>
    <s v="A165"/>
    <s v="Twitter"/>
    <d v="2025-10-07T00:00:00"/>
    <s v="Carousel"/>
    <n v="19660"/>
    <n v="1307"/>
    <n v="310"/>
    <n v="2802"/>
    <n v="22171"/>
    <n v="213359"/>
    <s v="Apple Event September 2025"/>
    <n v="9.9723939463533293E-2"/>
    <x v="12"/>
    <n v="1.3132794960606303E-2"/>
    <n v="11.285673442413961"/>
  </r>
  <r>
    <s v="A166"/>
    <s v="Instagram"/>
    <d v="2025-02-16T00:00:00"/>
    <s v="Tweet"/>
    <n v="24195"/>
    <n v="888"/>
    <n v="165"/>
    <n v="1559"/>
    <n v="11596"/>
    <n v="249988"/>
    <s v="Sustainability Awareness Drive"/>
    <n v="0.10099684784869674"/>
    <x v="6"/>
    <n v="6.2362993423684338E-3"/>
    <n v="10.723314719106519"/>
  </r>
  <r>
    <s v="A166"/>
    <s v="Instagram"/>
    <d v="2025-02-16T00:00:00"/>
    <s v="Tweet"/>
    <n v="24195"/>
    <n v="888"/>
    <n v="165"/>
    <n v="1559"/>
    <n v="11596"/>
    <n v="249988"/>
    <s v="Sustainability Awareness Drive"/>
    <n v="0.10099684784869674"/>
    <x v="14"/>
    <n v="6.2362993423684338E-3"/>
    <n v="10.723314719106519"/>
  </r>
  <r>
    <s v="A167"/>
    <s v="LinkedIn"/>
    <d v="2024-11-28T00:00:00"/>
    <s v="Carousel"/>
    <n v="2302"/>
    <n v="347"/>
    <n v="642"/>
    <n v="2175"/>
    <n v="56378"/>
    <n v="198056"/>
    <s v="MacBook Air M3 Campaign"/>
    <n v="1.6616512501514722E-2"/>
    <x v="6"/>
    <n v="1.0981742537464152E-2"/>
    <n v="2.7598255038978876"/>
  </r>
  <r>
    <s v="A167"/>
    <s v="LinkedIn"/>
    <d v="2024-11-28T00:00:00"/>
    <s v="Carousel"/>
    <n v="2302"/>
    <n v="347"/>
    <n v="642"/>
    <n v="2175"/>
    <n v="56378"/>
    <n v="198056"/>
    <s v="MacBook Air M3 Campaign"/>
    <n v="1.6616512501514722E-2"/>
    <x v="14"/>
    <n v="1.0981742537464152E-2"/>
    <n v="2.7598255038978876"/>
  </r>
  <r>
    <s v="A168"/>
    <s v="YouTube"/>
    <d v="2024-11-12T00:00:00"/>
    <s v="Image"/>
    <n v="19022"/>
    <n v="541"/>
    <n v="575"/>
    <n v="2063"/>
    <n v="42743"/>
    <n v="150169"/>
    <s v="Apple Watch Ultra 2 Launch"/>
    <n v="0.13410224480418728"/>
    <x v="2"/>
    <n v="1.3737855349639406E-2"/>
    <n v="14.784010015382668"/>
  </r>
  <r>
    <s v="A168"/>
    <s v="YouTube"/>
    <d v="2024-11-12T00:00:00"/>
    <s v="Image"/>
    <n v="19022"/>
    <n v="541"/>
    <n v="575"/>
    <n v="2063"/>
    <n v="42743"/>
    <n v="150169"/>
    <s v="Apple Watch Ultra 2 Launch"/>
    <n v="0.13410224480418728"/>
    <x v="3"/>
    <n v="1.3737855349639406E-2"/>
    <n v="14.784010015382668"/>
  </r>
  <r>
    <s v="A169"/>
    <s v="YouTube"/>
    <d v="2024-12-03T00:00:00"/>
    <s v="Image"/>
    <n v="2055"/>
    <n v="675"/>
    <n v="257"/>
    <n v="820"/>
    <n v="33534"/>
    <n v="48125"/>
    <s v="Apple Watch Ultra 2 Launch"/>
    <n v="6.2067532467532466E-2"/>
    <x v="9"/>
    <n v="1.7038961038961038E-2"/>
    <n v="7.9106493506493498"/>
  </r>
  <r>
    <s v="A169"/>
    <s v="YouTube"/>
    <d v="2024-12-03T00:00:00"/>
    <s v="Image"/>
    <n v="2055"/>
    <n v="675"/>
    <n v="257"/>
    <n v="820"/>
    <n v="33534"/>
    <n v="48125"/>
    <s v="Apple Watch Ultra 2 Launch"/>
    <n v="6.2067532467532466E-2"/>
    <x v="10"/>
    <n v="1.7038961038961038E-2"/>
    <n v="7.9106493506493498"/>
  </r>
  <r>
    <s v="A170"/>
    <s v="Twitter"/>
    <d v="2025-04-28T00:00:00"/>
    <s v="Carousel"/>
    <n v="15013"/>
    <n v="1286"/>
    <n v="599"/>
    <n v="2001"/>
    <n v="67839"/>
    <n v="76059"/>
    <s v="Apple Watch Ultra 2 Launch"/>
    <n v="0.22216963147030594"/>
    <x v="15"/>
    <n v="2.6308523646116831E-2"/>
    <n v="24.847815511642278"/>
  </r>
  <r>
    <s v="A170"/>
    <s v="Twitter"/>
    <d v="2025-04-28T00:00:00"/>
    <s v="Carousel"/>
    <n v="15013"/>
    <n v="1286"/>
    <n v="599"/>
    <n v="2001"/>
    <n v="67839"/>
    <n v="76059"/>
    <s v="Apple Watch Ultra 2 Launch"/>
    <n v="0.22216963147030594"/>
    <x v="8"/>
    <n v="2.6308523646116831E-2"/>
    <n v="24.847815511642278"/>
  </r>
  <r>
    <s v="A171"/>
    <s v="LinkedIn"/>
    <d v="2024-12-31T00:00:00"/>
    <s v="Image"/>
    <n v="10717"/>
    <n v="760"/>
    <n v="460"/>
    <n v="1316"/>
    <n v="18164"/>
    <n v="240641"/>
    <s v="MacBook Air M3 Campaign"/>
    <n v="4.9605013277039242E-2"/>
    <x v="0"/>
    <n v="5.4687272742383886E-3"/>
    <n v="5.5073740551277632"/>
  </r>
  <r>
    <s v="A171"/>
    <s v="LinkedIn"/>
    <d v="2024-12-31T00:00:00"/>
    <s v="Image"/>
    <n v="10717"/>
    <n v="760"/>
    <n v="460"/>
    <n v="1316"/>
    <n v="18164"/>
    <n v="240641"/>
    <s v="MacBook Air M3 Campaign"/>
    <n v="4.9605013277039242E-2"/>
    <x v="1"/>
    <n v="5.4687272742383886E-3"/>
    <n v="5.5073740551277632"/>
  </r>
  <r>
    <s v="A172"/>
    <s v="Instagram"/>
    <d v="2024-08-14T00:00:00"/>
    <s v="Carousel"/>
    <n v="10150"/>
    <n v="526"/>
    <n v="888"/>
    <n v="1313"/>
    <n v="51605"/>
    <n v="143409"/>
    <s v="Apple Watch Ultra 2 Launch"/>
    <n v="8.0636501195880311E-2"/>
    <x v="17"/>
    <n v="9.1556317943783157E-3"/>
    <n v="8.9792132990258615"/>
  </r>
  <r>
    <s v="A172"/>
    <s v="Instagram"/>
    <d v="2024-08-14T00:00:00"/>
    <s v="Carousel"/>
    <n v="10150"/>
    <n v="526"/>
    <n v="888"/>
    <n v="1313"/>
    <n v="51605"/>
    <n v="143409"/>
    <s v="Apple Watch Ultra 2 Launch"/>
    <n v="8.0636501195880311E-2"/>
    <x v="18"/>
    <n v="9.1556317943783157E-3"/>
    <n v="8.9792132990258615"/>
  </r>
  <r>
    <s v="A173"/>
    <s v="YouTube"/>
    <d v="2024-12-05T00:00:00"/>
    <s v="Tweet"/>
    <n v="4125"/>
    <n v="1364"/>
    <n v="319"/>
    <n v="2848"/>
    <n v="15379"/>
    <n v="188159"/>
    <s v="MacBook Air M3 Campaign"/>
    <n v="3.0867510988047343E-2"/>
    <x v="6"/>
    <n v="1.5136134864662334E-2"/>
    <n v="4.6003645852709676"/>
  </r>
  <r>
    <s v="A173"/>
    <s v="YouTube"/>
    <d v="2024-12-05T00:00:00"/>
    <s v="Tweet"/>
    <n v="4125"/>
    <n v="1364"/>
    <n v="319"/>
    <n v="2848"/>
    <n v="15379"/>
    <n v="188159"/>
    <s v="MacBook Air M3 Campaign"/>
    <n v="3.0867510988047343E-2"/>
    <x v="14"/>
    <n v="1.5136134864662334E-2"/>
    <n v="4.6003645852709676"/>
  </r>
  <r>
    <s v="A174"/>
    <s v="LinkedIn"/>
    <d v="2024-06-22T00:00:00"/>
    <s v="Carousel"/>
    <n v="13479"/>
    <n v="1189"/>
    <n v="695"/>
    <n v="416"/>
    <n v="30229"/>
    <n v="45704"/>
    <s v="Apple Watch Ultra 2 Launch"/>
    <n v="0.33614125678277612"/>
    <x v="0"/>
    <n v="9.1020479607911778E-3"/>
    <n v="34.524330474356731"/>
  </r>
  <r>
    <s v="A174"/>
    <s v="LinkedIn"/>
    <d v="2024-06-22T00:00:00"/>
    <s v="Carousel"/>
    <n v="13479"/>
    <n v="1189"/>
    <n v="695"/>
    <n v="416"/>
    <n v="30229"/>
    <n v="45704"/>
    <s v="Apple Watch Ultra 2 Launch"/>
    <n v="0.33614125678277612"/>
    <x v="1"/>
    <n v="9.1020479607911778E-3"/>
    <n v="34.524330474356731"/>
  </r>
  <r>
    <s v="A175"/>
    <s v="LinkedIn"/>
    <d v="2025-10-08T00:00:00"/>
    <s v="Tweet"/>
    <n v="17745"/>
    <n v="414"/>
    <n v="563"/>
    <n v="2733"/>
    <n v="995"/>
    <n v="231648"/>
    <s v="Apple Event September 2025"/>
    <n v="8.0820900676889074E-2"/>
    <x v="6"/>
    <n v="1.179807293825114E-2"/>
    <n v="9.2618973615140217"/>
  </r>
  <r>
    <s v="A175"/>
    <s v="LinkedIn"/>
    <d v="2025-10-08T00:00:00"/>
    <s v="Tweet"/>
    <n v="17745"/>
    <n v="414"/>
    <n v="563"/>
    <n v="2733"/>
    <n v="995"/>
    <n v="231648"/>
    <s v="Apple Event September 2025"/>
    <n v="8.0820900676889074E-2"/>
    <x v="14"/>
    <n v="1.179807293825114E-2"/>
    <n v="9.2618973615140217"/>
  </r>
  <r>
    <s v="A176"/>
    <s v="Twitter"/>
    <d v="2025-10-09T00:00:00"/>
    <s v="Carousel"/>
    <n v="18748"/>
    <n v="634"/>
    <n v="400"/>
    <n v="1667"/>
    <n v="75813"/>
    <n v="244456"/>
    <s v="Apple Event September 2025"/>
    <n v="8.0922538207284747E-2"/>
    <x v="4"/>
    <n v="6.8192230912720491E-3"/>
    <n v="8.7741761298556789"/>
  </r>
  <r>
    <s v="A176"/>
    <s v="Twitter"/>
    <d v="2025-10-09T00:00:00"/>
    <s v="Carousel"/>
    <n v="18748"/>
    <n v="634"/>
    <n v="400"/>
    <n v="1667"/>
    <n v="75813"/>
    <n v="244456"/>
    <s v="Apple Event September 2025"/>
    <n v="8.0922538207284747E-2"/>
    <x v="5"/>
    <n v="6.8192230912720491E-3"/>
    <n v="8.7741761298556789"/>
  </r>
  <r>
    <s v="A177"/>
    <s v="YouTube"/>
    <d v="2024-07-10T00:00:00"/>
    <s v="Image"/>
    <n v="8809"/>
    <n v="1151"/>
    <n v="908"/>
    <n v="883"/>
    <n v="42921"/>
    <n v="151279"/>
    <s v="MacBook Air M3 Campaign"/>
    <n v="7.1840771025720687E-2"/>
    <x v="15"/>
    <n v="5.8368973882693565E-3"/>
    <n v="7.7677668413990038"/>
  </r>
  <r>
    <s v="A177"/>
    <s v="YouTube"/>
    <d v="2024-07-10T00:00:00"/>
    <s v="Image"/>
    <n v="8809"/>
    <n v="1151"/>
    <n v="908"/>
    <n v="883"/>
    <n v="42921"/>
    <n v="151279"/>
    <s v="MacBook Air M3 Campaign"/>
    <n v="7.1840771025720687E-2"/>
    <x v="8"/>
    <n v="5.8368973882693565E-3"/>
    <n v="7.7677668413990038"/>
  </r>
  <r>
    <s v="A178"/>
    <s v="YouTube"/>
    <d v="2025-10-10T00:00:00"/>
    <s v="Carousel"/>
    <n v="6621"/>
    <n v="922"/>
    <n v="930"/>
    <n v="694"/>
    <n v="839"/>
    <n v="243532"/>
    <s v="Apple Event September 2025"/>
    <n v="3.479214230573395E-2"/>
    <x v="4"/>
    <n v="2.8497281671402527E-3"/>
    <n v="3.7641870472874208"/>
  </r>
  <r>
    <s v="A178"/>
    <s v="YouTube"/>
    <d v="2025-10-10T00:00:00"/>
    <s v="Carousel"/>
    <n v="6621"/>
    <n v="922"/>
    <n v="930"/>
    <n v="694"/>
    <n v="839"/>
    <n v="243532"/>
    <s v="Apple Event September 2025"/>
    <n v="3.479214230573395E-2"/>
    <x v="5"/>
    <n v="2.8497281671402527E-3"/>
    <n v="3.7641870472874208"/>
  </r>
  <r>
    <s v="A179"/>
    <s v="Instagram"/>
    <d v="2024-07-15T00:00:00"/>
    <s v="Image"/>
    <n v="17034"/>
    <n v="231"/>
    <n v="290"/>
    <n v="1387"/>
    <n v="63550"/>
    <n v="198280"/>
    <s v="MacBook Air M3 Campaign"/>
    <n v="8.8536413153116805E-2"/>
    <x v="6"/>
    <n v="6.9951583619124466E-3"/>
    <n v="9.5531571515029245"/>
  </r>
  <r>
    <s v="A179"/>
    <s v="Instagram"/>
    <d v="2024-07-15T00:00:00"/>
    <s v="Image"/>
    <n v="17034"/>
    <n v="231"/>
    <n v="290"/>
    <n v="1387"/>
    <n v="63550"/>
    <n v="198280"/>
    <s v="MacBook Air M3 Campaign"/>
    <n v="8.8536413153116805E-2"/>
    <x v="14"/>
    <n v="6.9951583619124466E-3"/>
    <n v="9.5531571515029245"/>
  </r>
  <r>
    <s v="A180"/>
    <s v="YouTube"/>
    <d v="2025-10-11T00:00:00"/>
    <s v="Carousel"/>
    <n v="15623"/>
    <n v="869"/>
    <n v="423"/>
    <n v="371"/>
    <n v="47579"/>
    <n v="158516"/>
    <s v="Apple Event September 2025"/>
    <n v="0.10670847106916652"/>
    <x v="11"/>
    <n v="2.3404577455903505E-3"/>
    <n v="10.904892881475686"/>
  </r>
  <r>
    <s v="A180"/>
    <s v="YouTube"/>
    <d v="2025-10-11T00:00:00"/>
    <s v="Carousel"/>
    <n v="15623"/>
    <n v="869"/>
    <n v="423"/>
    <n v="371"/>
    <n v="47579"/>
    <n v="158516"/>
    <s v="Apple Event September 2025"/>
    <n v="0.10670847106916652"/>
    <x v="12"/>
    <n v="2.3404577455903505E-3"/>
    <n v="10.904892881475686"/>
  </r>
  <r>
    <s v="A181"/>
    <s v="Instagram"/>
    <d v="2025-10-12T00:00:00"/>
    <s v="Carousel"/>
    <n v="7126"/>
    <n v="484"/>
    <n v="565"/>
    <n v="573"/>
    <n v="7389"/>
    <n v="237096"/>
    <s v="Apple Event September 2025"/>
    <n v="3.4479704423524646E-2"/>
    <x v="11"/>
    <n v="2.416742585281911E-3"/>
    <n v="3.6896447008806557"/>
  </r>
  <r>
    <s v="A181"/>
    <s v="Instagram"/>
    <d v="2025-10-12T00:00:00"/>
    <s v="Carousel"/>
    <n v="7126"/>
    <n v="484"/>
    <n v="565"/>
    <n v="573"/>
    <n v="7389"/>
    <n v="237096"/>
    <s v="Apple Event September 2025"/>
    <n v="3.4479704423524646E-2"/>
    <x v="12"/>
    <n v="2.416742585281911E-3"/>
    <n v="3.6896447008806557"/>
  </r>
  <r>
    <s v="A182"/>
    <s v="YouTube"/>
    <d v="2024-07-31T00:00:00"/>
    <s v="Video"/>
    <n v="7122"/>
    <n v="628"/>
    <n v="757"/>
    <n v="2313"/>
    <n v="50924"/>
    <n v="210954"/>
    <s v="MacBook Air M3 Campaign"/>
    <n v="4.0326327066564277E-2"/>
    <x v="4"/>
    <n v="1.0964475667681106E-2"/>
    <n v="5.1290802734245382"/>
  </r>
  <r>
    <s v="A182"/>
    <s v="YouTube"/>
    <d v="2024-07-31T00:00:00"/>
    <s v="Video"/>
    <n v="7122"/>
    <n v="628"/>
    <n v="757"/>
    <n v="2313"/>
    <n v="50924"/>
    <n v="210954"/>
    <s v="MacBook Air M3 Campaign"/>
    <n v="4.0326327066564277E-2"/>
    <x v="5"/>
    <n v="1.0964475667681106E-2"/>
    <n v="5.1290802734245382"/>
  </r>
  <r>
    <s v="A183"/>
    <s v="Twitter"/>
    <d v="2024-12-17T00:00:00"/>
    <s v="Image"/>
    <n v="20030"/>
    <n v="485"/>
    <n v="888"/>
    <n v="1643"/>
    <n v="4322"/>
    <n v="196995"/>
    <s v="Sustainability Awareness Drive"/>
    <n v="0.10864742759968526"/>
    <x v="11"/>
    <n v="8.3403132059189315E-3"/>
    <n v="11.698774080560421"/>
  </r>
  <r>
    <s v="A183"/>
    <s v="Twitter"/>
    <d v="2024-12-17T00:00:00"/>
    <s v="Image"/>
    <n v="20030"/>
    <n v="485"/>
    <n v="888"/>
    <n v="1643"/>
    <n v="4322"/>
    <n v="196995"/>
    <s v="Sustainability Awareness Drive"/>
    <n v="0.10864742759968526"/>
    <x v="12"/>
    <n v="8.3403132059189315E-3"/>
    <n v="11.698774080560421"/>
  </r>
  <r>
    <s v="A184"/>
    <s v="YouTube"/>
    <d v="2025-10-13T00:00:00"/>
    <s v="Video"/>
    <n v="19302"/>
    <n v="1367"/>
    <n v="188"/>
    <n v="637"/>
    <n v="31404"/>
    <n v="154044"/>
    <s v="Apple Event September 2025"/>
    <n v="0.13539638025499209"/>
    <x v="6"/>
    <n v="4.1351821557477084E-3"/>
    <n v="13.95315624107398"/>
  </r>
  <r>
    <s v="A184"/>
    <s v="YouTube"/>
    <d v="2025-10-13T00:00:00"/>
    <s v="Video"/>
    <n v="19302"/>
    <n v="1367"/>
    <n v="188"/>
    <n v="637"/>
    <n v="31404"/>
    <n v="154044"/>
    <s v="Apple Event September 2025"/>
    <n v="0.13539638025499209"/>
    <x v="14"/>
    <n v="4.1351821557477084E-3"/>
    <n v="13.95315624107398"/>
  </r>
  <r>
    <s v="A185"/>
    <s v="Instagram"/>
    <d v="2025-01-11T00:00:00"/>
    <s v="Image"/>
    <n v="21181"/>
    <n v="1242"/>
    <n v="963"/>
    <n v="1689"/>
    <n v="49329"/>
    <n v="69165"/>
    <s v="Apple Watch Ultra 2 Launch"/>
    <n v="0.33811899081905589"/>
    <x v="2"/>
    <n v="2.4419865538928647E-2"/>
    <n v="36.253885635798454"/>
  </r>
  <r>
    <s v="A185"/>
    <s v="Instagram"/>
    <d v="2025-01-11T00:00:00"/>
    <s v="Image"/>
    <n v="21181"/>
    <n v="1242"/>
    <n v="963"/>
    <n v="1689"/>
    <n v="49329"/>
    <n v="69165"/>
    <s v="Apple Watch Ultra 2 Launch"/>
    <n v="0.33811899081905589"/>
    <x v="3"/>
    <n v="2.4419865538928647E-2"/>
    <n v="36.253885635798454"/>
  </r>
  <r>
    <s v="A186"/>
    <s v="Instagram"/>
    <d v="2024-08-24T00:00:00"/>
    <s v="Video"/>
    <n v="24890"/>
    <n v="217"/>
    <n v="178"/>
    <n v="906"/>
    <n v="54826"/>
    <n v="107203"/>
    <s v="Sustainability Awareness Drive"/>
    <n v="0.23586093672751696"/>
    <x v="4"/>
    <n v="8.45125602828279E-3"/>
    <n v="24.431219275579974"/>
  </r>
  <r>
    <s v="A186"/>
    <s v="Instagram"/>
    <d v="2024-08-24T00:00:00"/>
    <s v="Video"/>
    <n v="24890"/>
    <n v="217"/>
    <n v="178"/>
    <n v="906"/>
    <n v="54826"/>
    <n v="107203"/>
    <s v="Sustainability Awareness Drive"/>
    <n v="0.23586093672751696"/>
    <x v="5"/>
    <n v="8.45125602828279E-3"/>
    <n v="24.431219275579974"/>
  </r>
  <r>
    <s v="A187"/>
    <s v="Twitter"/>
    <d v="2024-12-22T00:00:00"/>
    <s v="Tweet"/>
    <n v="7870"/>
    <n v="968"/>
    <n v="626"/>
    <n v="465"/>
    <n v="27184"/>
    <n v="44114"/>
    <s v="MacBook Air M3 Campaign"/>
    <n v="0.2145350682323072"/>
    <x v="17"/>
    <n v="1.0540871378700639E-2"/>
    <n v="22.507593961100785"/>
  </r>
  <r>
    <s v="A187"/>
    <s v="Twitter"/>
    <d v="2024-12-22T00:00:00"/>
    <s v="Tweet"/>
    <n v="7870"/>
    <n v="968"/>
    <n v="626"/>
    <n v="465"/>
    <n v="27184"/>
    <n v="44114"/>
    <s v="MacBook Air M3 Campaign"/>
    <n v="0.2145350682323072"/>
    <x v="18"/>
    <n v="1.0540871378700639E-2"/>
    <n v="22.507593961100785"/>
  </r>
  <r>
    <s v="A188"/>
    <s v="YouTube"/>
    <d v="2024-06-06T00:00:00"/>
    <s v="Carousel"/>
    <n v="3531"/>
    <n v="789"/>
    <n v="467"/>
    <n v="1867"/>
    <n v="40816"/>
    <n v="236037"/>
    <s v="Sustainability Awareness Drive"/>
    <n v="2.0280718700881641E-2"/>
    <x v="17"/>
    <n v="7.909776857018179E-3"/>
    <n v="2.8190495557899817"/>
  </r>
  <r>
    <s v="A188"/>
    <s v="YouTube"/>
    <d v="2024-06-06T00:00:00"/>
    <s v="Carousel"/>
    <n v="3531"/>
    <n v="789"/>
    <n v="467"/>
    <n v="1867"/>
    <n v="40816"/>
    <n v="236037"/>
    <s v="Sustainability Awareness Drive"/>
    <n v="2.0280718700881641E-2"/>
    <x v="18"/>
    <n v="7.909776857018179E-3"/>
    <n v="2.8190495557899817"/>
  </r>
  <r>
    <s v="A189"/>
    <s v="YouTube"/>
    <d v="2025-03-24T00:00:00"/>
    <s v="Image"/>
    <n v="10172"/>
    <n v="1398"/>
    <n v="394"/>
    <n v="2358"/>
    <n v="59610"/>
    <n v="76321"/>
    <s v="iPhone 16 Launch"/>
    <n v="0.15675895231980713"/>
    <x v="8"/>
    <n v="3.0895821595628987E-2"/>
    <n v="18.765477391543612"/>
  </r>
  <r>
    <s v="A190"/>
    <s v="Twitter"/>
    <d v="2024-10-04T00:00:00"/>
    <s v="Image"/>
    <n v="21729"/>
    <n v="1209"/>
    <n v="897"/>
    <n v="1624"/>
    <n v="38771"/>
    <n v="113297"/>
    <s v="iPhone 16 Launch"/>
    <n v="0.21037626768581694"/>
    <x v="9"/>
    <n v="1.433400707873995E-2"/>
    <n v="22.471027476455689"/>
  </r>
  <r>
    <s v="A190"/>
    <s v="Twitter"/>
    <d v="2024-10-04T00:00:00"/>
    <s v="Image"/>
    <n v="21729"/>
    <n v="1209"/>
    <n v="897"/>
    <n v="1624"/>
    <n v="38771"/>
    <n v="113297"/>
    <s v="iPhone 16 Launch"/>
    <n v="0.21037626768581694"/>
    <x v="10"/>
    <n v="1.433400707873995E-2"/>
    <n v="22.471027476455689"/>
  </r>
  <r>
    <s v="A191"/>
    <s v="YouTube"/>
    <d v="2025-10-14T00:00:00"/>
    <s v="Carousel"/>
    <n v="9673"/>
    <n v="393"/>
    <n v="846"/>
    <n v="1028"/>
    <n v="55556"/>
    <n v="136652"/>
    <s v="Apple Event September 2025"/>
    <n v="7.9852471972601938E-2"/>
    <x v="15"/>
    <n v="7.5227585399408716E-3"/>
    <n v="8.7375230512542821"/>
  </r>
  <r>
    <s v="A191"/>
    <s v="YouTube"/>
    <d v="2025-10-14T00:00:00"/>
    <s v="Carousel"/>
    <n v="9673"/>
    <n v="393"/>
    <n v="846"/>
    <n v="1028"/>
    <n v="55556"/>
    <n v="136652"/>
    <s v="Apple Event September 2025"/>
    <n v="7.9852471972601938E-2"/>
    <x v="8"/>
    <n v="7.5227585399408716E-3"/>
    <n v="8.7375230512542821"/>
  </r>
  <r>
    <s v="A192"/>
    <s v="YouTube"/>
    <d v="2025-10-15T00:00:00"/>
    <s v="Image"/>
    <n v="8882"/>
    <n v="701"/>
    <n v="421"/>
    <n v="2343"/>
    <n v="13588"/>
    <n v="139304"/>
    <s v="Apple Event September 2025"/>
    <n v="7.1814161833113191E-2"/>
    <x v="11"/>
    <n v="1.6819330385344285E-2"/>
    <n v="8.8633492218457484"/>
  </r>
  <r>
    <s v="A192"/>
    <s v="YouTube"/>
    <d v="2025-10-15T00:00:00"/>
    <s v="Image"/>
    <n v="8882"/>
    <n v="701"/>
    <n v="421"/>
    <n v="2343"/>
    <n v="13588"/>
    <n v="139304"/>
    <s v="Apple Event September 2025"/>
    <n v="7.1814161833113191E-2"/>
    <x v="12"/>
    <n v="1.6819330385344285E-2"/>
    <n v="8.8633492218457484"/>
  </r>
  <r>
    <s v="A193"/>
    <s v="Instagram"/>
    <d v="2024-09-11T00:00:00"/>
    <s v="Image"/>
    <n v="3906"/>
    <n v="1187"/>
    <n v="589"/>
    <n v="401"/>
    <n v="52687"/>
    <n v="196498"/>
    <s v="Apple Watch Ultra 2 Launch"/>
    <n v="2.8916324848090057E-2"/>
    <x v="11"/>
    <n v="2.0407332390151552E-3"/>
    <n v="3.0957058087105209"/>
  </r>
  <r>
    <s v="A193"/>
    <s v="Instagram"/>
    <d v="2024-09-11T00:00:00"/>
    <s v="Image"/>
    <n v="3906"/>
    <n v="1187"/>
    <n v="589"/>
    <n v="401"/>
    <n v="52687"/>
    <n v="196498"/>
    <s v="Apple Watch Ultra 2 Launch"/>
    <n v="2.8916324848090057E-2"/>
    <x v="12"/>
    <n v="2.0407332390151552E-3"/>
    <n v="3.0957058087105209"/>
  </r>
  <r>
    <s v="A194"/>
    <s v="YouTube"/>
    <d v="2024-10-02T00:00:00"/>
    <s v="Video"/>
    <n v="5086"/>
    <n v="1336"/>
    <n v="897"/>
    <n v="1715"/>
    <n v="60592"/>
    <n v="57772"/>
    <s v="Sustainability Awareness Drive"/>
    <n v="0.12668766876687668"/>
    <x v="9"/>
    <n v="2.9685660873779687E-2"/>
    <n v="15.637332964065637"/>
  </r>
  <r>
    <s v="A194"/>
    <s v="YouTube"/>
    <d v="2024-10-02T00:00:00"/>
    <s v="Video"/>
    <n v="5086"/>
    <n v="1336"/>
    <n v="897"/>
    <n v="1715"/>
    <n v="60592"/>
    <n v="57772"/>
    <s v="Sustainability Awareness Drive"/>
    <n v="0.12668766876687668"/>
    <x v="10"/>
    <n v="2.9685660873779687E-2"/>
    <n v="15.637332964065637"/>
  </r>
  <r>
    <s v="A195"/>
    <s v="YouTube"/>
    <d v="2024-08-15T00:00:00"/>
    <s v="Image"/>
    <n v="15503"/>
    <n v="313"/>
    <n v="388"/>
    <n v="1078"/>
    <n v="11500"/>
    <n v="143754"/>
    <s v="iPhone 16 Launch"/>
    <n v="0.1127203416948398"/>
    <x v="13"/>
    <n v="7.4989217691333807E-3"/>
    <n v="12.021926346397318"/>
  </r>
  <r>
    <s v="A195"/>
    <s v="YouTube"/>
    <d v="2024-08-15T00:00:00"/>
    <s v="Image"/>
    <n v="15503"/>
    <n v="313"/>
    <n v="388"/>
    <n v="1078"/>
    <n v="11500"/>
    <n v="143754"/>
    <s v="iPhone 16 Launch"/>
    <n v="0.1127203416948398"/>
    <x v="6"/>
    <n v="7.4989217691333807E-3"/>
    <n v="12.021926346397318"/>
  </r>
  <r>
    <s v="A196"/>
    <s v="Twitter"/>
    <d v="2025-09-18T00:00:00"/>
    <s v="Tweet"/>
    <n v="10152"/>
    <n v="1445"/>
    <n v="526"/>
    <n v="513"/>
    <n v="18959"/>
    <n v="43712"/>
    <s v="Apple Event September 2025"/>
    <n v="0.27733803074670571"/>
    <x v="16"/>
    <n v="1.173590775988287E-2"/>
    <n v="28.907393850658856"/>
  </r>
  <r>
    <s v="A197"/>
    <s v="Twitter"/>
    <d v="2024-10-22T00:00:00"/>
    <s v="Tweet"/>
    <n v="7750"/>
    <n v="1146"/>
    <n v="415"/>
    <n v="1411"/>
    <n v="85339"/>
    <n v="172439"/>
    <s v="Sustainability Awareness Drive"/>
    <n v="5.3995905798572247E-2"/>
    <x v="4"/>
    <n v="8.1826037033385715E-3"/>
    <n v="6.2178509501910817"/>
  </r>
  <r>
    <s v="A197"/>
    <s v="Twitter"/>
    <d v="2024-10-22T00:00:00"/>
    <s v="Tweet"/>
    <n v="7750"/>
    <n v="1146"/>
    <n v="415"/>
    <n v="1411"/>
    <n v="85339"/>
    <n v="172439"/>
    <s v="Sustainability Awareness Drive"/>
    <n v="5.3995905798572247E-2"/>
    <x v="5"/>
    <n v="8.1826037033385715E-3"/>
    <n v="6.2178509501910817"/>
  </r>
  <r>
    <s v="A198"/>
    <s v="LinkedIn"/>
    <d v="2025-09-19T00:00:00"/>
    <s v="Carousel"/>
    <n v="14772"/>
    <n v="1030"/>
    <n v="508"/>
    <n v="1876"/>
    <n v="8882"/>
    <n v="155142"/>
    <s v="Apple Event September 2025"/>
    <n v="0.10512949426976577"/>
    <x v="6"/>
    <n v="1.2092147838754173E-2"/>
    <n v="11.722164210851995"/>
  </r>
  <r>
    <s v="A198"/>
    <s v="LinkedIn"/>
    <d v="2025-09-19T00:00:00"/>
    <s v="Carousel"/>
    <n v="14772"/>
    <n v="1030"/>
    <n v="508"/>
    <n v="1876"/>
    <n v="8882"/>
    <n v="155142"/>
    <s v="Apple Event September 2025"/>
    <n v="0.10512949426976577"/>
    <x v="7"/>
    <n v="1.2092147838754173E-2"/>
    <n v="11.722164210851995"/>
  </r>
  <r>
    <s v="A199"/>
    <s v="Instagram"/>
    <d v="2025-09-20T00:00:00"/>
    <s v="Image"/>
    <n v="12267"/>
    <n v="1487"/>
    <n v="489"/>
    <n v="2748"/>
    <n v="34685"/>
    <n v="131736"/>
    <s v="Apple Event September 2025"/>
    <n v="0.1081177506528208"/>
    <x v="11"/>
    <n v="2.0859901621424669E-2"/>
    <n v="12.897765227424546"/>
  </r>
  <r>
    <s v="A199"/>
    <s v="Instagram"/>
    <d v="2025-09-20T00:00:00"/>
    <s v="Image"/>
    <n v="12267"/>
    <n v="1487"/>
    <n v="489"/>
    <n v="2748"/>
    <n v="34685"/>
    <n v="131736"/>
    <s v="Apple Event September 2025"/>
    <n v="0.1081177506528208"/>
    <x v="12"/>
    <n v="2.0859901621424669E-2"/>
    <n v="12.897765227424546"/>
  </r>
  <r>
    <s v="A200"/>
    <s v="YouTube"/>
    <d v="2025-04-07T00:00:00"/>
    <s v="Carousel"/>
    <n v="3062"/>
    <n v="1124"/>
    <n v="538"/>
    <n v="2935"/>
    <n v="69749"/>
    <n v="91924"/>
    <s v="iPhone 16 Launch"/>
    <n v="5.1390278926069365E-2"/>
    <x v="15"/>
    <n v="3.1928549671467736E-2"/>
    <n v="8.3318828597537102"/>
  </r>
  <r>
    <s v="A200"/>
    <s v="YouTube"/>
    <d v="2025-04-07T00:00:00"/>
    <s v="Carousel"/>
    <n v="3062"/>
    <n v="1124"/>
    <n v="538"/>
    <n v="2935"/>
    <n v="69749"/>
    <n v="91924"/>
    <s v="iPhone 16 Launch"/>
    <n v="5.1390278926069365E-2"/>
    <x v="8"/>
    <n v="3.1928549671467736E-2"/>
    <n v="8.3318828597537102"/>
  </r>
  <r>
    <s v="A201"/>
    <s v="YouTube"/>
    <d v="2025-01-15T00:00:00"/>
    <s v="Tweet"/>
    <n v="20360"/>
    <n v="254"/>
    <n v="726"/>
    <n v="1995"/>
    <n v="14280"/>
    <n v="43726"/>
    <s v="iPhone 16 Launch"/>
    <n v="0.48803915290673738"/>
    <x v="8"/>
    <n v="4.5625028587110643E-2"/>
    <n v="53.366418149384799"/>
  </r>
  <r>
    <s v="A202"/>
    <s v="LinkedIn"/>
    <d v="2025-09-21T00:00:00"/>
    <s v="Image"/>
    <n v="19680"/>
    <n v="999"/>
    <n v="838"/>
    <n v="891"/>
    <n v="29576"/>
    <n v="129152"/>
    <s v="Apple Event September 2025"/>
    <n v="0.16660214321110009"/>
    <x v="17"/>
    <n v="6.8988478691774033E-3"/>
    <n v="17.350099108027749"/>
  </r>
  <r>
    <s v="A202"/>
    <s v="LinkedIn"/>
    <d v="2025-09-21T00:00:00"/>
    <s v="Image"/>
    <n v="19680"/>
    <n v="999"/>
    <n v="838"/>
    <n v="891"/>
    <n v="29576"/>
    <n v="129152"/>
    <s v="Apple Event September 2025"/>
    <n v="0.16660214321110009"/>
    <x v="18"/>
    <n v="6.8988478691774033E-3"/>
    <n v="17.350099108027749"/>
  </r>
  <r>
    <s v="A203"/>
    <s v="YouTube"/>
    <d v="2024-11-21T00:00:00"/>
    <s v="Image"/>
    <n v="8229"/>
    <n v="977"/>
    <n v="152"/>
    <n v="1633"/>
    <n v="71447"/>
    <n v="67723"/>
    <s v="MacBook Air M3 Campaign"/>
    <n v="0.13818052950991538"/>
    <x v="11"/>
    <n v="2.41129306144146E-2"/>
    <n v="16.229346012432998"/>
  </r>
  <r>
    <s v="A203"/>
    <s v="YouTube"/>
    <d v="2024-11-21T00:00:00"/>
    <s v="Image"/>
    <n v="8229"/>
    <n v="977"/>
    <n v="152"/>
    <n v="1633"/>
    <n v="71447"/>
    <n v="67723"/>
    <s v="MacBook Air M3 Campaign"/>
    <n v="0.13818052950991538"/>
    <x v="12"/>
    <n v="2.41129306144146E-2"/>
    <n v="16.229346012432998"/>
  </r>
  <r>
    <s v="A204"/>
    <s v="Instagram"/>
    <d v="2025-09-22T00:00:00"/>
    <s v="Carousel"/>
    <n v="18509"/>
    <n v="361"/>
    <n v="578"/>
    <n v="1409"/>
    <n v="10569"/>
    <n v="166969"/>
    <s v="Apple Event September 2025"/>
    <n v="0.11647671124580011"/>
    <x v="8"/>
    <n v="8.4386922123268395E-3"/>
    <n v="12.491540345812695"/>
  </r>
  <r>
    <s v="A205"/>
    <s v="LinkedIn"/>
    <d v="2025-09-23T00:00:00"/>
    <s v="Tweet"/>
    <n v="17147"/>
    <n v="286"/>
    <n v="291"/>
    <n v="2439"/>
    <n v="45631"/>
    <n v="140494"/>
    <s v="Apple Event September 2025"/>
    <n v="0.12615485358805359"/>
    <x v="6"/>
    <n v="1.736017196463906E-2"/>
    <n v="14.351502555269265"/>
  </r>
  <r>
    <s v="A205"/>
    <s v="LinkedIn"/>
    <d v="2025-09-23T00:00:00"/>
    <s v="Tweet"/>
    <n v="17147"/>
    <n v="286"/>
    <n v="291"/>
    <n v="2439"/>
    <n v="45631"/>
    <n v="140494"/>
    <s v="Apple Event September 2025"/>
    <n v="0.12615485358805359"/>
    <x v="14"/>
    <n v="1.736017196463906E-2"/>
    <n v="14.351502555269265"/>
  </r>
  <r>
    <s v="A206"/>
    <s v="Instagram"/>
    <d v="2024-06-24T00:00:00"/>
    <s v="Image"/>
    <n v="6632"/>
    <n v="254"/>
    <n v="525"/>
    <n v="1013"/>
    <n v="13838"/>
    <n v="180180"/>
    <s v="Apple Watch Ultra 2 Launch"/>
    <n v="4.1131091131091133E-2"/>
    <x v="6"/>
    <n v="5.6221556221556224E-3"/>
    <n v="4.6753246753246751"/>
  </r>
  <r>
    <s v="A206"/>
    <s v="Instagram"/>
    <d v="2024-06-24T00:00:00"/>
    <s v="Image"/>
    <n v="6632"/>
    <n v="254"/>
    <n v="525"/>
    <n v="1013"/>
    <n v="13838"/>
    <n v="180180"/>
    <s v="Apple Watch Ultra 2 Launch"/>
    <n v="4.1131091131091133E-2"/>
    <x v="14"/>
    <n v="5.6221556221556224E-3"/>
    <n v="4.6753246753246751"/>
  </r>
  <r>
    <s v="A207"/>
    <s v="LinkedIn"/>
    <d v="2024-12-29T00:00:00"/>
    <s v="Carousel"/>
    <n v="8288"/>
    <n v="1401"/>
    <n v="819"/>
    <n v="1235"/>
    <n v="33446"/>
    <n v="248786"/>
    <s v="Apple Watch Ultra 2 Launch"/>
    <n v="4.2237103373984064E-2"/>
    <x v="16"/>
    <n v="4.9641056972659237E-3"/>
    <n v="4.7201209071249988"/>
  </r>
  <r>
    <s v="A208"/>
    <s v="LinkedIn"/>
    <d v="2024-06-24T00:00:00"/>
    <s v="Tweet"/>
    <n v="5596"/>
    <n v="1231"/>
    <n v="473"/>
    <n v="2251"/>
    <n v="43705"/>
    <n v="75643"/>
    <s v="Apple Watch Ultra 2 Launch"/>
    <n v="9.6505955607260427E-2"/>
    <x v="2"/>
    <n v="2.9758206311225097E-2"/>
    <n v="12.626416191848552"/>
  </r>
  <r>
    <s v="A208"/>
    <s v="LinkedIn"/>
    <d v="2024-06-24T00:00:00"/>
    <s v="Tweet"/>
    <n v="5596"/>
    <n v="1231"/>
    <n v="473"/>
    <n v="2251"/>
    <n v="43705"/>
    <n v="75643"/>
    <s v="Apple Watch Ultra 2 Launch"/>
    <n v="9.6505955607260427E-2"/>
    <x v="3"/>
    <n v="2.9758206311225097E-2"/>
    <n v="12.626416191848552"/>
  </r>
  <r>
    <s v="A209"/>
    <s v="Twitter"/>
    <d v="2025-03-19T00:00:00"/>
    <s v="Carousel"/>
    <n v="13475"/>
    <n v="1032"/>
    <n v="295"/>
    <n v="541"/>
    <n v="43666"/>
    <n v="202396"/>
    <s v="MacBook Air M3 Campaign"/>
    <n v="7.3133856400324118E-2"/>
    <x v="6"/>
    <n v="2.672977726832546E-3"/>
    <n v="7.5806834127156666"/>
  </r>
  <r>
    <s v="A209"/>
    <s v="Twitter"/>
    <d v="2025-03-19T00:00:00"/>
    <s v="Carousel"/>
    <n v="13475"/>
    <n v="1032"/>
    <n v="295"/>
    <n v="541"/>
    <n v="43666"/>
    <n v="202396"/>
    <s v="MacBook Air M3 Campaign"/>
    <n v="7.3133856400324118E-2"/>
    <x v="7"/>
    <n v="2.672977726832546E-3"/>
    <n v="7.5806834127156666"/>
  </r>
  <r>
    <s v="A210"/>
    <s v="Instagram"/>
    <d v="2025-02-19T00:00:00"/>
    <s v="Video"/>
    <n v="8168"/>
    <n v="512"/>
    <n v="442"/>
    <n v="2343"/>
    <n v="2753"/>
    <n v="143896"/>
    <s v="MacBook Air M3 Campaign"/>
    <n v="6.3393006059932172E-2"/>
    <x v="13"/>
    <n v="1.6282592983821648E-2"/>
    <n v="7.9675599043753822"/>
  </r>
  <r>
    <s v="A210"/>
    <s v="Instagram"/>
    <d v="2025-02-19T00:00:00"/>
    <s v="Video"/>
    <n v="8168"/>
    <n v="512"/>
    <n v="442"/>
    <n v="2343"/>
    <n v="2753"/>
    <n v="143896"/>
    <s v="MacBook Air M3 Campaign"/>
    <n v="6.3393006059932172E-2"/>
    <x v="6"/>
    <n v="1.6282592983821648E-2"/>
    <n v="7.9675599043753822"/>
  </r>
  <r>
    <s v="A211"/>
    <s v="YouTube"/>
    <d v="2025-09-24T00:00:00"/>
    <s v="Image"/>
    <n v="11795"/>
    <n v="958"/>
    <n v="814"/>
    <n v="301"/>
    <n v="12564"/>
    <n v="179999"/>
    <s v="Apple Event September 2025"/>
    <n v="7.5372640959116444E-2"/>
    <x v="16"/>
    <n v="1.6722315123972912E-3"/>
    <n v="7.7044872471513735"/>
  </r>
  <r>
    <s v="A212"/>
    <s v="YouTube"/>
    <d v="2025-03-03T00:00:00"/>
    <s v="Video"/>
    <n v="9561"/>
    <n v="642"/>
    <n v="581"/>
    <n v="2572"/>
    <n v="38552"/>
    <n v="133680"/>
    <s v="Apple Watch Ultra 2 Launch"/>
    <n v="8.0670257330939563E-2"/>
    <x v="0"/>
    <n v="1.9239976062238182E-2"/>
    <n v="9.9910233393177741"/>
  </r>
  <r>
    <s v="A212"/>
    <s v="YouTube"/>
    <d v="2025-03-03T00:00:00"/>
    <s v="Video"/>
    <n v="9561"/>
    <n v="642"/>
    <n v="581"/>
    <n v="2572"/>
    <n v="38552"/>
    <n v="133680"/>
    <s v="Apple Watch Ultra 2 Launch"/>
    <n v="8.0670257330939563E-2"/>
    <x v="1"/>
    <n v="1.9239976062238182E-2"/>
    <n v="9.9910233393177741"/>
  </r>
  <r>
    <s v="A213"/>
    <s v="Instagram"/>
    <d v="2025-05-01T00:00:00"/>
    <s v="Tweet"/>
    <n v="10258"/>
    <n v="527"/>
    <n v="854"/>
    <n v="2068"/>
    <n v="45632"/>
    <n v="136546"/>
    <s v="MacBook Air M3 Campaign"/>
    <n v="8.5238674146441498E-2"/>
    <x v="13"/>
    <n v="1.5145079313930837E-2"/>
    <n v="10.038375346037233"/>
  </r>
  <r>
    <s v="A213"/>
    <s v="Instagram"/>
    <d v="2025-05-01T00:00:00"/>
    <s v="Tweet"/>
    <n v="10258"/>
    <n v="527"/>
    <n v="854"/>
    <n v="2068"/>
    <n v="45632"/>
    <n v="136546"/>
    <s v="MacBook Air M3 Campaign"/>
    <n v="8.5238674146441498E-2"/>
    <x v="6"/>
    <n v="1.5145079313930837E-2"/>
    <n v="10.038375346037233"/>
  </r>
  <r>
    <s v="A214"/>
    <s v="YouTube"/>
    <d v="2024-12-23T00:00:00"/>
    <s v="Video"/>
    <n v="18616"/>
    <n v="1277"/>
    <n v="734"/>
    <n v="2249"/>
    <n v="3399"/>
    <n v="193515"/>
    <s v="iPhone 16 Launch"/>
    <n v="0.10659122031883833"/>
    <x v="4"/>
    <n v="1.1621838100405653E-2"/>
    <n v="11.821305841924397"/>
  </r>
  <r>
    <s v="A214"/>
    <s v="YouTube"/>
    <d v="2024-12-23T00:00:00"/>
    <s v="Video"/>
    <n v="18616"/>
    <n v="1277"/>
    <n v="734"/>
    <n v="2249"/>
    <n v="3399"/>
    <n v="193515"/>
    <s v="iPhone 16 Launch"/>
    <n v="0.10659122031883833"/>
    <x v="5"/>
    <n v="1.1621838100405653E-2"/>
    <n v="11.821305841924397"/>
  </r>
  <r>
    <s v="A215"/>
    <s v="YouTube"/>
    <d v="2025-09-25T00:00:00"/>
    <s v="Video"/>
    <n v="8371"/>
    <n v="960"/>
    <n v="548"/>
    <n v="2936"/>
    <n v="82543"/>
    <n v="119973"/>
    <s v="Apple Event September 2025"/>
    <n v="8.2343527293641069E-2"/>
    <x v="15"/>
    <n v="2.4472172905570421E-2"/>
    <n v="10.68157001992115"/>
  </r>
  <r>
    <s v="A215"/>
    <s v="YouTube"/>
    <d v="2025-09-25T00:00:00"/>
    <s v="Video"/>
    <n v="8371"/>
    <n v="960"/>
    <n v="548"/>
    <n v="2936"/>
    <n v="82543"/>
    <n v="119973"/>
    <s v="Apple Event September 2025"/>
    <n v="8.2343527293641069E-2"/>
    <x v="8"/>
    <n v="2.4472172905570421E-2"/>
    <n v="10.68157001992115"/>
  </r>
  <r>
    <s v="A216"/>
    <s v="Instagram"/>
    <d v="2024-07-29T00:00:00"/>
    <s v="Tweet"/>
    <n v="22590"/>
    <n v="1462"/>
    <n v="966"/>
    <n v="2463"/>
    <n v="29689"/>
    <n v="103449"/>
    <s v="Sustainability Awareness Drive"/>
    <n v="0.24183897379385011"/>
    <x v="0"/>
    <n v="2.3808833338166632E-2"/>
    <n v="26.564780713201674"/>
  </r>
  <r>
    <s v="A216"/>
    <s v="Instagram"/>
    <d v="2024-07-29T00:00:00"/>
    <s v="Tweet"/>
    <n v="22590"/>
    <n v="1462"/>
    <n v="966"/>
    <n v="2463"/>
    <n v="29689"/>
    <n v="103449"/>
    <s v="Sustainability Awareness Drive"/>
    <n v="0.24183897379385011"/>
    <x v="1"/>
    <n v="2.3808833338166632E-2"/>
    <n v="26.564780713201674"/>
  </r>
  <r>
    <s v="A217"/>
    <s v="LinkedIn"/>
    <d v="2025-09-26T00:00:00"/>
    <s v="Carousel"/>
    <n v="16369"/>
    <n v="1452"/>
    <n v="493"/>
    <n v="1217"/>
    <n v="91440"/>
    <n v="149834"/>
    <s v="Apple Event September 2025"/>
    <n v="0.12222859965027964"/>
    <x v="0"/>
    <n v="8.1223220363869347E-3"/>
    <n v="13.035092168666656"/>
  </r>
  <r>
    <s v="A217"/>
    <s v="LinkedIn"/>
    <d v="2025-09-26T00:00:00"/>
    <s v="Carousel"/>
    <n v="16369"/>
    <n v="1452"/>
    <n v="493"/>
    <n v="1217"/>
    <n v="91440"/>
    <n v="149834"/>
    <s v="Apple Event September 2025"/>
    <n v="0.12222859965027964"/>
    <x v="1"/>
    <n v="8.1223220363869347E-3"/>
    <n v="13.035092168666656"/>
  </r>
  <r>
    <s v="A218"/>
    <s v="Instagram"/>
    <d v="2024-06-11T00:00:00"/>
    <s v="Video"/>
    <n v="14910"/>
    <n v="778"/>
    <n v="289"/>
    <n v="2541"/>
    <n v="14309"/>
    <n v="247815"/>
    <s v="Sustainability Awareness Drive"/>
    <n v="6.4471480741682297E-2"/>
    <x v="16"/>
    <n v="1.0253616609164094E-2"/>
    <n v="7.4725097350846399"/>
  </r>
  <r>
    <s v="A219"/>
    <s v="LinkedIn"/>
    <d v="2025-01-28T00:00:00"/>
    <s v="Carousel"/>
    <n v="9943"/>
    <n v="1274"/>
    <n v="336"/>
    <n v="389"/>
    <n v="6145"/>
    <n v="231305"/>
    <s v="Apple Watch Ultra 2 Launch"/>
    <n v="4.9947039623008581E-2"/>
    <x v="9"/>
    <n v="1.6817621754825879E-3"/>
    <n v="5.1628801798491173"/>
  </r>
  <r>
    <s v="A219"/>
    <s v="LinkedIn"/>
    <d v="2025-01-28T00:00:00"/>
    <s v="Carousel"/>
    <n v="9943"/>
    <n v="1274"/>
    <n v="336"/>
    <n v="389"/>
    <n v="6145"/>
    <n v="231305"/>
    <s v="Apple Watch Ultra 2 Launch"/>
    <n v="4.9947039623008581E-2"/>
    <x v="10"/>
    <n v="1.6817621754825879E-3"/>
    <n v="5.1628801798491173"/>
  </r>
  <r>
    <s v="A220"/>
    <s v="YouTube"/>
    <d v="2024-06-02T00:00:00"/>
    <s v="Video"/>
    <n v="14199"/>
    <n v="1206"/>
    <n v="954"/>
    <n v="2009"/>
    <n v="8"/>
    <n v="65537"/>
    <s v="Sustainability Awareness Drive"/>
    <n v="0.24961472145505592"/>
    <x v="2"/>
    <n v="3.0654439476936694E-2"/>
    <n v="28.026916093199262"/>
  </r>
  <r>
    <s v="A220"/>
    <s v="YouTube"/>
    <d v="2024-06-02T00:00:00"/>
    <s v="Video"/>
    <n v="14199"/>
    <n v="1206"/>
    <n v="954"/>
    <n v="2009"/>
    <n v="8"/>
    <n v="65537"/>
    <s v="Sustainability Awareness Drive"/>
    <n v="0.24961472145505592"/>
    <x v="3"/>
    <n v="3.0654439476936694E-2"/>
    <n v="28.026916093199262"/>
  </r>
  <r>
    <s v="A221"/>
    <s v="YouTube"/>
    <d v="2025-03-23T00:00:00"/>
    <s v="Carousel"/>
    <n v="17728"/>
    <n v="1487"/>
    <n v="210"/>
    <n v="2469"/>
    <n v="30565"/>
    <n v="117576"/>
    <s v="Apple Watch Ultra 2 Launch"/>
    <n v="0.16521228822208614"/>
    <x v="9"/>
    <n v="2.0999183506838132E-2"/>
    <n v="18.621147172892428"/>
  </r>
  <r>
    <s v="A221"/>
    <s v="YouTube"/>
    <d v="2025-03-23T00:00:00"/>
    <s v="Carousel"/>
    <n v="17728"/>
    <n v="1487"/>
    <n v="210"/>
    <n v="2469"/>
    <n v="30565"/>
    <n v="117576"/>
    <s v="Apple Watch Ultra 2 Launch"/>
    <n v="0.16521228822208614"/>
    <x v="10"/>
    <n v="2.0999183506838132E-2"/>
    <n v="18.621147172892428"/>
  </r>
  <r>
    <s v="A222"/>
    <s v="YouTube"/>
    <d v="2024-10-08T00:00:00"/>
    <s v="Tweet"/>
    <n v="8738"/>
    <n v="295"/>
    <n v="529"/>
    <n v="442"/>
    <n v="25286"/>
    <n v="147522"/>
    <s v="iPhone 16 Launch"/>
    <n v="6.4817450956467515E-2"/>
    <x v="16"/>
    <n v="2.9961632841203345E-3"/>
    <n v="6.7813614240587849"/>
  </r>
  <r>
    <s v="A223"/>
    <s v="Twitter"/>
    <d v="2024-11-12T00:00:00"/>
    <s v="Video"/>
    <n v="17913"/>
    <n v="1311"/>
    <n v="859"/>
    <n v="405"/>
    <n v="59842"/>
    <n v="62612"/>
    <s v="Sustainability Awareness Drive"/>
    <n v="0.32075321024723696"/>
    <x v="4"/>
    <n v="6.4684086117677122E-3"/>
    <n v="32.722161885900469"/>
  </r>
  <r>
    <s v="A223"/>
    <s v="Twitter"/>
    <d v="2024-11-12T00:00:00"/>
    <s v="Video"/>
    <n v="17913"/>
    <n v="1311"/>
    <n v="859"/>
    <n v="405"/>
    <n v="59842"/>
    <n v="62612"/>
    <s v="Sustainability Awareness Drive"/>
    <n v="0.32075321024723696"/>
    <x v="5"/>
    <n v="6.4684086117677122E-3"/>
    <n v="32.722161885900469"/>
  </r>
  <r>
    <s v="A224"/>
    <s v="LinkedIn"/>
    <d v="2025-09-07T00:00:00"/>
    <s v="Tweet"/>
    <n v="4472"/>
    <n v="1301"/>
    <n v="956"/>
    <n v="1186"/>
    <n v="3363"/>
    <n v="46471"/>
    <s v="Apple Event September 2025"/>
    <n v="0.14479998278496267"/>
    <x v="17"/>
    <n v="2.5521292849303868E-2"/>
    <n v="17.032127563426656"/>
  </r>
  <r>
    <s v="A224"/>
    <s v="LinkedIn"/>
    <d v="2025-09-07T00:00:00"/>
    <s v="Tweet"/>
    <n v="4472"/>
    <n v="1301"/>
    <n v="956"/>
    <n v="1186"/>
    <n v="3363"/>
    <n v="46471"/>
    <s v="Apple Event September 2025"/>
    <n v="0.14479998278496267"/>
    <x v="18"/>
    <n v="2.5521292849303868E-2"/>
    <n v="17.032127563426656"/>
  </r>
  <r>
    <s v="A225"/>
    <s v="Twitter"/>
    <d v="2024-06-20T00:00:00"/>
    <s v="Video"/>
    <n v="21123"/>
    <n v="1343"/>
    <n v="589"/>
    <n v="727"/>
    <n v="87833"/>
    <n v="206703"/>
    <s v="Apple Watch Ultra 2 Launch"/>
    <n v="0.11153684271636116"/>
    <x v="11"/>
    <n v="3.5171236024634377E-3"/>
    <n v="11.50539663188246"/>
  </r>
  <r>
    <s v="A225"/>
    <s v="Twitter"/>
    <d v="2024-06-20T00:00:00"/>
    <s v="Video"/>
    <n v="21123"/>
    <n v="1343"/>
    <n v="589"/>
    <n v="727"/>
    <n v="87833"/>
    <n v="206703"/>
    <s v="Apple Watch Ultra 2 Launch"/>
    <n v="0.11153684271636116"/>
    <x v="12"/>
    <n v="3.5171236024634377E-3"/>
    <n v="11.50539663188246"/>
  </r>
  <r>
    <s v="A226"/>
    <s v="Twitter"/>
    <d v="2025-09-08T00:00:00"/>
    <s v="Tweet"/>
    <n v="23785"/>
    <n v="1013"/>
    <n v="468"/>
    <n v="1628"/>
    <n v="8272"/>
    <n v="71348"/>
    <s v="Apple Event September 2025"/>
    <n v="0.35412345125301342"/>
    <x v="11"/>
    <n v="2.2817738408925269E-2"/>
    <n v="37.694118966193869"/>
  </r>
  <r>
    <s v="A226"/>
    <s v="Twitter"/>
    <d v="2025-09-08T00:00:00"/>
    <s v="Tweet"/>
    <n v="23785"/>
    <n v="1013"/>
    <n v="468"/>
    <n v="1628"/>
    <n v="8272"/>
    <n v="71348"/>
    <s v="Apple Event September 2025"/>
    <n v="0.35412345125301342"/>
    <x v="12"/>
    <n v="2.2817738408925269E-2"/>
    <n v="37.694118966193869"/>
  </r>
  <r>
    <s v="A227"/>
    <s v="Instagram"/>
    <d v="2024-06-12T00:00:00"/>
    <s v="Tweet"/>
    <n v="17679"/>
    <n v="690"/>
    <n v="451"/>
    <n v="2195"/>
    <n v="4390"/>
    <n v="235804"/>
    <s v="MacBook Air M3 Campaign"/>
    <n v="7.9812047293514959E-2"/>
    <x v="2"/>
    <n v="9.3085783108004961E-3"/>
    <n v="8.9120625604315453"/>
  </r>
  <r>
    <s v="A227"/>
    <s v="Instagram"/>
    <d v="2024-06-12T00:00:00"/>
    <s v="Tweet"/>
    <n v="17679"/>
    <n v="690"/>
    <n v="451"/>
    <n v="2195"/>
    <n v="4390"/>
    <n v="235804"/>
    <s v="MacBook Air M3 Campaign"/>
    <n v="7.9812047293514959E-2"/>
    <x v="3"/>
    <n v="9.3085783108004961E-3"/>
    <n v="8.9120625604315453"/>
  </r>
  <r>
    <s v="A228"/>
    <s v="Twitter"/>
    <d v="2024-07-01T00:00:00"/>
    <s v="Video"/>
    <n v="3761"/>
    <n v="651"/>
    <n v="493"/>
    <n v="2294"/>
    <n v="71696"/>
    <n v="41177"/>
    <s v="Apple Watch Ultra 2 Launch"/>
    <n v="0.11911989702989532"/>
    <x v="4"/>
    <n v="5.5710712290841978E-2"/>
    <n v="17.48306093207373"/>
  </r>
  <r>
    <s v="A228"/>
    <s v="Twitter"/>
    <d v="2024-07-01T00:00:00"/>
    <s v="Video"/>
    <n v="3761"/>
    <n v="651"/>
    <n v="493"/>
    <n v="2294"/>
    <n v="71696"/>
    <n v="41177"/>
    <s v="Apple Watch Ultra 2 Launch"/>
    <n v="0.11911989702989532"/>
    <x v="5"/>
    <n v="5.5710712290841978E-2"/>
    <n v="17.48306093207373"/>
  </r>
  <r>
    <s v="A229"/>
    <s v="Instagram"/>
    <d v="2024-07-03T00:00:00"/>
    <s v="Video"/>
    <n v="12167"/>
    <n v="364"/>
    <n v="160"/>
    <n v="616"/>
    <n v="42228"/>
    <n v="175832"/>
    <s v="Sustainability Awareness Drive"/>
    <n v="7.2176850630146963E-2"/>
    <x v="2"/>
    <n v="3.503344101187497E-3"/>
    <n v="7.5680194731334458"/>
  </r>
  <r>
    <s v="A229"/>
    <s v="Instagram"/>
    <d v="2024-07-03T00:00:00"/>
    <s v="Video"/>
    <n v="12167"/>
    <n v="364"/>
    <n v="160"/>
    <n v="616"/>
    <n v="42228"/>
    <n v="175832"/>
    <s v="Sustainability Awareness Drive"/>
    <n v="7.2176850630146963E-2"/>
    <x v="3"/>
    <n v="3.503344101187497E-3"/>
    <n v="7.5680194731334458"/>
  </r>
  <r>
    <s v="A230"/>
    <s v="Instagram"/>
    <d v="2024-07-15T00:00:00"/>
    <s v="Video"/>
    <n v="12554"/>
    <n v="381"/>
    <n v="211"/>
    <n v="2286"/>
    <n v="50567"/>
    <n v="72779"/>
    <s v="Apple Watch Ultra 2 Launch"/>
    <n v="0.18062902760411656"/>
    <x v="8"/>
    <n v="3.1410159524038528E-2"/>
    <n v="21.203918712815508"/>
  </r>
  <r>
    <s v="A231"/>
    <s v="Twitter"/>
    <d v="2025-09-09T00:00:00"/>
    <s v="Image"/>
    <n v="19260"/>
    <n v="668"/>
    <n v="994"/>
    <n v="934"/>
    <n v="20509"/>
    <n v="61636"/>
    <s v="Apple Event September 2025"/>
    <n v="0.33944448049841003"/>
    <x v="9"/>
    <n v="1.5153481731455642E-2"/>
    <n v="35.459796222986569"/>
  </r>
  <r>
    <s v="A231"/>
    <s v="Twitter"/>
    <d v="2025-09-09T00:00:00"/>
    <s v="Image"/>
    <n v="19260"/>
    <n v="668"/>
    <n v="994"/>
    <n v="934"/>
    <n v="20509"/>
    <n v="61636"/>
    <s v="Apple Event September 2025"/>
    <n v="0.33944448049841003"/>
    <x v="10"/>
    <n v="1.5153481731455642E-2"/>
    <n v="35.459796222986569"/>
  </r>
  <r>
    <s v="A232"/>
    <s v="LinkedIn"/>
    <d v="2025-04-29T00:00:00"/>
    <s v="Carousel"/>
    <n v="16277"/>
    <n v="1109"/>
    <n v="375"/>
    <n v="2225"/>
    <n v="1044"/>
    <n v="121889"/>
    <s v="iPhone 16 Launch"/>
    <n v="0.14571454356012437"/>
    <x v="11"/>
    <n v="1.8254313350671514E-2"/>
    <n v="16.396885691079589"/>
  </r>
  <r>
    <s v="A232"/>
    <s v="LinkedIn"/>
    <d v="2025-04-29T00:00:00"/>
    <s v="Carousel"/>
    <n v="16277"/>
    <n v="1109"/>
    <n v="375"/>
    <n v="2225"/>
    <n v="1044"/>
    <n v="121889"/>
    <s v="iPhone 16 Launch"/>
    <n v="0.14571454356012437"/>
    <x v="12"/>
    <n v="1.8254313350671514E-2"/>
    <n v="16.396885691079589"/>
  </r>
  <r>
    <s v="A233"/>
    <s v="LinkedIn"/>
    <d v="2025-03-08T00:00:00"/>
    <s v="Image"/>
    <n v="5812"/>
    <n v="934"/>
    <n v="302"/>
    <n v="2356"/>
    <n v="37437"/>
    <n v="93551"/>
    <s v="Apple Watch Ultra 2 Launch"/>
    <n v="7.5338585370546551E-2"/>
    <x v="0"/>
    <n v="2.5184124167566355E-2"/>
    <n v="10.05227095381129"/>
  </r>
  <r>
    <s v="A233"/>
    <s v="LinkedIn"/>
    <d v="2025-03-08T00:00:00"/>
    <s v="Image"/>
    <n v="5812"/>
    <n v="934"/>
    <n v="302"/>
    <n v="2356"/>
    <n v="37437"/>
    <n v="93551"/>
    <s v="Apple Watch Ultra 2 Launch"/>
    <n v="7.5338585370546551E-2"/>
    <x v="1"/>
    <n v="2.5184124167566355E-2"/>
    <n v="10.05227095381129"/>
  </r>
  <r>
    <s v="A234"/>
    <s v="LinkedIn"/>
    <d v="2024-06-01T00:00:00"/>
    <s v="Image"/>
    <n v="19844"/>
    <n v="1022"/>
    <n v="860"/>
    <n v="2570"/>
    <n v="23719"/>
    <n v="182628"/>
    <s v="Sustainability Awareness Drive"/>
    <n v="0.11896313818253498"/>
    <x v="9"/>
    <n v="1.4072321878353812E-2"/>
    <n v="13.303546006088879"/>
  </r>
  <r>
    <s v="A234"/>
    <s v="LinkedIn"/>
    <d v="2024-06-01T00:00:00"/>
    <s v="Image"/>
    <n v="19844"/>
    <n v="1022"/>
    <n v="860"/>
    <n v="2570"/>
    <n v="23719"/>
    <n v="182628"/>
    <s v="Sustainability Awareness Drive"/>
    <n v="0.11896313818253498"/>
    <x v="10"/>
    <n v="1.4072321878353812E-2"/>
    <n v="13.303546006088879"/>
  </r>
  <r>
    <s v="A235"/>
    <s v="LinkedIn"/>
    <d v="2024-12-22T00:00:00"/>
    <s v="Tweet"/>
    <n v="20117"/>
    <n v="1143"/>
    <n v="713"/>
    <n v="1739"/>
    <n v="34444"/>
    <n v="198670"/>
    <s v="MacBook Air M3 Campaign"/>
    <n v="0.11060049328031409"/>
    <x v="6"/>
    <n v="8.7532088387778737E-3"/>
    <n v="11.935370211909197"/>
  </r>
  <r>
    <s v="A235"/>
    <s v="LinkedIn"/>
    <d v="2024-12-22T00:00:00"/>
    <s v="Tweet"/>
    <n v="20117"/>
    <n v="1143"/>
    <n v="713"/>
    <n v="1739"/>
    <n v="34444"/>
    <n v="198670"/>
    <s v="MacBook Air M3 Campaign"/>
    <n v="0.11060049328031409"/>
    <x v="7"/>
    <n v="8.7532088387778737E-3"/>
    <n v="11.935370211909197"/>
  </r>
  <r>
    <s v="A236"/>
    <s v="LinkedIn"/>
    <d v="2024-08-19T00:00:00"/>
    <s v="Video"/>
    <n v="3605"/>
    <n v="206"/>
    <n v="921"/>
    <n v="852"/>
    <n v="11660"/>
    <n v="182635"/>
    <s v="iPhone 16 Launch"/>
    <n v="2.590960111698196E-2"/>
    <x v="15"/>
    <n v="4.6650422974785777E-3"/>
    <n v="3.0574643414460536"/>
  </r>
  <r>
    <s v="A236"/>
    <s v="LinkedIn"/>
    <d v="2024-08-19T00:00:00"/>
    <s v="Video"/>
    <n v="3605"/>
    <n v="206"/>
    <n v="921"/>
    <n v="852"/>
    <n v="11660"/>
    <n v="182635"/>
    <s v="iPhone 16 Launch"/>
    <n v="2.590960111698196E-2"/>
    <x v="8"/>
    <n v="4.6650422974785777E-3"/>
    <n v="3.0574643414460536"/>
  </r>
  <r>
    <s v="A237"/>
    <s v="Twitter"/>
    <d v="2024-10-22T00:00:00"/>
    <s v="Carousel"/>
    <n v="7622"/>
    <n v="529"/>
    <n v="720"/>
    <n v="1015"/>
    <n v="71322"/>
    <n v="86819"/>
    <s v="MacBook Air M3 Campaign"/>
    <n v="0.10217809465669957"/>
    <x v="4"/>
    <n v="1.1690989299577282E-2"/>
    <n v="11.386908395627685"/>
  </r>
  <r>
    <s v="A237"/>
    <s v="Twitter"/>
    <d v="2024-10-22T00:00:00"/>
    <s v="Carousel"/>
    <n v="7622"/>
    <n v="529"/>
    <n v="720"/>
    <n v="1015"/>
    <n v="71322"/>
    <n v="86819"/>
    <s v="MacBook Air M3 Campaign"/>
    <n v="0.10217809465669957"/>
    <x v="5"/>
    <n v="1.1690989299577282E-2"/>
    <n v="11.386908395627685"/>
  </r>
  <r>
    <s v="A238"/>
    <s v="Twitter"/>
    <d v="2024-07-16T00:00:00"/>
    <s v="Tweet"/>
    <n v="8767"/>
    <n v="974"/>
    <n v="733"/>
    <n v="1587"/>
    <n v="74927"/>
    <n v="113770"/>
    <s v="Apple Watch Ultra 2 Launch"/>
    <n v="9.2062933989628198E-2"/>
    <x v="13"/>
    <n v="1.3949195745802936E-2"/>
    <n v="10.601212973543113"/>
  </r>
  <r>
    <s v="A238"/>
    <s v="Twitter"/>
    <d v="2024-07-16T00:00:00"/>
    <s v="Tweet"/>
    <n v="8767"/>
    <n v="974"/>
    <n v="733"/>
    <n v="1587"/>
    <n v="74927"/>
    <n v="113770"/>
    <s v="Apple Watch Ultra 2 Launch"/>
    <n v="9.2062933989628198E-2"/>
    <x v="6"/>
    <n v="1.3949195745802936E-2"/>
    <n v="10.601212973543113"/>
  </r>
  <r>
    <s v="A239"/>
    <s v="YouTube"/>
    <d v="2025-09-10T00:00:00"/>
    <s v="Image"/>
    <n v="13613"/>
    <n v="350"/>
    <n v="809"/>
    <n v="2013"/>
    <n v="20471"/>
    <n v="198038"/>
    <s v="Apple Event September 2025"/>
    <n v="7.4591745018632791E-2"/>
    <x v="2"/>
    <n v="1.0164715862612226E-2"/>
    <n v="8.4756460881245008"/>
  </r>
  <r>
    <s v="A239"/>
    <s v="YouTube"/>
    <d v="2025-09-10T00:00:00"/>
    <s v="Image"/>
    <n v="13613"/>
    <n v="350"/>
    <n v="809"/>
    <n v="2013"/>
    <n v="20471"/>
    <n v="198038"/>
    <s v="Apple Event September 2025"/>
    <n v="7.4591745018632791E-2"/>
    <x v="3"/>
    <n v="1.0164715862612226E-2"/>
    <n v="8.4756460881245008"/>
  </r>
  <r>
    <s v="A240"/>
    <s v="LinkedIn"/>
    <d v="2025-09-11T00:00:00"/>
    <s v="Video"/>
    <n v="21901"/>
    <n v="1308"/>
    <n v="724"/>
    <n v="2183"/>
    <n v="15996"/>
    <n v="230961"/>
    <s v="Apple Event September 2025"/>
    <n v="0.10362355549205277"/>
    <x v="9"/>
    <n v="9.4518122107195585E-3"/>
    <n v="11.307536770277233"/>
  </r>
  <r>
    <s v="A240"/>
    <s v="LinkedIn"/>
    <d v="2025-09-11T00:00:00"/>
    <s v="Video"/>
    <n v="21901"/>
    <n v="1308"/>
    <n v="724"/>
    <n v="2183"/>
    <n v="15996"/>
    <n v="230961"/>
    <s v="Apple Event September 2025"/>
    <n v="0.10362355549205277"/>
    <x v="10"/>
    <n v="9.4518122107195585E-3"/>
    <n v="11.307536770277233"/>
  </r>
  <r>
    <s v="A241"/>
    <s v="Twitter"/>
    <d v="2025-01-18T00:00:00"/>
    <s v="Tweet"/>
    <n v="12589"/>
    <n v="346"/>
    <n v="459"/>
    <n v="1407"/>
    <n v="29254"/>
    <n v="198059"/>
    <s v="Sustainability Awareness Drive"/>
    <n v="6.7626313371268162E-2"/>
    <x v="15"/>
    <n v="7.1039437743298716E-3"/>
    <n v="7.4730257145598031"/>
  </r>
  <r>
    <s v="A241"/>
    <s v="Twitter"/>
    <d v="2025-01-18T00:00:00"/>
    <s v="Tweet"/>
    <n v="12589"/>
    <n v="346"/>
    <n v="459"/>
    <n v="1407"/>
    <n v="29254"/>
    <n v="198059"/>
    <s v="Sustainability Awareness Drive"/>
    <n v="6.7626313371268162E-2"/>
    <x v="8"/>
    <n v="7.1039437743298716E-3"/>
    <n v="7.4730257145598031"/>
  </r>
  <r>
    <s v="A242"/>
    <s v="YouTube"/>
    <d v="2025-09-12T00:00:00"/>
    <s v="Video"/>
    <n v="15918"/>
    <n v="1114"/>
    <n v="392"/>
    <n v="1641"/>
    <n v="28044"/>
    <n v="118714"/>
    <s v="Apple Event September 2025"/>
    <n v="0.14677291642097814"/>
    <x v="9"/>
    <n v="1.3823137961824217E-2"/>
    <n v="16.059605438280236"/>
  </r>
  <r>
    <s v="A242"/>
    <s v="YouTube"/>
    <d v="2025-09-12T00:00:00"/>
    <s v="Video"/>
    <n v="15918"/>
    <n v="1114"/>
    <n v="392"/>
    <n v="1641"/>
    <n v="28044"/>
    <n v="118714"/>
    <s v="Apple Event September 2025"/>
    <n v="0.14677291642097814"/>
    <x v="10"/>
    <n v="1.3823137961824217E-2"/>
    <n v="16.059605438280236"/>
  </r>
  <r>
    <s v="A243"/>
    <s v="LinkedIn"/>
    <d v="2025-03-06T00:00:00"/>
    <s v="Tweet"/>
    <n v="22119"/>
    <n v="899"/>
    <n v="642"/>
    <n v="410"/>
    <n v="49490"/>
    <n v="229420"/>
    <s v="iPhone 16 Launch"/>
    <n v="0.10312963124400662"/>
    <x v="13"/>
    <n v="1.787115334321332E-3"/>
    <n v="10.491674657832794"/>
  </r>
  <r>
    <s v="A243"/>
    <s v="LinkedIn"/>
    <d v="2025-03-06T00:00:00"/>
    <s v="Tweet"/>
    <n v="22119"/>
    <n v="899"/>
    <n v="642"/>
    <n v="410"/>
    <n v="49490"/>
    <n v="229420"/>
    <s v="iPhone 16 Launch"/>
    <n v="0.10312963124400662"/>
    <x v="6"/>
    <n v="1.787115334321332E-3"/>
    <n v="10.491674657832794"/>
  </r>
  <r>
    <s v="A244"/>
    <s v="Instagram"/>
    <d v="2025-09-13T00:00:00"/>
    <s v="Video"/>
    <n v="15046"/>
    <n v="281"/>
    <n v="515"/>
    <n v="550"/>
    <n v="22583"/>
    <n v="64596"/>
    <s v="Apple Event September 2025"/>
    <n v="0.24524738373893121"/>
    <x v="15"/>
    <n v="8.5144590996346515E-3"/>
    <n v="25.376184283856585"/>
  </r>
  <r>
    <s v="A244"/>
    <s v="Instagram"/>
    <d v="2025-09-13T00:00:00"/>
    <s v="Video"/>
    <n v="15046"/>
    <n v="281"/>
    <n v="515"/>
    <n v="550"/>
    <n v="22583"/>
    <n v="64596"/>
    <s v="Apple Event September 2025"/>
    <n v="0.24524738373893121"/>
    <x v="8"/>
    <n v="8.5144590996346515E-3"/>
    <n v="25.376184283856585"/>
  </r>
  <r>
    <s v="A245"/>
    <s v="YouTube"/>
    <d v="2025-01-12T00:00:00"/>
    <s v="Image"/>
    <n v="4590"/>
    <n v="713"/>
    <n v="479"/>
    <n v="2730"/>
    <n v="41050"/>
    <n v="204246"/>
    <s v="Sustainability Awareness Drive"/>
    <n v="2.8308999931455206E-2"/>
    <x v="6"/>
    <n v="1.3366234834464322E-2"/>
    <n v="4.1675234765919527"/>
  </r>
  <r>
    <s v="A245"/>
    <s v="YouTube"/>
    <d v="2025-01-12T00:00:00"/>
    <s v="Image"/>
    <n v="4590"/>
    <n v="713"/>
    <n v="479"/>
    <n v="2730"/>
    <n v="41050"/>
    <n v="204246"/>
    <s v="Sustainability Awareness Drive"/>
    <n v="2.8308999931455206E-2"/>
    <x v="7"/>
    <n v="1.3366234834464322E-2"/>
    <n v="4.1675234765919527"/>
  </r>
  <r>
    <s v="A246"/>
    <s v="Twitter"/>
    <d v="2024-10-11T00:00:00"/>
    <s v="Carousel"/>
    <n v="19447"/>
    <n v="1014"/>
    <n v="256"/>
    <n v="2354"/>
    <n v="5472"/>
    <n v="104106"/>
    <s v="Apple Watch Ultra 2 Launch"/>
    <n v="0.19899909707413599"/>
    <x v="13"/>
    <n v="2.2611568977772653E-2"/>
    <n v="22.161066605190864"/>
  </r>
  <r>
    <s v="A246"/>
    <s v="Twitter"/>
    <d v="2024-10-11T00:00:00"/>
    <s v="Carousel"/>
    <n v="19447"/>
    <n v="1014"/>
    <n v="256"/>
    <n v="2354"/>
    <n v="5472"/>
    <n v="104106"/>
    <s v="Apple Watch Ultra 2 Launch"/>
    <n v="0.19899909707413599"/>
    <x v="6"/>
    <n v="2.2611568977772653E-2"/>
    <n v="22.161066605190864"/>
  </r>
  <r>
    <s v="A247"/>
    <s v="Instagram"/>
    <d v="2024-08-27T00:00:00"/>
    <s v="Image"/>
    <n v="6324"/>
    <n v="908"/>
    <n v="375"/>
    <n v="758"/>
    <n v="34850"/>
    <n v="241039"/>
    <s v="Apple Watch Ultra 2 Launch"/>
    <n v="3.1559208260903839E-2"/>
    <x v="16"/>
    <n v="3.1447193192802826E-3"/>
    <n v="3.470392758018412"/>
  </r>
  <r>
    <s v="A248"/>
    <s v="Instagram"/>
    <d v="2025-09-14T00:00:00"/>
    <s v="Carousel"/>
    <n v="12787"/>
    <n v="945"/>
    <n v="974"/>
    <n v="1407"/>
    <n v="4037"/>
    <n v="99182"/>
    <s v="Apple Event September 2025"/>
    <n v="0.14827287209372669"/>
    <x v="6"/>
    <n v="1.4186041822104818E-2"/>
    <n v="16.24589139158315"/>
  </r>
  <r>
    <s v="A248"/>
    <s v="Instagram"/>
    <d v="2025-09-14T00:00:00"/>
    <s v="Carousel"/>
    <n v="12787"/>
    <n v="945"/>
    <n v="974"/>
    <n v="1407"/>
    <n v="4037"/>
    <n v="99182"/>
    <s v="Apple Event September 2025"/>
    <n v="0.14827287209372669"/>
    <x v="14"/>
    <n v="1.4186041822104818E-2"/>
    <n v="16.24589139158315"/>
  </r>
  <r>
    <s v="A249"/>
    <s v="Instagram"/>
    <d v="2024-07-18T00:00:00"/>
    <s v="Video"/>
    <n v="11111"/>
    <n v="1222"/>
    <n v="367"/>
    <n v="507"/>
    <n v="14129"/>
    <n v="127163"/>
    <s v="MacBook Air M3 Campaign"/>
    <n v="9.9871818060284834E-2"/>
    <x v="16"/>
    <n v="3.9870087997294808E-3"/>
    <n v="10.38588268600143"/>
  </r>
  <r>
    <s v="A250"/>
    <s v="YouTube"/>
    <d v="2024-06-22T00:00:00"/>
    <s v="Tweet"/>
    <n v="7342"/>
    <n v="906"/>
    <n v="902"/>
    <n v="1199"/>
    <n v="68488"/>
    <n v="79310"/>
    <s v="Apple Watch Ultra 2 Launch"/>
    <n v="0.1153700668263775"/>
    <x v="11"/>
    <n v="1.5117891816920944E-2"/>
    <n v="13.048795864329845"/>
  </r>
  <r>
    <s v="A250"/>
    <s v="YouTube"/>
    <d v="2024-06-22T00:00:00"/>
    <s v="Tweet"/>
    <n v="7342"/>
    <n v="906"/>
    <n v="902"/>
    <n v="1199"/>
    <n v="68488"/>
    <n v="79310"/>
    <s v="Apple Watch Ultra 2 Launch"/>
    <n v="0.1153700668263775"/>
    <x v="12"/>
    <n v="1.5117891816920944E-2"/>
    <n v="13.048795864329845"/>
  </r>
  <r>
    <s v="A251"/>
    <s v="Twitter"/>
    <d v="2025-09-15T00:00:00"/>
    <s v="Image"/>
    <n v="18389"/>
    <n v="670"/>
    <n v="655"/>
    <n v="321"/>
    <n v="21869"/>
    <n v="96088"/>
    <s v="Apple Event September 2025"/>
    <n v="0.2051660977437349"/>
    <x v="9"/>
    <n v="3.3406877029389728E-3"/>
    <n v="20.850678544667385"/>
  </r>
  <r>
    <s v="A251"/>
    <s v="Twitter"/>
    <d v="2025-09-15T00:00:00"/>
    <s v="Image"/>
    <n v="18389"/>
    <n v="670"/>
    <n v="655"/>
    <n v="321"/>
    <n v="21869"/>
    <n v="96088"/>
    <s v="Apple Event September 2025"/>
    <n v="0.2051660977437349"/>
    <x v="10"/>
    <n v="3.3406877029389728E-3"/>
    <n v="20.850678544667385"/>
  </r>
  <r>
    <s v="A252"/>
    <s v="Instagram"/>
    <d v="2025-04-28T00:00:00"/>
    <s v="Carousel"/>
    <n v="10659"/>
    <n v="1342"/>
    <n v="408"/>
    <n v="709"/>
    <n v="16309"/>
    <n v="168803"/>
    <s v="Sustainability Awareness Drive"/>
    <n v="7.3511726687321907E-2"/>
    <x v="6"/>
    <n v="4.2001623193900581E-3"/>
    <n v="7.7711889006711967"/>
  </r>
  <r>
    <s v="A252"/>
    <s v="Instagram"/>
    <d v="2025-04-28T00:00:00"/>
    <s v="Carousel"/>
    <n v="10659"/>
    <n v="1342"/>
    <n v="408"/>
    <n v="709"/>
    <n v="16309"/>
    <n v="168803"/>
    <s v="Sustainability Awareness Drive"/>
    <n v="7.3511726687321907E-2"/>
    <x v="14"/>
    <n v="4.2001623193900581E-3"/>
    <n v="7.7711889006711967"/>
  </r>
  <r>
    <s v="A253"/>
    <s v="LinkedIn"/>
    <d v="2025-09-16T00:00:00"/>
    <s v="Image"/>
    <n v="16043"/>
    <n v="595"/>
    <n v="923"/>
    <n v="1194"/>
    <n v="52613"/>
    <n v="179978"/>
    <s v="Apple Event September 2025"/>
    <n v="9.757303670448611E-2"/>
    <x v="16"/>
    <n v="6.6341441731767219E-3"/>
    <n v="10.420718087766282"/>
  </r>
  <r>
    <s v="A254"/>
    <s v="Instagram"/>
    <d v="2025-01-14T00:00:00"/>
    <s v="Carousel"/>
    <n v="24350"/>
    <n v="460"/>
    <n v="666"/>
    <n v="814"/>
    <n v="21120"/>
    <n v="76914"/>
    <s v="Apple Watch Ultra 2 Launch"/>
    <n v="0.33122708479600593"/>
    <x v="6"/>
    <n v="1.0583248823361157E-2"/>
    <n v="34.181033361936706"/>
  </r>
  <r>
    <s v="A254"/>
    <s v="Instagram"/>
    <d v="2025-01-14T00:00:00"/>
    <s v="Carousel"/>
    <n v="24350"/>
    <n v="460"/>
    <n v="666"/>
    <n v="814"/>
    <n v="21120"/>
    <n v="76914"/>
    <s v="Apple Watch Ultra 2 Launch"/>
    <n v="0.33122708479600593"/>
    <x v="14"/>
    <n v="1.0583248823361157E-2"/>
    <n v="34.181033361936706"/>
  </r>
  <r>
    <s v="A255"/>
    <s v="Instagram"/>
    <d v="2025-04-03T00:00:00"/>
    <s v="Image"/>
    <n v="10837"/>
    <n v="1004"/>
    <n v="922"/>
    <n v="1108"/>
    <n v="36807"/>
    <n v="150350"/>
    <s v="Sustainability Awareness Drive"/>
    <n v="8.4888593282341204E-2"/>
    <x v="17"/>
    <n v="7.3694712337878283E-3"/>
    <n v="9.2258064516129021"/>
  </r>
  <r>
    <s v="A255"/>
    <s v="Instagram"/>
    <d v="2025-04-03T00:00:00"/>
    <s v="Image"/>
    <n v="10837"/>
    <n v="1004"/>
    <n v="922"/>
    <n v="1108"/>
    <n v="36807"/>
    <n v="150350"/>
    <s v="Sustainability Awareness Drive"/>
    <n v="8.4888593282341204E-2"/>
    <x v="18"/>
    <n v="7.3694712337878283E-3"/>
    <n v="9.2258064516129021"/>
  </r>
  <r>
    <s v="A256"/>
    <s v="YouTube"/>
    <d v="2025-09-17T00:00:00"/>
    <s v="Carousel"/>
    <n v="2117"/>
    <n v="1133"/>
    <n v="203"/>
    <n v="1173"/>
    <n v="40125"/>
    <n v="85379"/>
    <s v="Apple Event September 2025"/>
    <n v="4.0443200318579509E-2"/>
    <x v="9"/>
    <n v="1.3738741376685133E-2"/>
    <n v="5.4181941695264646"/>
  </r>
  <r>
    <s v="A256"/>
    <s v="YouTube"/>
    <d v="2025-09-17T00:00:00"/>
    <s v="Carousel"/>
    <n v="2117"/>
    <n v="1133"/>
    <n v="203"/>
    <n v="1173"/>
    <n v="40125"/>
    <n v="85379"/>
    <s v="Apple Event September 2025"/>
    <n v="4.0443200318579509E-2"/>
    <x v="10"/>
    <n v="1.3738741376685133E-2"/>
    <n v="5.4181941695264646"/>
  </r>
  <r>
    <s v="A257"/>
    <s v="YouTube"/>
    <d v="2025-04-06T00:00:00"/>
    <s v="Carousel"/>
    <n v="15917"/>
    <n v="1479"/>
    <n v="196"/>
    <n v="313"/>
    <n v="48524"/>
    <n v="249684"/>
    <s v="iPhone 16 Launch"/>
    <n v="7.0457057720959296E-2"/>
    <x v="6"/>
    <n v="1.2535845308469906E-3"/>
    <n v="7.1710642251806291"/>
  </r>
  <r>
    <s v="A257"/>
    <s v="YouTube"/>
    <d v="2025-04-06T00:00:00"/>
    <s v="Carousel"/>
    <n v="15917"/>
    <n v="1479"/>
    <n v="196"/>
    <n v="313"/>
    <n v="48524"/>
    <n v="249684"/>
    <s v="iPhone 16 Launch"/>
    <n v="7.0457057720959296E-2"/>
    <x v="14"/>
    <n v="1.2535845308469906E-3"/>
    <n v="7.1710642251806291"/>
  </r>
  <r>
    <s v="A258"/>
    <s v="Twitter"/>
    <d v="2024-08-05T00:00:00"/>
    <s v="Video"/>
    <n v="20935"/>
    <n v="1104"/>
    <n v="876"/>
    <n v="1270"/>
    <n v="21454"/>
    <n v="208722"/>
    <s v="Sustainability Awareness Drive"/>
    <n v="0.10978718103506099"/>
    <x v="0"/>
    <n v="6.0846484797960924E-3"/>
    <n v="11.587182951485708"/>
  </r>
  <r>
    <s v="A258"/>
    <s v="Twitter"/>
    <d v="2024-08-05T00:00:00"/>
    <s v="Video"/>
    <n v="20935"/>
    <n v="1104"/>
    <n v="876"/>
    <n v="1270"/>
    <n v="21454"/>
    <n v="208722"/>
    <s v="Sustainability Awareness Drive"/>
    <n v="0.10978718103506099"/>
    <x v="1"/>
    <n v="6.0846484797960924E-3"/>
    <n v="11.587182951485708"/>
  </r>
  <r>
    <s v="A259"/>
    <s v="LinkedIn"/>
    <d v="2025-02-10T00:00:00"/>
    <s v="Carousel"/>
    <n v="16309"/>
    <n v="1449"/>
    <n v="838"/>
    <n v="2434"/>
    <n v="2940"/>
    <n v="217953"/>
    <s v="iPhone 16 Launch"/>
    <n v="8.5321147219813445E-2"/>
    <x v="2"/>
    <n v="1.1167545296462999E-2"/>
    <n v="9.6488692516276444"/>
  </r>
  <r>
    <s v="A259"/>
    <s v="LinkedIn"/>
    <d v="2025-02-10T00:00:00"/>
    <s v="Carousel"/>
    <n v="16309"/>
    <n v="1449"/>
    <n v="838"/>
    <n v="2434"/>
    <n v="2940"/>
    <n v="217953"/>
    <s v="iPhone 16 Launch"/>
    <n v="8.5321147219813445E-2"/>
    <x v="3"/>
    <n v="1.1167545296462999E-2"/>
    <n v="9.6488692516276444"/>
  </r>
  <r>
    <s v="A260"/>
    <s v="YouTube"/>
    <d v="2025-02-12T00:00:00"/>
    <s v="Video"/>
    <n v="15234"/>
    <n v="1276"/>
    <n v="670"/>
    <n v="1860"/>
    <n v="60397"/>
    <n v="86413"/>
    <s v="MacBook Air M3 Campaign"/>
    <n v="0.19881267864788862"/>
    <x v="2"/>
    <n v="2.1524539131843587E-2"/>
    <n v="22.03372177797322"/>
  </r>
  <r>
    <s v="A260"/>
    <s v="YouTube"/>
    <d v="2025-02-12T00:00:00"/>
    <s v="Video"/>
    <n v="15234"/>
    <n v="1276"/>
    <n v="670"/>
    <n v="1860"/>
    <n v="60397"/>
    <n v="86413"/>
    <s v="MacBook Air M3 Campaign"/>
    <n v="0.19881267864788862"/>
    <x v="3"/>
    <n v="2.1524539131843587E-2"/>
    <n v="22.03372177797322"/>
  </r>
  <r>
    <s v="A261"/>
    <s v="Instagram"/>
    <d v="2024-10-27T00:00:00"/>
    <s v="Carousel"/>
    <n v="7560"/>
    <n v="1139"/>
    <n v="248"/>
    <n v="1624"/>
    <n v="72237"/>
    <n v="177084"/>
    <s v="Sustainability Awareness Drive"/>
    <n v="5.0524045085947912E-2"/>
    <x v="0"/>
    <n v="9.1707890040884556E-3"/>
    <n v="5.9694834090036366"/>
  </r>
  <r>
    <s v="A261"/>
    <s v="Instagram"/>
    <d v="2024-10-27T00:00:00"/>
    <s v="Carousel"/>
    <n v="7560"/>
    <n v="1139"/>
    <n v="248"/>
    <n v="1624"/>
    <n v="72237"/>
    <n v="177084"/>
    <s v="Sustainability Awareness Drive"/>
    <n v="5.0524045085947912E-2"/>
    <x v="1"/>
    <n v="9.1707890040884556E-3"/>
    <n v="5.9694834090036366"/>
  </r>
  <r>
    <s v="A262"/>
    <s v="Twitter"/>
    <d v="2025-01-18T00:00:00"/>
    <s v="Tweet"/>
    <n v="22673"/>
    <n v="1053"/>
    <n v="169"/>
    <n v="1566"/>
    <n v="9417"/>
    <n v="221187"/>
    <s v="iPhone 16 Launch"/>
    <n v="0.10803076130152314"/>
    <x v="15"/>
    <n v="7.0799820965969972E-3"/>
    <n v="11.511074339812014"/>
  </r>
  <r>
    <s v="A262"/>
    <s v="Twitter"/>
    <d v="2025-01-18T00:00:00"/>
    <s v="Tweet"/>
    <n v="22673"/>
    <n v="1053"/>
    <n v="169"/>
    <n v="1566"/>
    <n v="9417"/>
    <n v="221187"/>
    <s v="iPhone 16 Launch"/>
    <n v="0.10803076130152314"/>
    <x v="8"/>
    <n v="7.0799820965969972E-3"/>
    <n v="11.511074339812014"/>
  </r>
  <r>
    <s v="A263"/>
    <s v="Instagram"/>
    <d v="2024-08-20T00:00:00"/>
    <s v="Tweet"/>
    <n v="2846"/>
    <n v="792"/>
    <n v="902"/>
    <n v="2469"/>
    <n v="12130"/>
    <n v="47151"/>
    <s v="Apple Watch Ultra 2 Launch"/>
    <n v="9.6286399015927546E-2"/>
    <x v="8"/>
    <n v="5.2363682636635489E-2"/>
    <n v="14.865008165256304"/>
  </r>
  <r>
    <s v="A264"/>
    <s v="Instagram"/>
    <d v="2025-01-30T00:00:00"/>
    <s v="Tweet"/>
    <n v="12954"/>
    <n v="913"/>
    <n v="722"/>
    <n v="1049"/>
    <n v="475"/>
    <n v="97716"/>
    <s v="Apple Watch Ultra 2 Launch"/>
    <n v="0.14930001228048631"/>
    <x v="15"/>
    <n v="1.0735191780261165E-2"/>
    <n v="16.003520406074749"/>
  </r>
  <r>
    <s v="A264"/>
    <s v="Instagram"/>
    <d v="2025-01-30T00:00:00"/>
    <s v="Tweet"/>
    <n v="12954"/>
    <n v="913"/>
    <n v="722"/>
    <n v="1049"/>
    <n v="475"/>
    <n v="97716"/>
    <s v="Apple Watch Ultra 2 Launch"/>
    <n v="0.14930001228048631"/>
    <x v="8"/>
    <n v="1.0735191780261165E-2"/>
    <n v="16.003520406074749"/>
  </r>
  <r>
    <s v="A265"/>
    <s v="YouTube"/>
    <d v="2025-02-20T00:00:00"/>
    <s v="Carousel"/>
    <n v="15703"/>
    <n v="1381"/>
    <n v="639"/>
    <n v="984"/>
    <n v="10967"/>
    <n v="133747"/>
    <s v="MacBook Air M3 Campaign"/>
    <n v="0.13251138343289942"/>
    <x v="13"/>
    <n v="7.3571743665278473E-3"/>
    <n v="13.986855779942728"/>
  </r>
  <r>
    <s v="A265"/>
    <s v="YouTube"/>
    <d v="2025-02-20T00:00:00"/>
    <s v="Carousel"/>
    <n v="15703"/>
    <n v="1381"/>
    <n v="639"/>
    <n v="984"/>
    <n v="10967"/>
    <n v="133747"/>
    <s v="MacBook Air M3 Campaign"/>
    <n v="0.13251138343289942"/>
    <x v="6"/>
    <n v="7.3571743665278473E-3"/>
    <n v="13.986855779942728"/>
  </r>
  <r>
    <s v="A266"/>
    <s v="Twitter"/>
    <d v="2024-11-25T00:00:00"/>
    <s v="Video"/>
    <n v="17385"/>
    <n v="831"/>
    <n v="568"/>
    <n v="2227"/>
    <n v="49351"/>
    <n v="207450"/>
    <s v="Sustainability Awareness Drive"/>
    <n v="9.0547119787900698E-2"/>
    <x v="13"/>
    <n v="1.0735116895637503E-2"/>
    <n v="10.128223668353819"/>
  </r>
  <r>
    <s v="A266"/>
    <s v="Twitter"/>
    <d v="2024-11-25T00:00:00"/>
    <s v="Video"/>
    <n v="17385"/>
    <n v="831"/>
    <n v="568"/>
    <n v="2227"/>
    <n v="49351"/>
    <n v="207450"/>
    <s v="Sustainability Awareness Drive"/>
    <n v="9.0547119787900698E-2"/>
    <x v="6"/>
    <n v="1.0735116895637503E-2"/>
    <n v="10.128223668353819"/>
  </r>
  <r>
    <s v="A267"/>
    <s v="LinkedIn"/>
    <d v="2024-10-04T00:00:00"/>
    <s v="Video"/>
    <n v="15746"/>
    <n v="258"/>
    <n v="839"/>
    <n v="2656"/>
    <n v="66614"/>
    <n v="213724"/>
    <s v="Sustainability Awareness Drive"/>
    <n v="7.8807246729426739E-2"/>
    <x v="6"/>
    <n v="1.2427242611966836E-2"/>
    <n v="9.1234489341393576"/>
  </r>
  <r>
    <s v="A267"/>
    <s v="LinkedIn"/>
    <d v="2024-10-04T00:00:00"/>
    <s v="Video"/>
    <n v="15746"/>
    <n v="258"/>
    <n v="839"/>
    <n v="2656"/>
    <n v="66614"/>
    <n v="213724"/>
    <s v="Sustainability Awareness Drive"/>
    <n v="7.8807246729426739E-2"/>
    <x v="14"/>
    <n v="1.2427242611966836E-2"/>
    <n v="9.1234489341393576"/>
  </r>
  <r>
    <s v="A268"/>
    <s v="LinkedIn"/>
    <d v="2025-04-13T00:00:00"/>
    <s v="Carousel"/>
    <n v="24700"/>
    <n v="327"/>
    <n v="999"/>
    <n v="994"/>
    <n v="59400"/>
    <n v="243502"/>
    <s v="Sustainability Awareness Drive"/>
    <n v="0.10688207899729776"/>
    <x v="16"/>
    <n v="4.0821019950554819E-3"/>
    <n v="11.096418099235326"/>
  </r>
  <r>
    <s v="A269"/>
    <s v="YouTube"/>
    <d v="2024-11-05T00:00:00"/>
    <s v="Tweet"/>
    <n v="8469"/>
    <n v="935"/>
    <n v="211"/>
    <n v="2635"/>
    <n v="21890"/>
    <n v="184539"/>
    <s v="MacBook Air M3 Campaign"/>
    <n v="5.2102807536618279E-2"/>
    <x v="16"/>
    <n v="1.4278824530316085E-2"/>
    <n v="6.6381632066934371"/>
  </r>
  <r>
    <s v="A270"/>
    <s v="YouTube"/>
    <d v="2025-01-15T00:00:00"/>
    <s v="Tweet"/>
    <n v="11333"/>
    <n v="920"/>
    <n v="294"/>
    <n v="606"/>
    <n v="59490"/>
    <n v="202082"/>
    <s v="Sustainability Awareness Drive"/>
    <n v="6.2088657079799291E-2"/>
    <x v="2"/>
    <n v="2.9987826723805186E-3"/>
    <n v="6.5087439752179819"/>
  </r>
  <r>
    <s v="A270"/>
    <s v="YouTube"/>
    <d v="2025-01-15T00:00:00"/>
    <s v="Tweet"/>
    <n v="11333"/>
    <n v="920"/>
    <n v="294"/>
    <n v="606"/>
    <n v="59490"/>
    <n v="202082"/>
    <s v="Sustainability Awareness Drive"/>
    <n v="6.2088657079799291E-2"/>
    <x v="3"/>
    <n v="2.9987826723805186E-3"/>
    <n v="6.5087439752179819"/>
  </r>
  <r>
    <s v="A271"/>
    <s v="Twitter"/>
    <d v="2024-10-17T00:00:00"/>
    <s v="Video"/>
    <n v="18608"/>
    <n v="1338"/>
    <n v="365"/>
    <n v="2289"/>
    <n v="20785"/>
    <n v="161999"/>
    <s v="Apple Watch Ultra 2 Launch"/>
    <n v="0.12537731714393299"/>
    <x v="4"/>
    <n v="1.4129716850104014E-2"/>
    <n v="13.9507033994037"/>
  </r>
  <r>
    <s v="A271"/>
    <s v="Twitter"/>
    <d v="2024-10-17T00:00:00"/>
    <s v="Video"/>
    <n v="18608"/>
    <n v="1338"/>
    <n v="365"/>
    <n v="2289"/>
    <n v="20785"/>
    <n v="161999"/>
    <s v="Apple Watch Ultra 2 Launch"/>
    <n v="0.12537731714393299"/>
    <x v="5"/>
    <n v="1.4129716850104014E-2"/>
    <n v="13.9507033994037"/>
  </r>
  <r>
    <s v="A272"/>
    <s v="LinkedIn"/>
    <d v="2025-03-27T00:00:00"/>
    <s v="Tweet"/>
    <n v="14819"/>
    <n v="1432"/>
    <n v="152"/>
    <n v="961"/>
    <n v="39154"/>
    <n v="154793"/>
    <s v="iPhone 16 Launch"/>
    <n v="0.10596732410380315"/>
    <x v="15"/>
    <n v="6.2082910725937222E-3"/>
    <n v="11.217561517639687"/>
  </r>
  <r>
    <s v="A272"/>
    <s v="LinkedIn"/>
    <d v="2025-03-27T00:00:00"/>
    <s v="Tweet"/>
    <n v="14819"/>
    <n v="1432"/>
    <n v="152"/>
    <n v="961"/>
    <n v="39154"/>
    <n v="154793"/>
    <s v="iPhone 16 Launch"/>
    <n v="0.10596732410380315"/>
    <x v="8"/>
    <n v="6.2082910725937222E-3"/>
    <n v="11.217561517639687"/>
  </r>
  <r>
    <s v="A273"/>
    <s v="LinkedIn"/>
    <d v="2024-10-12T00:00:00"/>
    <s v="Image"/>
    <n v="6208"/>
    <n v="725"/>
    <n v="309"/>
    <n v="848"/>
    <n v="39319"/>
    <n v="225763"/>
    <s v="Apple Watch Ultra 2 Launch"/>
    <n v="3.207788698768177E-2"/>
    <x v="17"/>
    <n v="3.7561513622692824E-3"/>
    <n v="3.5834038349951052"/>
  </r>
  <r>
    <s v="A273"/>
    <s v="LinkedIn"/>
    <d v="2024-10-12T00:00:00"/>
    <s v="Image"/>
    <n v="6208"/>
    <n v="725"/>
    <n v="309"/>
    <n v="848"/>
    <n v="39319"/>
    <n v="225763"/>
    <s v="Apple Watch Ultra 2 Launch"/>
    <n v="3.207788698768177E-2"/>
    <x v="18"/>
    <n v="3.7561513622692824E-3"/>
    <n v="3.5834038349951052"/>
  </r>
  <r>
    <s v="A274"/>
    <s v="LinkedIn"/>
    <d v="2025-01-01T00:00:00"/>
    <s v="Video"/>
    <n v="8283"/>
    <n v="720"/>
    <n v="888"/>
    <n v="611"/>
    <n v="52791"/>
    <n v="235229"/>
    <s v="Apple Watch Ultra 2 Launch"/>
    <n v="4.2048386891072105E-2"/>
    <x v="9"/>
    <n v="2.5974688495041002E-3"/>
    <n v="4.4645855740576206"/>
  </r>
  <r>
    <s v="A274"/>
    <s v="LinkedIn"/>
    <d v="2025-01-01T00:00:00"/>
    <s v="Video"/>
    <n v="8283"/>
    <n v="720"/>
    <n v="888"/>
    <n v="611"/>
    <n v="52791"/>
    <n v="235229"/>
    <s v="Apple Watch Ultra 2 Launch"/>
    <n v="4.2048386891072105E-2"/>
    <x v="10"/>
    <n v="2.5974688495041002E-3"/>
    <n v="4.4645855740576206"/>
  </r>
  <r>
    <s v="A275"/>
    <s v="Instagram"/>
    <d v="2024-08-05T00:00:00"/>
    <s v="Tweet"/>
    <n v="4048"/>
    <n v="751"/>
    <n v="930"/>
    <n v="1382"/>
    <n v="16844"/>
    <n v="148177"/>
    <s v="iPhone 16 Launch"/>
    <n v="3.8663220337839206E-2"/>
    <x v="11"/>
    <n v="9.3266836283633758E-3"/>
    <n v="4.7989903966202583"/>
  </r>
  <r>
    <s v="A275"/>
    <s v="Instagram"/>
    <d v="2024-08-05T00:00:00"/>
    <s v="Tweet"/>
    <n v="4048"/>
    <n v="751"/>
    <n v="930"/>
    <n v="1382"/>
    <n v="16844"/>
    <n v="148177"/>
    <s v="iPhone 16 Launch"/>
    <n v="3.8663220337839206E-2"/>
    <x v="12"/>
    <n v="9.3266836283633758E-3"/>
    <n v="4.7989903966202583"/>
  </r>
  <r>
    <s v="A276"/>
    <s v="LinkedIn"/>
    <d v="2024-06-07T00:00:00"/>
    <s v="Video"/>
    <n v="8233"/>
    <n v="436"/>
    <n v="269"/>
    <n v="2037"/>
    <n v="8875"/>
    <n v="52289"/>
    <s v="Apple Watch Ultra 2 Launch"/>
    <n v="0.17093461339861157"/>
    <x v="6"/>
    <n v="3.8956568303084776E-2"/>
    <n v="20.989118170169636"/>
  </r>
  <r>
    <s v="A276"/>
    <s v="LinkedIn"/>
    <d v="2024-06-07T00:00:00"/>
    <s v="Video"/>
    <n v="8233"/>
    <n v="436"/>
    <n v="269"/>
    <n v="2037"/>
    <n v="8875"/>
    <n v="52289"/>
    <s v="Apple Watch Ultra 2 Launch"/>
    <n v="0.17093461339861157"/>
    <x v="7"/>
    <n v="3.8956568303084776E-2"/>
    <n v="20.989118170169636"/>
  </r>
  <r>
    <s v="A277"/>
    <s v="Instagram"/>
    <d v="2025-04-06T00:00:00"/>
    <s v="Image"/>
    <n v="14941"/>
    <n v="1424"/>
    <n v="238"/>
    <n v="1054"/>
    <n v="20516"/>
    <n v="216048"/>
    <s v="MacBook Air M3 Campaign"/>
    <n v="7.6848663260016298E-2"/>
    <x v="16"/>
    <n v="4.8785455084055396E-3"/>
    <n v="8.1727208768421828"/>
  </r>
  <r>
    <s v="A278"/>
    <s v="Twitter"/>
    <d v="2024-11-26T00:00:00"/>
    <s v="Video"/>
    <n v="14607"/>
    <n v="1458"/>
    <n v="478"/>
    <n v="334"/>
    <n v="49257"/>
    <n v="214668"/>
    <s v="iPhone 16 Launch"/>
    <n v="7.7063185942944451E-2"/>
    <x v="9"/>
    <n v="1.5558909571990237E-3"/>
    <n v="7.8619076900143465"/>
  </r>
  <r>
    <s v="A278"/>
    <s v="Twitter"/>
    <d v="2024-11-26T00:00:00"/>
    <s v="Video"/>
    <n v="14607"/>
    <n v="1458"/>
    <n v="478"/>
    <n v="334"/>
    <n v="49257"/>
    <n v="214668"/>
    <s v="iPhone 16 Launch"/>
    <n v="7.7063185942944451E-2"/>
    <x v="10"/>
    <n v="1.5558909571990237E-3"/>
    <n v="7.8619076900143465"/>
  </r>
  <r>
    <s v="A279"/>
    <s v="Instagram"/>
    <d v="2024-09-02T00:00:00"/>
    <s v="Video"/>
    <n v="11765"/>
    <n v="693"/>
    <n v="729"/>
    <n v="744"/>
    <n v="97772"/>
    <n v="194243"/>
    <s v="Apple Watch Ultra 2 Launch"/>
    <n v="6.7889190344053579E-2"/>
    <x v="6"/>
    <n v="3.8302538572818584E-3"/>
    <n v="7.1719444201335438"/>
  </r>
  <r>
    <s v="A279"/>
    <s v="Instagram"/>
    <d v="2024-09-02T00:00:00"/>
    <s v="Video"/>
    <n v="11765"/>
    <n v="693"/>
    <n v="729"/>
    <n v="744"/>
    <n v="97772"/>
    <n v="194243"/>
    <s v="Apple Watch Ultra 2 Launch"/>
    <n v="6.7889190344053579E-2"/>
    <x v="7"/>
    <n v="3.8302538572818584E-3"/>
    <n v="7.1719444201335438"/>
  </r>
  <r>
    <s v="A280"/>
    <s v="Twitter"/>
    <d v="2025-09-18T00:00:00"/>
    <s v="Video"/>
    <n v="3828"/>
    <n v="203"/>
    <n v="506"/>
    <n v="2440"/>
    <n v="63650"/>
    <n v="126365"/>
    <s v="Apple Event September 2025"/>
    <n v="3.5903929094290347E-2"/>
    <x v="9"/>
    <n v="1.9309144145926483E-2"/>
    <n v="5.5213073240216834"/>
  </r>
  <r>
    <s v="A280"/>
    <s v="Twitter"/>
    <d v="2025-09-18T00:00:00"/>
    <s v="Video"/>
    <n v="3828"/>
    <n v="203"/>
    <n v="506"/>
    <n v="2440"/>
    <n v="63650"/>
    <n v="126365"/>
    <s v="Apple Event September 2025"/>
    <n v="3.5903929094290347E-2"/>
    <x v="10"/>
    <n v="1.9309144145926483E-2"/>
    <n v="5.5213073240216834"/>
  </r>
  <r>
    <s v="A281"/>
    <s v="LinkedIn"/>
    <d v="2025-03-22T00:00:00"/>
    <s v="Video"/>
    <n v="3917"/>
    <n v="865"/>
    <n v="759"/>
    <n v="2282"/>
    <n v="56125"/>
    <n v="154014"/>
    <s v="Apple Watch Ultra 2 Launch"/>
    <n v="3.5977248821535704E-2"/>
    <x v="6"/>
    <n v="1.4816834833196983E-2"/>
    <n v="5.0794083654732685"/>
  </r>
  <r>
    <s v="A281"/>
    <s v="LinkedIn"/>
    <d v="2025-03-22T00:00:00"/>
    <s v="Video"/>
    <n v="3917"/>
    <n v="865"/>
    <n v="759"/>
    <n v="2282"/>
    <n v="56125"/>
    <n v="154014"/>
    <s v="Apple Watch Ultra 2 Launch"/>
    <n v="3.5977248821535704E-2"/>
    <x v="14"/>
    <n v="1.4816834833196983E-2"/>
    <n v="5.0794083654732685"/>
  </r>
  <r>
    <s v="A282"/>
    <s v="LinkedIn"/>
    <d v="2024-10-03T00:00:00"/>
    <s v="Image"/>
    <n v="22618"/>
    <n v="641"/>
    <n v="416"/>
    <n v="1530"/>
    <n v="18395"/>
    <n v="215211"/>
    <s v="MacBook Air M3 Campaign"/>
    <n v="0.1100083174187193"/>
    <x v="6"/>
    <n v="7.1093020338179741E-3"/>
    <n v="11.711761945253727"/>
  </r>
  <r>
    <s v="A282"/>
    <s v="LinkedIn"/>
    <d v="2024-10-03T00:00:00"/>
    <s v="Image"/>
    <n v="22618"/>
    <n v="641"/>
    <n v="416"/>
    <n v="1530"/>
    <n v="18395"/>
    <n v="215211"/>
    <s v="MacBook Air M3 Campaign"/>
    <n v="0.1100083174187193"/>
    <x v="7"/>
    <n v="7.1093020338179741E-3"/>
    <n v="11.711761945253727"/>
  </r>
  <r>
    <s v="A283"/>
    <s v="Twitter"/>
    <d v="2025-05-09T00:00:00"/>
    <s v="Carousel"/>
    <n v="8988"/>
    <n v="228"/>
    <n v="766"/>
    <n v="652"/>
    <n v="63789"/>
    <n v="219785"/>
    <s v="Sustainability Awareness Drive"/>
    <n v="4.541711217781013E-2"/>
    <x v="11"/>
    <n v="2.9665354778533569E-3"/>
    <n v="4.8383647655663484"/>
  </r>
  <r>
    <s v="A283"/>
    <s v="Twitter"/>
    <d v="2025-05-09T00:00:00"/>
    <s v="Carousel"/>
    <n v="8988"/>
    <n v="228"/>
    <n v="766"/>
    <n v="652"/>
    <n v="63789"/>
    <n v="219785"/>
    <s v="Sustainability Awareness Drive"/>
    <n v="4.541711217781013E-2"/>
    <x v="12"/>
    <n v="2.9665354778533569E-3"/>
    <n v="4.8383647655663484"/>
  </r>
  <r>
    <s v="A284"/>
    <s v="YouTube"/>
    <d v="2024-09-17T00:00:00"/>
    <s v="Video"/>
    <n v="20410"/>
    <n v="1332"/>
    <n v="472"/>
    <n v="1202"/>
    <n v="9418"/>
    <n v="200806"/>
    <s v="Apple Watch Ultra 2 Launch"/>
    <n v="0.11062418453631864"/>
    <x v="9"/>
    <n v="5.9858769160284053E-3"/>
    <n v="11.661006145234705"/>
  </r>
  <r>
    <s v="A284"/>
    <s v="YouTube"/>
    <d v="2024-09-17T00:00:00"/>
    <s v="Video"/>
    <n v="20410"/>
    <n v="1332"/>
    <n v="472"/>
    <n v="1202"/>
    <n v="9418"/>
    <n v="200806"/>
    <s v="Apple Watch Ultra 2 Launch"/>
    <n v="0.11062418453631864"/>
    <x v="10"/>
    <n v="5.9858769160284053E-3"/>
    <n v="11.661006145234705"/>
  </r>
  <r>
    <s v="A285"/>
    <s v="Twitter"/>
    <d v="2024-07-18T00:00:00"/>
    <s v="Video"/>
    <n v="16594"/>
    <n v="809"/>
    <n v="784"/>
    <n v="1655"/>
    <n v="35505"/>
    <n v="112588"/>
    <s v="Sustainability Awareness Drive"/>
    <n v="0.16153586527871533"/>
    <x v="0"/>
    <n v="1.4699612747362064E-2"/>
    <n v="17.623547802607739"/>
  </r>
  <r>
    <s v="A285"/>
    <s v="Twitter"/>
    <d v="2024-07-18T00:00:00"/>
    <s v="Video"/>
    <n v="16594"/>
    <n v="809"/>
    <n v="784"/>
    <n v="1655"/>
    <n v="35505"/>
    <n v="112588"/>
    <s v="Sustainability Awareness Drive"/>
    <n v="0.16153586527871533"/>
    <x v="1"/>
    <n v="1.4699612747362064E-2"/>
    <n v="17.623547802607739"/>
  </r>
  <r>
    <s v="A286"/>
    <s v="YouTube"/>
    <d v="2025-09-19T00:00:00"/>
    <s v="Tweet"/>
    <n v="22128"/>
    <n v="1004"/>
    <n v="690"/>
    <n v="2048"/>
    <n v="19443"/>
    <n v="103646"/>
    <s v="Apple Event September 2025"/>
    <n v="0.22984003241803833"/>
    <x v="11"/>
    <n v="1.975956621577292E-2"/>
    <n v="24.959959863381126"/>
  </r>
  <r>
    <s v="A286"/>
    <s v="YouTube"/>
    <d v="2025-09-19T00:00:00"/>
    <s v="Tweet"/>
    <n v="22128"/>
    <n v="1004"/>
    <n v="690"/>
    <n v="2048"/>
    <n v="19443"/>
    <n v="103646"/>
    <s v="Apple Event September 2025"/>
    <n v="0.22984003241803833"/>
    <x v="12"/>
    <n v="1.975956621577292E-2"/>
    <n v="24.959959863381126"/>
  </r>
  <r>
    <s v="A287"/>
    <s v="Instagram"/>
    <d v="2024-08-15T00:00:00"/>
    <s v="Video"/>
    <n v="14977"/>
    <n v="274"/>
    <n v="798"/>
    <n v="458"/>
    <n v="6636"/>
    <n v="43654"/>
    <s v="Apple Watch Ultra 2 Launch"/>
    <n v="0.36764099509781462"/>
    <x v="6"/>
    <n v="1.049159298117011E-2"/>
    <n v="37.813258807898471"/>
  </r>
  <r>
    <s v="A287"/>
    <s v="Instagram"/>
    <d v="2024-08-15T00:00:00"/>
    <s v="Video"/>
    <n v="14977"/>
    <n v="274"/>
    <n v="798"/>
    <n v="458"/>
    <n v="6636"/>
    <n v="43654"/>
    <s v="Apple Watch Ultra 2 Launch"/>
    <n v="0.36764099509781462"/>
    <x v="7"/>
    <n v="1.049159298117011E-2"/>
    <n v="37.813258807898471"/>
  </r>
  <r>
    <s v="A288"/>
    <s v="Instagram"/>
    <d v="2025-04-17T00:00:00"/>
    <s v="Tweet"/>
    <n v="2009"/>
    <n v="1037"/>
    <n v="344"/>
    <n v="2277"/>
    <n v="85743"/>
    <n v="58743"/>
    <s v="iPhone 16 Launch"/>
    <n v="5.7709003625963942E-2"/>
    <x v="11"/>
    <n v="3.8762065267351001E-2"/>
    <n v="9.6471068893314946"/>
  </r>
  <r>
    <s v="A288"/>
    <s v="Instagram"/>
    <d v="2025-04-17T00:00:00"/>
    <s v="Tweet"/>
    <n v="2009"/>
    <n v="1037"/>
    <n v="344"/>
    <n v="2277"/>
    <n v="85743"/>
    <n v="58743"/>
    <s v="iPhone 16 Launch"/>
    <n v="5.7709003625963942E-2"/>
    <x v="12"/>
    <n v="3.8762065267351001E-2"/>
    <n v="9.6471068893314946"/>
  </r>
  <r>
    <s v="A289"/>
    <s v="Instagram"/>
    <d v="2024-11-28T00:00:00"/>
    <s v="Carousel"/>
    <n v="18644"/>
    <n v="1369"/>
    <n v="887"/>
    <n v="1256"/>
    <n v="43415"/>
    <n v="88368"/>
    <s v="Sustainability Awareness Drive"/>
    <n v="0.23651095419156257"/>
    <x v="9"/>
    <n v="1.4213289878689118E-2"/>
    <n v="25.072424407025167"/>
  </r>
  <r>
    <s v="A289"/>
    <s v="Instagram"/>
    <d v="2024-11-28T00:00:00"/>
    <s v="Carousel"/>
    <n v="18644"/>
    <n v="1369"/>
    <n v="887"/>
    <n v="1256"/>
    <n v="43415"/>
    <n v="88368"/>
    <s v="Sustainability Awareness Drive"/>
    <n v="0.23651095419156257"/>
    <x v="10"/>
    <n v="1.4213289878689118E-2"/>
    <n v="25.072424407025167"/>
  </r>
  <r>
    <s v="A290"/>
    <s v="LinkedIn"/>
    <d v="2025-09-20T00:00:00"/>
    <s v="Image"/>
    <n v="24422"/>
    <n v="327"/>
    <n v="481"/>
    <n v="2371"/>
    <n v="35340"/>
    <n v="245244"/>
    <s v="Apple Event September 2025"/>
    <n v="0.10287713460879777"/>
    <x v="8"/>
    <n v="9.6679225587578081E-3"/>
    <n v="11.254505716755558"/>
  </r>
  <r>
    <s v="A291"/>
    <s v="Instagram"/>
    <d v="2024-11-06T00:00:00"/>
    <s v="Image"/>
    <n v="11865"/>
    <n v="241"/>
    <n v="319"/>
    <n v="703"/>
    <n v="69596"/>
    <n v="177513"/>
    <s v="iPhone 16 Launch"/>
    <n v="6.999487361489018E-2"/>
    <x v="9"/>
    <n v="3.9602733320939871E-3"/>
    <n v="7.3955146946984174"/>
  </r>
  <r>
    <s v="A291"/>
    <s v="Instagram"/>
    <d v="2024-11-06T00:00:00"/>
    <s v="Image"/>
    <n v="11865"/>
    <n v="241"/>
    <n v="319"/>
    <n v="703"/>
    <n v="69596"/>
    <n v="177513"/>
    <s v="iPhone 16 Launch"/>
    <n v="6.999487361489018E-2"/>
    <x v="10"/>
    <n v="3.9602733320939871E-3"/>
    <n v="7.3955146946984174"/>
  </r>
  <r>
    <s v="A292"/>
    <s v="YouTube"/>
    <d v="2024-11-17T00:00:00"/>
    <s v="Carousel"/>
    <n v="4219"/>
    <n v="240"/>
    <n v="670"/>
    <n v="815"/>
    <n v="11978"/>
    <n v="159735"/>
    <s v="iPhone 16 Launch"/>
    <n v="3.2109431245500357E-2"/>
    <x v="9"/>
    <n v="5.1022005196106049E-3"/>
    <n v="3.7211631765110962"/>
  </r>
  <r>
    <s v="A292"/>
    <s v="YouTube"/>
    <d v="2024-11-17T00:00:00"/>
    <s v="Carousel"/>
    <n v="4219"/>
    <n v="240"/>
    <n v="670"/>
    <n v="815"/>
    <n v="11978"/>
    <n v="159735"/>
    <s v="iPhone 16 Launch"/>
    <n v="3.2109431245500357E-2"/>
    <x v="10"/>
    <n v="5.1022005196106049E-3"/>
    <n v="3.7211631765110962"/>
  </r>
  <r>
    <s v="A293"/>
    <s v="Instagram"/>
    <d v="2025-05-14T00:00:00"/>
    <s v="Image"/>
    <n v="9041"/>
    <n v="1133"/>
    <n v="612"/>
    <n v="1687"/>
    <n v="28102"/>
    <n v="195683"/>
    <s v="iPhone 16 Launch"/>
    <n v="5.5119760020032396E-2"/>
    <x v="6"/>
    <n v="8.6210861444274665E-3"/>
    <n v="6.3740846164459866"/>
  </r>
  <r>
    <s v="A293"/>
    <s v="Instagram"/>
    <d v="2025-05-14T00:00:00"/>
    <s v="Image"/>
    <n v="9041"/>
    <n v="1133"/>
    <n v="612"/>
    <n v="1687"/>
    <n v="28102"/>
    <n v="195683"/>
    <s v="iPhone 16 Launch"/>
    <n v="5.5119760020032396E-2"/>
    <x v="14"/>
    <n v="8.6210861444274665E-3"/>
    <n v="6.3740846164459866"/>
  </r>
  <r>
    <s v="A294"/>
    <s v="Twitter"/>
    <d v="2024-06-19T00:00:00"/>
    <s v="Carousel"/>
    <n v="20444"/>
    <n v="233"/>
    <n v="189"/>
    <n v="2879"/>
    <n v="28185"/>
    <n v="159891"/>
    <s v="iPhone 16 Launch"/>
    <n v="0.13050140408153055"/>
    <x v="15"/>
    <n v="1.8006016598807937E-2"/>
    <n v="14.850742068033847"/>
  </r>
  <r>
    <s v="A294"/>
    <s v="Twitter"/>
    <d v="2024-06-19T00:00:00"/>
    <s v="Carousel"/>
    <n v="20444"/>
    <n v="233"/>
    <n v="189"/>
    <n v="2879"/>
    <n v="28185"/>
    <n v="159891"/>
    <s v="iPhone 16 Launch"/>
    <n v="0.13050140408153055"/>
    <x v="8"/>
    <n v="1.8006016598807937E-2"/>
    <n v="14.850742068033847"/>
  </r>
  <r>
    <s v="A295"/>
    <s v="Twitter"/>
    <d v="2025-05-06T00:00:00"/>
    <s v="Carousel"/>
    <n v="7287"/>
    <n v="1240"/>
    <n v="686"/>
    <n v="1255"/>
    <n v="15403"/>
    <n v="147971"/>
    <s v="Apple Watch Ultra 2 Launch"/>
    <n v="6.2262200025680704E-2"/>
    <x v="0"/>
    <n v="8.48139162403444E-3"/>
    <n v="7.0743591649715141"/>
  </r>
  <r>
    <s v="A295"/>
    <s v="Twitter"/>
    <d v="2025-05-06T00:00:00"/>
    <s v="Carousel"/>
    <n v="7287"/>
    <n v="1240"/>
    <n v="686"/>
    <n v="1255"/>
    <n v="15403"/>
    <n v="147971"/>
    <s v="Apple Watch Ultra 2 Launch"/>
    <n v="6.2262200025680704E-2"/>
    <x v="1"/>
    <n v="8.48139162403444E-3"/>
    <n v="7.0743591649715141"/>
  </r>
  <r>
    <s v="A296"/>
    <s v="LinkedIn"/>
    <d v="2025-02-11T00:00:00"/>
    <s v="Carousel"/>
    <n v="3619"/>
    <n v="1376"/>
    <n v="410"/>
    <n v="2499"/>
    <n v="58146"/>
    <n v="52149"/>
    <s v="Apple Watch Ultra 2 Launch"/>
    <n v="0.10364532397553165"/>
    <x v="17"/>
    <n v="4.7920381982396593E-2"/>
    <n v="15.156570595792823"/>
  </r>
  <r>
    <s v="A296"/>
    <s v="LinkedIn"/>
    <d v="2025-02-11T00:00:00"/>
    <s v="Carousel"/>
    <n v="3619"/>
    <n v="1376"/>
    <n v="410"/>
    <n v="2499"/>
    <n v="58146"/>
    <n v="52149"/>
    <s v="Apple Watch Ultra 2 Launch"/>
    <n v="0.10364532397553165"/>
    <x v="18"/>
    <n v="4.7920381982396593E-2"/>
    <n v="15.156570595792823"/>
  </r>
  <r>
    <s v="A297"/>
    <s v="Twitter"/>
    <d v="2024-12-24T00:00:00"/>
    <s v="Image"/>
    <n v="10512"/>
    <n v="1197"/>
    <n v="544"/>
    <n v="2012"/>
    <n v="10245"/>
    <n v="140102"/>
    <s v="Apple Watch Ultra 2 Launch"/>
    <n v="8.745770938316369E-2"/>
    <x v="16"/>
    <n v="1.4360965582218669E-2"/>
    <n v="10.181867496538235"/>
  </r>
  <r>
    <s v="A298"/>
    <s v="YouTube"/>
    <d v="2025-09-24T00:00:00"/>
    <s v="Tweet"/>
    <n v="3342"/>
    <n v="787"/>
    <n v="375"/>
    <n v="907"/>
    <n v="85823"/>
    <n v="99189"/>
    <s v="Apple Event September 2025"/>
    <n v="4.5408260996683103E-2"/>
    <x v="13"/>
    <n v="9.1441591305487496E-3"/>
    <n v="5.4552420127231853"/>
  </r>
  <r>
    <s v="A298"/>
    <s v="YouTube"/>
    <d v="2025-09-24T00:00:00"/>
    <s v="Tweet"/>
    <n v="3342"/>
    <n v="787"/>
    <n v="375"/>
    <n v="907"/>
    <n v="85823"/>
    <n v="99189"/>
    <s v="Apple Event September 2025"/>
    <n v="4.5408260996683103E-2"/>
    <x v="6"/>
    <n v="9.1441591305487496E-3"/>
    <n v="5.4552420127231853"/>
  </r>
  <r>
    <s v="A299"/>
    <s v="Instagram"/>
    <d v="2025-09-25T00:00:00"/>
    <s v="Carousel"/>
    <n v="12568"/>
    <n v="541"/>
    <n v="273"/>
    <n v="2767"/>
    <n v="22331"/>
    <n v="192747"/>
    <s v="Apple Event September 2025"/>
    <n v="6.9427799135654514E-2"/>
    <x v="15"/>
    <n v="1.4355606053531313E-2"/>
    <n v="8.3783405189185824"/>
  </r>
  <r>
    <s v="A299"/>
    <s v="Instagram"/>
    <d v="2025-09-25T00:00:00"/>
    <s v="Carousel"/>
    <n v="12568"/>
    <n v="541"/>
    <n v="273"/>
    <n v="2767"/>
    <n v="22331"/>
    <n v="192747"/>
    <s v="Apple Event September 2025"/>
    <n v="6.9427799135654514E-2"/>
    <x v="8"/>
    <n v="1.4355606053531313E-2"/>
    <n v="8.3783405189185824"/>
  </r>
  <r>
    <s v="A300"/>
    <s v="LinkedIn"/>
    <d v="2025-09-26T00:00:00"/>
    <s v="Video"/>
    <n v="21216"/>
    <n v="226"/>
    <n v="187"/>
    <n v="1573"/>
    <n v="62688"/>
    <n v="111031"/>
    <s v="Apple Event September 2025"/>
    <n v="0.19480145184678152"/>
    <x v="13"/>
    <n v="1.4167214561698985E-2"/>
    <n v="20.896866640848049"/>
  </r>
  <r>
    <s v="A300"/>
    <s v="LinkedIn"/>
    <d v="2025-09-26T00:00:00"/>
    <s v="Video"/>
    <n v="21216"/>
    <n v="226"/>
    <n v="187"/>
    <n v="1573"/>
    <n v="62688"/>
    <n v="111031"/>
    <s v="Apple Event September 2025"/>
    <n v="0.19480145184678152"/>
    <x v="6"/>
    <n v="1.4167214561698985E-2"/>
    <n v="20.896866640848049"/>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4138"/>
    <n v="361"/>
    <n v="103777"/>
    <n v="56.637790647253247"/>
    <n v="23944"/>
    <n v="3.6395347716738774E-2"/>
    <n v="3777"/>
  </r>
  <r>
    <x v="0"/>
    <x v="1"/>
    <n v="8693"/>
    <n v="1261"/>
    <n v="111209"/>
    <n v="69.475492091467416"/>
    <n v="29873"/>
    <n v="6.6829123542159363E-2"/>
    <n v="7432"/>
  </r>
  <r>
    <x v="0"/>
    <x v="2"/>
    <n v="9264"/>
    <n v="1141"/>
    <n v="119332"/>
    <n v="92.312204605638044"/>
    <n v="50372"/>
    <n v="6.8070592967519189E-2"/>
    <n v="8123"/>
  </r>
  <r>
    <x v="0"/>
    <x v="2"/>
    <n v="8842"/>
    <n v="971"/>
    <n v="127203"/>
    <n v="16.351815601833291"/>
    <n v="33928"/>
    <n v="6.1877471443283573E-2"/>
    <n v="7871"/>
  </r>
  <r>
    <x v="1"/>
    <x v="0"/>
    <n v="7721"/>
    <n v="506"/>
    <n v="134418"/>
    <n v="35.577824398518047"/>
    <n v="25379"/>
    <n v="5.3675846984778827E-2"/>
    <n v="7215"/>
  </r>
  <r>
    <x v="1"/>
    <x v="2"/>
    <n v="8002"/>
    <n v="524"/>
    <n v="141896"/>
    <n v="52.064892597395271"/>
    <n v="46751"/>
    <n v="5.270056943113266E-2"/>
    <n v="7478"/>
  </r>
  <r>
    <x v="1"/>
    <x v="1"/>
    <n v="5225"/>
    <n v="291"/>
    <n v="146830"/>
    <n v="19.551862698358651"/>
    <n v="44546"/>
    <n v="3.3603487025812166E-2"/>
    <n v="4934"/>
  </r>
  <r>
    <x v="1"/>
    <x v="1"/>
    <n v="3978"/>
    <n v="543"/>
    <n v="150265"/>
    <n v="49.159817655475329"/>
    <n v="34286"/>
    <n v="2.2859614680730708E-2"/>
    <n v="3435"/>
  </r>
  <r>
    <x v="2"/>
    <x v="0"/>
    <n v="8373"/>
    <n v="921"/>
    <n v="157717"/>
    <n v="12.2263294381709"/>
    <n v="15110"/>
    <n v="4.7249186834646864E-2"/>
    <n v="7452"/>
  </r>
  <r>
    <x v="2"/>
    <x v="1"/>
    <n v="6907"/>
    <n v="834"/>
    <n v="163790"/>
    <n v="54.158984064961238"/>
    <n v="22087"/>
    <n v="3.7077965687770928E-2"/>
    <n v="6073"/>
  </r>
  <r>
    <x v="2"/>
    <x v="3"/>
    <n v="7097"/>
    <n v="369"/>
    <n v="170518"/>
    <n v="9.2506362964613711"/>
    <n v="33762"/>
    <n v="3.9456245088495059E-2"/>
    <n v="6728"/>
  </r>
  <r>
    <x v="2"/>
    <x v="0"/>
    <n v="6656"/>
    <n v="978"/>
    <n v="176196"/>
    <n v="60.425889350496043"/>
    <n v="27081"/>
    <n v="3.2225476174260484E-2"/>
    <n v="5678"/>
  </r>
  <r>
    <x v="3"/>
    <x v="1"/>
    <n v="9984"/>
    <n v="1330"/>
    <n v="184850"/>
    <n v="57.524479307546663"/>
    <n v="44947"/>
    <n v="4.6816337571003515E-2"/>
    <n v="8654"/>
  </r>
  <r>
    <x v="3"/>
    <x v="0"/>
    <n v="5259"/>
    <n v="374"/>
    <n v="189735"/>
    <n v="14.827522597306769"/>
    <n v="19596"/>
    <n v="2.5746435818378266E-2"/>
    <n v="4885"/>
  </r>
  <r>
    <x v="3"/>
    <x v="2"/>
    <n v="9286"/>
    <n v="633"/>
    <n v="198388"/>
    <n v="5.4343004617214756"/>
    <n v="48019"/>
    <n v="4.3616549388067825E-2"/>
    <n v="8653"/>
  </r>
  <r>
    <x v="3"/>
    <x v="1"/>
    <n v="6901"/>
    <n v="471"/>
    <n v="204818"/>
    <n v="60.827661631301943"/>
    <n v="52003"/>
    <n v="3.1393725160874533E-2"/>
    <n v="6430"/>
  </r>
  <r>
    <x v="4"/>
    <x v="3"/>
    <n v="5917"/>
    <n v="475"/>
    <n v="210260"/>
    <n v="17.894035955483691"/>
    <n v="28313"/>
    <n v="2.5882241034909159E-2"/>
    <n v="5442"/>
  </r>
  <r>
    <x v="4"/>
    <x v="1"/>
    <n v="9429"/>
    <n v="966"/>
    <n v="218723"/>
    <n v="7.6914636320825887"/>
    <n v="57639"/>
    <n v="3.8692775794040866E-2"/>
    <n v="8463"/>
  </r>
  <r>
    <x v="4"/>
    <x v="0"/>
    <n v="3530"/>
    <n v="328"/>
    <n v="221925"/>
    <n v="12.8372197814577"/>
    <n v="11013"/>
    <n v="1.4428297848372199E-2"/>
    <n v="3202"/>
  </r>
  <r>
    <x v="4"/>
    <x v="0"/>
    <n v="2960"/>
    <n v="234"/>
    <n v="224651"/>
    <n v="17.41278694508371"/>
    <n v="59378"/>
    <n v="1.213437732304775E-2"/>
    <n v="2726"/>
  </r>
  <r>
    <x v="5"/>
    <x v="1"/>
    <n v="8045"/>
    <n v="894"/>
    <n v="231802"/>
    <n v="47.634187798207087"/>
    <n v="33705"/>
    <n v="3.084960440375838E-2"/>
    <n v="7151"/>
  </r>
  <r>
    <x v="5"/>
    <x v="3"/>
    <n v="2048"/>
    <n v="130"/>
    <n v="233720"/>
    <n v="39.284614068115687"/>
    <n v="11828"/>
    <n v="8.2064008214958063E-3"/>
    <n v="1918"/>
  </r>
  <r>
    <x v="5"/>
    <x v="3"/>
    <n v="6772"/>
    <n v="536"/>
    <n v="239956"/>
    <n v="9.8205504342462788"/>
    <n v="17909"/>
    <n v="2.5988097817933289E-2"/>
    <n v="6236"/>
  </r>
  <r>
    <x v="5"/>
    <x v="3"/>
    <n v="3529"/>
    <n v="305"/>
    <n v="243180"/>
    <n v="41.606628834608109"/>
    <n v="48356"/>
    <n v="1.3257669216218439E-2"/>
    <n v="3224"/>
  </r>
  <r>
    <x v="6"/>
    <x v="0"/>
    <n v="3964"/>
    <n v="378"/>
    <n v="246766"/>
    <n v="13.6355899921383"/>
    <n v="23109"/>
    <n v="1.453198576789347E-2"/>
    <n v="3586"/>
  </r>
  <r>
    <x v="6"/>
    <x v="1"/>
    <n v="8137"/>
    <n v="1045"/>
    <n v="253858"/>
    <n v="20.47246886054408"/>
    <n v="12023"/>
    <n v="2.7936878097203948E-2"/>
    <n v="7092"/>
  </r>
  <r>
    <x v="6"/>
    <x v="2"/>
    <n v="1963"/>
    <n v="137"/>
    <n v="255684"/>
    <n v="11.2083665774941"/>
    <n v="24537"/>
    <n v="7.1416279469970747E-3"/>
    <n v="1826"/>
  </r>
  <r>
    <x v="6"/>
    <x v="0"/>
    <n v="1536"/>
    <n v="155"/>
    <n v="257065"/>
    <n v="12.15762550327738"/>
    <n v="36661"/>
    <n v="5.3721821329235798E-3"/>
    <n v="1381"/>
  </r>
  <r>
    <x v="7"/>
    <x v="3"/>
    <n v="8340"/>
    <n v="911"/>
    <n v="264494"/>
    <n v="37.302925586213682"/>
    <n v="48659"/>
    <n v="2.8087593669421613E-2"/>
    <n v="7429"/>
  </r>
  <r>
    <x v="7"/>
    <x v="1"/>
    <n v="8179"/>
    <n v="446"/>
    <n v="272227"/>
    <n v="41.82171496581897"/>
    <n v="43848"/>
    <n v="2.8406440213498294E-2"/>
    <n v="7733"/>
  </r>
  <r>
    <x v="7"/>
    <x v="3"/>
    <n v="8967"/>
    <n v="993"/>
    <n v="280201"/>
    <n v="52.792102811910027"/>
    <n v="47804"/>
    <n v="2.8458142547671136E-2"/>
    <n v="7974"/>
  </r>
  <r>
    <x v="7"/>
    <x v="2"/>
    <n v="9734"/>
    <n v="652"/>
    <n v="289283"/>
    <n v="49.647922622483861"/>
    <n v="25379"/>
    <n v="3.1394862470314533E-2"/>
    <n v="9082"/>
  </r>
  <r>
    <x v="8"/>
    <x v="3"/>
    <n v="1845"/>
    <n v="104"/>
    <n v="291024"/>
    <n v="28.158158777282971"/>
    <n v="37766"/>
    <n v="5.9823244818296775E-3"/>
    <n v="1741"/>
  </r>
  <r>
    <x v="8"/>
    <x v="3"/>
    <n v="6777"/>
    <n v="981"/>
    <n v="296820"/>
    <n v="23.920557913887201"/>
    <n v="53590"/>
    <n v="1.952698605215282E-2"/>
    <n v="5796"/>
  </r>
  <r>
    <x v="8"/>
    <x v="2"/>
    <n v="4036"/>
    <n v="591"/>
    <n v="300265"/>
    <n v="44.219272975538267"/>
    <n v="12563"/>
    <n v="1.1473198674504187E-2"/>
    <n v="3445"/>
  </r>
  <r>
    <x v="8"/>
    <x v="1"/>
    <n v="6947"/>
    <n v="908"/>
    <n v="306304"/>
    <n v="14.117673944839121"/>
    <n v="46060"/>
    <n v="1.9715707271207691E-2"/>
    <n v="6039"/>
  </r>
  <r>
    <x v="9"/>
    <x v="0"/>
    <n v="3494"/>
    <n v="281"/>
    <n v="309517"/>
    <n v="27.765518533715429"/>
    <n v="39197"/>
    <n v="1.0380689913639638E-2"/>
    <n v="3213"/>
  </r>
  <r>
    <x v="9"/>
    <x v="1"/>
    <n v="3719"/>
    <n v="222"/>
    <n v="313014"/>
    <n v="21.669318305251519"/>
    <n v="13586"/>
    <n v="1.1172024254506188E-2"/>
    <n v="3497"/>
  </r>
  <r>
    <x v="9"/>
    <x v="2"/>
    <n v="2884"/>
    <n v="341"/>
    <n v="315557"/>
    <n v="46.999749649033298"/>
    <n v="26087"/>
    <n v="8.058765928184131E-3"/>
    <n v="2543"/>
  </r>
  <r>
    <x v="9"/>
    <x v="3"/>
    <n v="5349"/>
    <n v="502"/>
    <n v="320404"/>
    <n v="5.2152906954969351"/>
    <n v="58868"/>
    <n v="1.5127776182569505E-2"/>
    <n v="4847"/>
  </r>
  <r>
    <x v="10"/>
    <x v="1"/>
    <n v="6179"/>
    <n v="384"/>
    <n v="326199"/>
    <n v="14.71218489327067"/>
    <n v="33225"/>
    <n v="1.7765229200580015E-2"/>
    <n v="5795"/>
  </r>
  <r>
    <x v="10"/>
    <x v="0"/>
    <n v="7610"/>
    <n v="757"/>
    <n v="333052"/>
    <n v="44.450416151231643"/>
    <n v="39750"/>
    <n v="2.0576366453286574E-2"/>
    <n v="6853"/>
  </r>
  <r>
    <x v="10"/>
    <x v="2"/>
    <n v="7430"/>
    <n v="397"/>
    <n v="340085"/>
    <n v="28.065042562888689"/>
    <n v="16643"/>
    <n v="2.0680124086625402E-2"/>
    <n v="7033"/>
  </r>
  <r>
    <x v="10"/>
    <x v="1"/>
    <n v="8154"/>
    <n v="1149"/>
    <n v="347090"/>
    <n v="26.003918292085629"/>
    <n v="37523"/>
    <n v="2.0182085338096747E-2"/>
    <n v="7005"/>
  </r>
  <r>
    <x v="11"/>
    <x v="0"/>
    <n v="7488"/>
    <n v="568"/>
    <n v="354010"/>
    <n v="13.47730290104799"/>
    <n v="46727"/>
    <n v="1.9547470410440384E-2"/>
    <n v="6920"/>
  </r>
  <r>
    <x v="11"/>
    <x v="2"/>
    <n v="5737"/>
    <n v="666"/>
    <n v="359081"/>
    <n v="4.6034181702735593"/>
    <n v="21005"/>
    <n v="1.4122161852061233E-2"/>
    <n v="5071"/>
  </r>
  <r>
    <x v="11"/>
    <x v="0"/>
    <n v="7525"/>
    <n v="610"/>
    <n v="365996"/>
    <n v="5.7694619613329108"/>
    <n v="53543"/>
    <n v="1.8893649110919244E-2"/>
    <n v="6915"/>
  </r>
  <r>
    <x v="11"/>
    <x v="2"/>
    <n v="4850"/>
    <n v="494"/>
    <n v="370352"/>
    <n v="20.46539508359615"/>
    <n v="10161"/>
    <n v="1.176178338445587E-2"/>
    <n v="4356"/>
  </r>
  <r>
    <x v="12"/>
    <x v="3"/>
    <n v="1689"/>
    <n v="176"/>
    <n v="371865"/>
    <n v="38.012181840183942"/>
    <n v="26029"/>
    <n v="4.068680838476329E-3"/>
    <n v="1513"/>
  </r>
  <r>
    <x v="12"/>
    <x v="1"/>
    <n v="6175"/>
    <n v="422"/>
    <n v="377618"/>
    <n v="37.86101298137271"/>
    <n v="59745"/>
    <n v="1.523497290913039E-2"/>
    <n v="5753"/>
  </r>
  <r>
    <x v="12"/>
    <x v="0"/>
    <n v="9648"/>
    <n v="1417"/>
    <n v="385849"/>
    <n v="3.6633501706626168"/>
    <n v="24226"/>
    <n v="2.1332179168534842E-2"/>
    <n v="8231"/>
  </r>
  <r>
    <x v="12"/>
    <x v="2"/>
    <n v="6078"/>
    <n v="775"/>
    <n v="391152"/>
    <n v="37.760512537325639"/>
    <n v="38731"/>
    <n v="1.3557389454738823E-2"/>
    <n v="5303"/>
  </r>
  <r>
    <x v="13"/>
    <x v="0"/>
    <n v="6448"/>
    <n v="928"/>
    <n v="396672"/>
    <n v="30.118586640851881"/>
    <n v="53922"/>
    <n v="1.3915779283639884E-2"/>
    <n v="5520"/>
  </r>
  <r>
    <x v="13"/>
    <x v="0"/>
    <n v="2179"/>
    <n v="303"/>
    <n v="398548"/>
    <n v="33.909842729106657"/>
    <n v="54848"/>
    <n v="4.7070867248110645E-3"/>
    <n v="1876"/>
  </r>
  <r>
    <x v="13"/>
    <x v="1"/>
    <n v="7406"/>
    <n v="813"/>
    <n v="405141"/>
    <n v="24.457411123534769"/>
    <n v="13390"/>
    <n v="1.6273346810122897E-2"/>
    <n v="6593"/>
  </r>
  <r>
    <x v="13"/>
    <x v="3"/>
    <n v="9591"/>
    <n v="1363"/>
    <n v="413369"/>
    <n v="10.494255737609739"/>
    <n v="15997"/>
    <n v="1.9904734026983156E-2"/>
    <n v="8228"/>
  </r>
  <r>
    <x v="14"/>
    <x v="0"/>
    <n v="7907"/>
    <n v="465"/>
    <n v="420811"/>
    <n v="33.257448118038738"/>
    <n v="22693"/>
    <n v="1.76848989213685E-2"/>
    <n v="7442"/>
  </r>
  <r>
    <x v="14"/>
    <x v="2"/>
    <n v="9800"/>
    <n v="682"/>
    <n v="429929"/>
    <n v="6.2966210699906267"/>
    <n v="59815"/>
    <n v="2.1208152974095722E-2"/>
    <n v="9118"/>
  </r>
  <r>
    <x v="14"/>
    <x v="2"/>
    <n v="2638"/>
    <n v="143"/>
    <n v="432424"/>
    <n v="6.9547481175882924"/>
    <n v="52092"/>
    <n v="5.7698000111002165E-3"/>
    <n v="2495"/>
  </r>
  <r>
    <x v="14"/>
    <x v="3"/>
    <n v="6671"/>
    <n v="550"/>
    <n v="438545"/>
    <n v="17.750287883797562"/>
    <n v="10541"/>
    <n v="1.3957518612685129E-2"/>
    <n v="6121"/>
  </r>
  <r>
    <x v="15"/>
    <x v="2"/>
    <n v="7928"/>
    <n v="704"/>
    <n v="445769"/>
    <n v="11.194362999670229"/>
    <n v="31817"/>
    <n v="1.6205702953772022E-2"/>
    <n v="7224"/>
  </r>
  <r>
    <x v="15"/>
    <x v="3"/>
    <n v="2382"/>
    <n v="183"/>
    <n v="447968"/>
    <n v="4.7335970426459033"/>
    <n v="47861"/>
    <n v="4.9088327737695546E-3"/>
    <n v="2199"/>
  </r>
  <r>
    <x v="15"/>
    <x v="2"/>
    <n v="2403"/>
    <n v="319"/>
    <n v="450052"/>
    <n v="29.92120910472568"/>
    <n v="23428"/>
    <n v="4.6305760223263092E-3"/>
    <n v="2084"/>
  </r>
  <r>
    <x v="15"/>
    <x v="1"/>
    <n v="4292"/>
    <n v="367"/>
    <n v="453977"/>
    <n v="3.5037017293827661"/>
    <n v="53934"/>
    <n v="8.6458124530537899E-3"/>
    <n v="3925"/>
  </r>
  <r>
    <x v="16"/>
    <x v="0"/>
    <n v="1419"/>
    <n v="110"/>
    <n v="455286"/>
    <n v="31.554451487636339"/>
    <n v="58831"/>
    <n v="2.8751158612388694E-3"/>
    <n v="1309"/>
  </r>
  <r>
    <x v="16"/>
    <x v="1"/>
    <n v="5517"/>
    <n v="575"/>
    <n v="460228"/>
    <n v="29.45844233727631"/>
    <n v="20258"/>
    <n v="1.07381558705685E-2"/>
    <n v="4942"/>
  </r>
  <r>
    <x v="16"/>
    <x v="0"/>
    <n v="4302"/>
    <n v="275"/>
    <n v="464255"/>
    <n v="15.72131694865968"/>
    <n v="26044"/>
    <n v="8.6741122874282456E-3"/>
    <n v="4027"/>
  </r>
  <r>
    <x v="16"/>
    <x v="0"/>
    <n v="8857"/>
    <n v="1153"/>
    <n v="471959"/>
    <n v="19.214592793018038"/>
    <n v="39411"/>
    <n v="1.6323451825264481E-2"/>
    <n v="7704"/>
  </r>
  <r>
    <x v="17"/>
    <x v="0"/>
    <n v="8870"/>
    <n v="509"/>
    <n v="480320"/>
    <n v="25.077864756828781"/>
    <n v="15469"/>
    <n v="1.7407145236508995E-2"/>
    <n v="8361"/>
  </r>
  <r>
    <x v="17"/>
    <x v="1"/>
    <n v="6693"/>
    <n v="995"/>
    <n v="486018"/>
    <n v="23.761877132122681"/>
    <n v="38854"/>
    <n v="1.1723845618886543E-2"/>
    <n v="5698"/>
  </r>
  <r>
    <x v="17"/>
    <x v="0"/>
    <n v="1767"/>
    <n v="224"/>
    <n v="487561"/>
    <n v="13.208603641390511"/>
    <n v="16256"/>
    <n v="3.1647322078673231E-3"/>
    <n v="1543"/>
  </r>
  <r>
    <x v="17"/>
    <x v="1"/>
    <n v="3044"/>
    <n v="212"/>
    <n v="490393"/>
    <n v="8.5343795690395261"/>
    <n v="20720"/>
    <n v="5.7749600830354431E-3"/>
    <n v="2832"/>
  </r>
  <r>
    <x v="18"/>
    <x v="3"/>
    <n v="2549"/>
    <n v="128"/>
    <n v="492814"/>
    <n v="12.734216154573531"/>
    <n v="43937"/>
    <n v="4.9126039438814641E-3"/>
    <n v="2421"/>
  </r>
  <r>
    <x v="18"/>
    <x v="2"/>
    <n v="7140"/>
    <n v="939"/>
    <n v="499015"/>
    <n v="25.120888149654821"/>
    <n v="43598"/>
    <n v="1.2426480165926877E-2"/>
    <n v="6201"/>
  </r>
  <r>
    <x v="18"/>
    <x v="2"/>
    <n v="4716"/>
    <n v="569"/>
    <n v="503162"/>
    <n v="25.64820077827817"/>
    <n v="11651"/>
    <n v="8.2418783612434963E-3"/>
    <n v="4147"/>
  </r>
  <r>
    <x v="18"/>
    <x v="0"/>
    <n v="5481"/>
    <n v="673"/>
    <n v="507970"/>
    <n v="13.08758391243577"/>
    <n v="29194"/>
    <n v="9.4651258932614123E-3"/>
    <n v="4808"/>
  </r>
  <r>
    <x v="19"/>
    <x v="1"/>
    <n v="8898"/>
    <n v="1131"/>
    <n v="515737"/>
    <n v="2.1877429775253669"/>
    <n v="35051"/>
    <n v="1.5060001512398761E-2"/>
    <n v="7767"/>
  </r>
  <r>
    <x v="19"/>
    <x v="2"/>
    <n v="7548"/>
    <n v="433"/>
    <n v="522852"/>
    <n v="8.3562843787534522"/>
    <n v="37386"/>
    <n v="1.3608057347012157E-2"/>
    <n v="7115"/>
  </r>
  <r>
    <x v="19"/>
    <x v="1"/>
    <n v="3293"/>
    <n v="282"/>
    <n v="525863"/>
    <n v="27.040693108281051"/>
    <n v="19518"/>
    <n v="5.7258259280458983E-3"/>
    <n v="3011"/>
  </r>
  <r>
    <x v="19"/>
    <x v="1"/>
    <n v="5837"/>
    <n v="359"/>
    <n v="531341"/>
    <n v="6.8073045370110723"/>
    <n v="56026"/>
    <n v="1.0309763409938251E-2"/>
    <n v="5478"/>
  </r>
  <r>
    <x v="20"/>
    <x v="0"/>
    <n v="8758"/>
    <n v="1193"/>
    <n v="538906"/>
    <n v="3.4213758985797149"/>
    <n v="26184"/>
    <n v="1.4037698596786824E-2"/>
    <n v="7565"/>
  </r>
  <r>
    <x v="20"/>
    <x v="2"/>
    <n v="7793"/>
    <n v="875"/>
    <n v="545824"/>
    <n v="5.5136820660139527"/>
    <n v="43787"/>
    <n v="1.267441519610717E-2"/>
    <n v="6918"/>
  </r>
  <r>
    <x v="20"/>
    <x v="0"/>
    <n v="8638"/>
    <n v="717"/>
    <n v="553745"/>
    <n v="26.921416897669499"/>
    <n v="31621"/>
    <n v="1.4304418098583283E-2"/>
    <n v="7921"/>
  </r>
  <r>
    <x v="20"/>
    <x v="0"/>
    <n v="8993"/>
    <n v="506"/>
    <n v="562232"/>
    <n v="3.5131404829323132"/>
    <n v="20028"/>
    <n v="1.509519202037593E-2"/>
    <n v="8487"/>
  </r>
  <r>
    <x v="21"/>
    <x v="2"/>
    <n v="7007"/>
    <n v="568"/>
    <n v="568671"/>
    <n v="11.50507059442103"/>
    <n v="22448"/>
    <n v="1.1322891443382905E-2"/>
    <n v="6439"/>
  </r>
  <r>
    <x v="21"/>
    <x v="2"/>
    <n v="6542"/>
    <n v="539"/>
    <n v="574674"/>
    <n v="6.4069368024305948"/>
    <n v="55253"/>
    <n v="1.0445922383821088E-2"/>
    <n v="6003"/>
  </r>
  <r>
    <x v="21"/>
    <x v="3"/>
    <n v="7356"/>
    <n v="904"/>
    <n v="581126"/>
    <n v="17.560907617280929"/>
    <n v="44051"/>
    <n v="1.1102583604932494E-2"/>
    <n v="6452"/>
  </r>
  <r>
    <x v="21"/>
    <x v="3"/>
    <n v="9433"/>
    <n v="1073"/>
    <n v="589486"/>
    <n v="7.2934726185185053"/>
    <n v="59811"/>
    <n v="1.4181846557848703E-2"/>
    <n v="8360"/>
  </r>
  <r>
    <x v="22"/>
    <x v="1"/>
    <n v="8380"/>
    <n v="1162"/>
    <n v="596704"/>
    <n v="18.05853488496809"/>
    <n v="40447"/>
    <n v="1.2096449831072022E-2"/>
    <n v="7218"/>
  </r>
  <r>
    <x v="22"/>
    <x v="2"/>
    <n v="3385"/>
    <n v="329"/>
    <n v="599760"/>
    <n v="17.61788048552755"/>
    <n v="28394"/>
    <n v="5.0953714819261036E-3"/>
    <n v="3056"/>
  </r>
  <r>
    <x v="22"/>
    <x v="3"/>
    <n v="5268"/>
    <n v="326"/>
    <n v="604702"/>
    <n v="23.435841125050029"/>
    <n v="44501"/>
    <n v="8.1726205635172366E-3"/>
    <n v="4942"/>
  </r>
  <r>
    <x v="22"/>
    <x v="1"/>
    <n v="1671"/>
    <n v="202"/>
    <n v="606171"/>
    <n v="15.150015424690389"/>
    <n v="40254"/>
    <n v="2.4234085761278583E-3"/>
    <n v="1469"/>
  </r>
  <r>
    <x v="23"/>
    <x v="1"/>
    <n v="1163"/>
    <n v="146"/>
    <n v="607188"/>
    <n v="21.77776899411715"/>
    <n v="28509"/>
    <n v="1.6749342872388782E-3"/>
    <n v="1017"/>
  </r>
  <r>
    <x v="23"/>
    <x v="1"/>
    <n v="9656"/>
    <n v="1024"/>
    <n v="615820"/>
    <n v="8.7252768666168681"/>
    <n v="58998"/>
    <n v="1.401708291383846E-2"/>
    <n v="8632"/>
  </r>
  <r>
    <x v="23"/>
    <x v="3"/>
    <n v="5592"/>
    <n v="710"/>
    <n v="620702"/>
    <n v="9.07118069540617"/>
    <n v="24472"/>
    <n v="7.8652880126050834E-3"/>
    <n v="4882"/>
  </r>
  <r>
    <x v="23"/>
    <x v="2"/>
    <n v="5795"/>
    <n v="575"/>
    <n v="625922"/>
    <n v="3.0908004511744269"/>
    <n v="55657"/>
    <n v="8.3396972785746461E-3"/>
    <n v="5220"/>
  </r>
  <r>
    <x v="24"/>
    <x v="0"/>
    <n v="5798"/>
    <n v="592"/>
    <n v="631128"/>
    <n v="1.6774727155188811"/>
    <n v="13471"/>
    <n v="8.2487229214992831E-3"/>
    <n v="5206"/>
  </r>
  <r>
    <x v="24"/>
    <x v="1"/>
    <n v="7036"/>
    <n v="652"/>
    <n v="637512"/>
    <n v="3.5705994553828009"/>
    <n v="51796"/>
    <n v="1.0013929149568949E-2"/>
    <n v="6384"/>
  </r>
  <r>
    <x v="24"/>
    <x v="3"/>
    <n v="3355"/>
    <n v="176"/>
    <n v="640691"/>
    <n v="12.426427091999111"/>
    <n v="40268"/>
    <n v="4.9618302738761748E-3"/>
    <n v="3179"/>
  </r>
  <r>
    <x v="24"/>
    <x v="3"/>
    <n v="6887"/>
    <n v="418"/>
    <n v="647160"/>
    <n v="20.240280610668151"/>
    <n v="18329"/>
    <n v="9.9959824463811114E-3"/>
    <n v="6469"/>
  </r>
  <r>
    <x v="25"/>
    <x v="0"/>
    <n v="8961"/>
    <n v="476"/>
    <n v="655645"/>
    <n v="15.458517947974901"/>
    <n v="44865"/>
    <n v="1.2941454598143812E-2"/>
    <n v="8485"/>
  </r>
  <r>
    <x v="25"/>
    <x v="0"/>
    <n v="6827"/>
    <n v="775"/>
    <n v="661697"/>
    <n v="15.96622018839439"/>
    <n v="56850"/>
    <n v="9.1461802003031598E-3"/>
    <n v="6052"/>
  </r>
  <r>
    <x v="25"/>
    <x v="3"/>
    <n v="9737"/>
    <n v="792"/>
    <n v="670642"/>
    <n v="5.301785453341723"/>
    <n v="56698"/>
    <n v="1.3337965710468476E-2"/>
    <n v="8945"/>
  </r>
  <r>
    <x v="25"/>
    <x v="2"/>
    <n v="5719"/>
    <n v="576"/>
    <n v="675785"/>
    <n v="10.21656296011305"/>
    <n v="38272"/>
    <n v="7.6104086358827145E-3"/>
    <n v="5143"/>
  </r>
  <r>
    <x v="26"/>
    <x v="0"/>
    <n v="1593"/>
    <n v="224"/>
    <n v="677154"/>
    <n v="4.1495730660972248"/>
    <n v="52845"/>
    <n v="2.0216966893793729E-3"/>
    <n v="1369"/>
  </r>
  <r>
    <x v="26"/>
    <x v="3"/>
    <n v="5839"/>
    <n v="437"/>
    <n v="682556"/>
    <n v="17.44750613869045"/>
    <n v="16397"/>
    <n v="7.9143689309009082E-3"/>
    <n v="5402"/>
  </r>
  <r>
    <x v="26"/>
    <x v="0"/>
    <n v="8394"/>
    <n v="764"/>
    <n v="690186"/>
    <n v="6.3556780346167558"/>
    <n v="42373"/>
    <n v="1.1054990973447738E-2"/>
    <n v="7630"/>
  </r>
  <r>
    <x v="26"/>
    <x v="2"/>
    <n v="4493"/>
    <n v="564"/>
    <n v="694115"/>
    <n v="16.625487131094989"/>
    <n v="45525"/>
    <n v="5.660445315257558E-3"/>
    <n v="3929"/>
  </r>
  <r>
    <x v="27"/>
    <x v="1"/>
    <n v="7164"/>
    <n v="522"/>
    <n v="700757"/>
    <n v="13.449169969047761"/>
    <n v="34570"/>
    <n v="9.4783213011072308E-3"/>
    <n v="6642"/>
  </r>
  <r>
    <x v="27"/>
    <x v="0"/>
    <n v="3672"/>
    <n v="211"/>
    <n v="704218"/>
    <n v="12.35057894004413"/>
    <n v="28284"/>
    <n v="4.9146713091684675E-3"/>
    <n v="3461"/>
  </r>
  <r>
    <x v="27"/>
    <x v="2"/>
    <n v="5200"/>
    <n v="410"/>
    <n v="709008"/>
    <n v="12.913394489201821"/>
    <n v="28994"/>
    <n v="6.7559181278631555E-3"/>
    <n v="4790"/>
  </r>
  <r>
    <x v="27"/>
    <x v="3"/>
    <n v="1016"/>
    <n v="67"/>
    <n v="709957"/>
    <n v="20.774215903216671"/>
    <n v="33284"/>
    <n v="1.3367006734210664E-3"/>
    <n v="949"/>
  </r>
  <r>
    <x v="28"/>
    <x v="0"/>
    <n v="4191"/>
    <n v="599"/>
    <n v="713549"/>
    <n v="11.56416728213479"/>
    <n v="27833"/>
    <n v="5.033992059410076E-3"/>
    <n v="3592"/>
  </r>
  <r>
    <x v="28"/>
    <x v="0"/>
    <n v="1392"/>
    <n v="182"/>
    <n v="714759"/>
    <n v="5.9603306848881932"/>
    <n v="35122"/>
    <n v="1.6928782988391892E-3"/>
    <n v="1210"/>
  </r>
  <r>
    <x v="28"/>
    <x v="3"/>
    <n v="9616"/>
    <n v="1089"/>
    <n v="723286"/>
    <n v="19.25863351426683"/>
    <n v="15017"/>
    <n v="1.178925072516266E-2"/>
    <n v="8527"/>
  </r>
  <r>
    <x v="28"/>
    <x v="1"/>
    <n v="7272"/>
    <n v="997"/>
    <n v="729561"/>
    <n v="13.428486445958599"/>
    <n v="26370"/>
    <n v="8.6010628309353167E-3"/>
    <n v="6275"/>
  </r>
  <r>
    <x v="29"/>
    <x v="3"/>
    <n v="1571"/>
    <n v="204"/>
    <n v="730928"/>
    <n v="19.449384891535139"/>
    <n v="39252"/>
    <n v="1.8702252479040344E-3"/>
    <n v="1367"/>
  </r>
  <r>
    <x v="29"/>
    <x v="0"/>
    <n v="4631"/>
    <n v="317"/>
    <n v="735242"/>
    <n v="1.381177897889402"/>
    <n v="17999"/>
    <n v="5.8674558852731479E-3"/>
    <n v="4314"/>
  </r>
  <r>
    <x v="29"/>
    <x v="3"/>
    <n v="7172"/>
    <n v="998"/>
    <n v="741416"/>
    <n v="18.0667803230575"/>
    <n v="32436"/>
    <n v="8.32730882527488E-3"/>
    <n v="6174"/>
  </r>
  <r>
    <x v="29"/>
    <x v="2"/>
    <n v="8177"/>
    <n v="849"/>
    <n v="748744"/>
    <n v="10.34986590877523"/>
    <n v="52963"/>
    <n v="9.7870567243276748E-3"/>
    <n v="7328"/>
  </r>
  <r>
    <x v="30"/>
    <x v="3"/>
    <n v="9433"/>
    <n v="1233"/>
    <n v="756944"/>
    <n v="11.391727789638329"/>
    <n v="12096"/>
    <n v="1.0833033883616226E-2"/>
    <n v="8200"/>
  </r>
  <r>
    <x v="30"/>
    <x v="0"/>
    <n v="4897"/>
    <n v="683"/>
    <n v="761158"/>
    <n v="15.06231294947961"/>
    <n v="58201"/>
    <n v="5.5363012672795921E-3"/>
    <n v="4214"/>
  </r>
  <r>
    <x v="30"/>
    <x v="3"/>
    <n v="9123"/>
    <n v="746"/>
    <n v="769535"/>
    <n v="6.3086149427901264"/>
    <n v="35279"/>
    <n v="1.0885794668208723E-2"/>
    <n v="8377"/>
  </r>
  <r>
    <x v="30"/>
    <x v="1"/>
    <n v="3279"/>
    <n v="200"/>
    <n v="772614"/>
    <n v="5.0212654702089274"/>
    <n v="53363"/>
    <n v="3.9851724146857288E-3"/>
    <n v="3079"/>
  </r>
  <r>
    <x v="31"/>
    <x v="3"/>
    <n v="9980"/>
    <n v="726"/>
    <n v="781868"/>
    <n v="4.0220344099003924"/>
    <n v="58709"/>
    <n v="1.1835757442432739E-2"/>
    <n v="9254"/>
  </r>
  <r>
    <x v="31"/>
    <x v="1"/>
    <n v="8451"/>
    <n v="783"/>
    <n v="789536"/>
    <n v="12.407287318121019"/>
    <n v="36201"/>
    <n v="9.7120333968305442E-3"/>
    <n v="7668"/>
  </r>
  <r>
    <x v="31"/>
    <x v="2"/>
    <n v="9906"/>
    <n v="1305"/>
    <n v="798137"/>
    <n v="9.1811305577864442"/>
    <n v="29715"/>
    <n v="1.0776345414383746E-2"/>
    <n v="8601"/>
  </r>
  <r>
    <x v="31"/>
    <x v="1"/>
    <n v="1775"/>
    <n v="241"/>
    <n v="799671"/>
    <n v="8.1379717408784362"/>
    <n v="39309"/>
    <n v="1.918288896308607E-3"/>
    <n v="1534"/>
  </r>
  <r>
    <x v="32"/>
    <x v="3"/>
    <n v="7869"/>
    <n v="398"/>
    <n v="807142"/>
    <n v="15.211945357818079"/>
    <n v="25078"/>
    <n v="9.2561160241940079E-3"/>
    <n v="7471"/>
  </r>
  <r>
    <x v="32"/>
    <x v="0"/>
    <n v="3247"/>
    <n v="328"/>
    <n v="810061"/>
    <n v="13.941172331466399"/>
    <n v="15105"/>
    <n v="3.6034323341081723E-3"/>
    <n v="2919"/>
  </r>
  <r>
    <x v="32"/>
    <x v="1"/>
    <n v="8088"/>
    <n v="742"/>
    <n v="817407"/>
    <n v="14.664542877660701"/>
    <n v="39312"/>
    <n v="8.9869550909155421E-3"/>
    <n v="7346"/>
  </r>
  <r>
    <x v="32"/>
    <x v="2"/>
    <n v="1078"/>
    <n v="77"/>
    <n v="818408"/>
    <n v="18.236747441373989"/>
    <n v="12839"/>
    <n v="1.2231063234963489E-3"/>
    <n v="1001"/>
  </r>
  <r>
    <x v="33"/>
    <x v="1"/>
    <n v="9080"/>
    <n v="562"/>
    <n v="826926"/>
    <n v="7.1083748727213809"/>
    <n v="13384"/>
    <n v="1.0300800797169276E-2"/>
    <n v="8518"/>
  </r>
  <r>
    <x v="33"/>
    <x v="1"/>
    <n v="8099"/>
    <n v="678"/>
    <n v="834347"/>
    <n v="7.6464588474579518"/>
    <n v="53619"/>
    <n v="8.8943808751035247E-3"/>
    <n v="7421"/>
  </r>
  <r>
    <x v="33"/>
    <x v="1"/>
    <n v="4926"/>
    <n v="710"/>
    <n v="838563"/>
    <n v="12.96217457722318"/>
    <n v="52821"/>
    <n v="5.0276484891415433E-3"/>
    <n v="4216"/>
  </r>
  <r>
    <x v="33"/>
    <x v="2"/>
    <n v="8340"/>
    <n v="686"/>
    <n v="846217"/>
    <n v="7.201344336027284"/>
    <n v="23493"/>
    <n v="9.0449612806171465E-3"/>
    <n v="7654"/>
  </r>
  <r>
    <x v="34"/>
    <x v="3"/>
    <n v="8083"/>
    <n v="823"/>
    <n v="853477"/>
    <n v="4.6300017457998282"/>
    <n v="27069"/>
    <n v="8.5063803711172073E-3"/>
    <n v="7260"/>
  </r>
  <r>
    <x v="34"/>
    <x v="1"/>
    <n v="7230"/>
    <n v="869"/>
    <n v="859838"/>
    <n v="7.0117859410726204"/>
    <n v="56907"/>
    <n v="7.397905186791E-3"/>
    <n v="6361"/>
  </r>
  <r>
    <x v="34"/>
    <x v="1"/>
    <n v="5940"/>
    <n v="512"/>
    <n v="865266"/>
    <n v="15.7972230504839"/>
    <n v="17531"/>
    <n v="6.2732154042803023E-3"/>
    <n v="5428"/>
  </r>
  <r>
    <x v="34"/>
    <x v="0"/>
    <n v="4271"/>
    <n v="628"/>
    <n v="868909"/>
    <n v="11.124410036033691"/>
    <n v="47051"/>
    <n v="4.1926139561219876E-3"/>
    <n v="3643"/>
  </r>
  <r>
    <x v="35"/>
    <x v="2"/>
    <n v="4456"/>
    <n v="651"/>
    <n v="872714"/>
    <n v="9.5052903929580594"/>
    <n v="17736"/>
    <n v="4.3599621410908961E-3"/>
    <n v="3805"/>
  </r>
  <r>
    <x v="35"/>
    <x v="1"/>
    <n v="8788"/>
    <n v="660"/>
    <n v="880842"/>
    <n v="3.7175793161543158"/>
    <n v="17710"/>
    <n v="9.2275345635199051E-3"/>
    <n v="8128"/>
  </r>
  <r>
    <x v="35"/>
    <x v="2"/>
    <n v="9599"/>
    <n v="957"/>
    <n v="889484"/>
    <n v="8.768004820772493"/>
    <n v="11619"/>
    <n v="9.7157453085159485E-3"/>
    <n v="8642"/>
  </r>
  <r>
    <x v="35"/>
    <x v="1"/>
    <n v="8650"/>
    <n v="692"/>
    <n v="897442"/>
    <n v="7.6673478620345374"/>
    <n v="23975"/>
    <n v="8.8674254157928862E-3"/>
    <n v="7958"/>
  </r>
  <r>
    <x v="36"/>
    <x v="3"/>
    <n v="3711"/>
    <n v="291"/>
    <n v="900862"/>
    <n v="14.24879726306582"/>
    <n v="55603"/>
    <n v="3.7963639269943676E-3"/>
    <n v="3420"/>
  </r>
  <r>
    <x v="36"/>
    <x v="3"/>
    <n v="2668"/>
    <n v="143"/>
    <n v="903387"/>
    <n v="15.903372530266649"/>
    <n v="33252"/>
    <n v="2.795036900021807E-3"/>
    <n v="2525"/>
  </r>
  <r>
    <x v="36"/>
    <x v="1"/>
    <n v="1147"/>
    <n v="127"/>
    <n v="904407"/>
    <n v="1.3997016829812241"/>
    <n v="25261"/>
    <n v="1.1278108196862695E-3"/>
    <n v="1020"/>
  </r>
  <r>
    <x v="36"/>
    <x v="3"/>
    <n v="7420"/>
    <n v="743"/>
    <n v="911084"/>
    <n v="10.593534734448189"/>
    <n v="11431"/>
    <n v="7.3286327056561193E-3"/>
    <n v="6677"/>
  </r>
  <r>
    <x v="37"/>
    <x v="1"/>
    <n v="1365"/>
    <n v="75"/>
    <n v="912374"/>
    <n v="9.2688963078737441"/>
    <n v="19067"/>
    <n v="1.4138938637006315E-3"/>
    <n v="1290"/>
  </r>
  <r>
    <x v="37"/>
    <x v="3"/>
    <n v="5531"/>
    <n v="430"/>
    <n v="917475"/>
    <n v="2.7289026948963189"/>
    <n v="47481"/>
    <n v="5.5598245183792472E-3"/>
    <n v="5101"/>
  </r>
  <r>
    <x v="37"/>
    <x v="0"/>
    <n v="6330"/>
    <n v="891"/>
    <n v="922914"/>
    <n v="14.789893749580139"/>
    <n v="37037"/>
    <n v="5.8932901657142486E-3"/>
    <n v="5439"/>
  </r>
  <r>
    <x v="37"/>
    <x v="0"/>
    <n v="6510"/>
    <n v="481"/>
    <n v="928943"/>
    <n v="2.3800168578696428"/>
    <n v="19557"/>
    <n v="6.4901721634158397E-3"/>
    <n v="6029"/>
  </r>
  <r>
    <x v="38"/>
    <x v="0"/>
    <n v="9754"/>
    <n v="629"/>
    <n v="938068"/>
    <n v="3.4123325814333292"/>
    <n v="19435"/>
    <n v="9.7274398018054129E-3"/>
    <n v="9125"/>
  </r>
  <r>
    <x v="38"/>
    <x v="2"/>
    <n v="9964"/>
    <n v="985"/>
    <n v="947047"/>
    <n v="1.9837452629066989"/>
    <n v="47766"/>
    <n v="9.4810500429228957E-3"/>
    <n v="8979"/>
  </r>
  <r>
    <x v="38"/>
    <x v="2"/>
    <n v="7493"/>
    <n v="1113"/>
    <n v="953427"/>
    <n v="15.684892498324469"/>
    <n v="10162"/>
    <n v="6.6916502259743013E-3"/>
    <n v="6380"/>
  </r>
  <r>
    <x v="38"/>
    <x v="0"/>
    <n v="6439"/>
    <n v="477"/>
    <n v="959389"/>
    <n v="7.4744446725989153"/>
    <n v="44742"/>
    <n v="6.2143718554204808E-3"/>
    <n v="5962"/>
  </r>
  <r>
    <x v="39"/>
    <x v="2"/>
    <n v="7511"/>
    <n v="880"/>
    <n v="966020"/>
    <n v="4.6083932009689246"/>
    <n v="29675"/>
    <n v="6.8642471170369144E-3"/>
    <n v="6631"/>
  </r>
  <r>
    <x v="39"/>
    <x v="3"/>
    <n v="8504"/>
    <n v="1072"/>
    <n v="973452"/>
    <n v="6.5651927367759271"/>
    <n v="18461"/>
    <n v="7.6346856342171983E-3"/>
    <n v="7432"/>
  </r>
  <r>
    <x v="39"/>
    <x v="1"/>
    <n v="2246"/>
    <n v="165"/>
    <n v="975533"/>
    <n v="2.9062061457685191"/>
    <n v="27015"/>
    <n v="2.1331928289458173E-3"/>
    <n v="2081"/>
  </r>
  <r>
    <x v="39"/>
    <x v="1"/>
    <n v="4839"/>
    <n v="594"/>
    <n v="979778"/>
    <n v="2.5803804535313102"/>
    <n v="42591"/>
    <n v="4.3326141227910814E-3"/>
    <n v="4245"/>
  </r>
  <r>
    <x v="40"/>
    <x v="1"/>
    <n v="9551"/>
    <n v="828"/>
    <n v="988501"/>
    <n v="1.525036393488727"/>
    <n v="38047"/>
    <n v="8.8244726105487E-3"/>
    <n v="8723"/>
  </r>
  <r>
    <x v="40"/>
    <x v="0"/>
    <n v="3376"/>
    <n v="382"/>
    <n v="991495"/>
    <n v="3.8694093263203548"/>
    <n v="44782"/>
    <n v="3.0196823988018094E-3"/>
    <n v="2994"/>
  </r>
  <r>
    <x v="40"/>
    <x v="2"/>
    <n v="4009"/>
    <n v="454"/>
    <n v="995050"/>
    <n v="2.1106477061454201"/>
    <n v="19833"/>
    <n v="3.5726847897090599E-3"/>
    <n v="3555"/>
  </r>
  <r>
    <x v="40"/>
    <x v="3"/>
    <n v="2827"/>
    <n v="292"/>
    <n v="997585"/>
    <n v="2.4004972007397871"/>
    <n v="17896"/>
    <n v="2.5411368454818384E-3"/>
    <n v="2535"/>
  </r>
  <r>
    <x v="41"/>
    <x v="3"/>
    <n v="7979"/>
    <n v="470"/>
    <n v="1005094"/>
    <n v="10.43086517280971"/>
    <n v="42972"/>
    <n v="7.4709430162750948E-3"/>
    <n v="7509"/>
  </r>
  <r>
    <x v="41"/>
    <x v="0"/>
    <n v="9569"/>
    <n v="1277"/>
    <n v="1013386"/>
    <n v="12.45517502708741"/>
    <n v="59733"/>
    <n v="8.1824694637581338E-3"/>
    <n v="8292"/>
  </r>
  <r>
    <x v="41"/>
    <x v="3"/>
    <n v="5285"/>
    <n v="433"/>
    <n v="1018238"/>
    <n v="8.7022876773406619"/>
    <n v="51800"/>
    <n v="4.7650942117658151E-3"/>
    <n v="4852"/>
  </r>
  <r>
    <x v="41"/>
    <x v="3"/>
    <n v="7910"/>
    <n v="543"/>
    <n v="1025605"/>
    <n v="6.0590578244060822"/>
    <n v="40508"/>
    <n v="7.183077305590359E-3"/>
    <n v="7367"/>
  </r>
  <r>
    <x v="42"/>
    <x v="3"/>
    <n v="9561"/>
    <n v="517"/>
    <n v="1034649"/>
    <n v="6.4086467971263694"/>
    <n v="15347"/>
    <n v="8.741128633961856E-3"/>
    <n v="9044"/>
  </r>
  <r>
    <x v="42"/>
    <x v="3"/>
    <n v="3196"/>
    <n v="348"/>
    <n v="1037497"/>
    <n v="14.03040201562029"/>
    <n v="40314"/>
    <n v="2.7450681785103955E-3"/>
    <n v="2848"/>
  </r>
  <r>
    <x v="42"/>
    <x v="2"/>
    <n v="4747"/>
    <n v="558"/>
    <n v="1041686"/>
    <n v="5.7680529449373434"/>
    <n v="12643"/>
    <n v="4.021365363458854E-3"/>
    <n v="4189"/>
  </r>
  <r>
    <x v="42"/>
    <x v="3"/>
    <n v="9843"/>
    <n v="508"/>
    <n v="1051021"/>
    <n v="4.2080986012648651"/>
    <n v="50785"/>
    <n v="8.8818396587699005E-3"/>
    <n v="9335"/>
  </r>
  <r>
    <x v="43"/>
    <x v="1"/>
    <n v="6978"/>
    <n v="706"/>
    <n v="1057293"/>
    <n v="5.057443868445171"/>
    <n v="28681"/>
    <n v="5.9321304501212058E-3"/>
    <n v="6272"/>
  </r>
  <r>
    <x v="43"/>
    <x v="0"/>
    <n v="6607"/>
    <n v="479"/>
    <n v="1063421"/>
    <n v="5.5892257158735816"/>
    <n v="48328"/>
    <n v="5.7625343114345116E-3"/>
    <n v="6128"/>
  </r>
  <r>
    <x v="43"/>
    <x v="2"/>
    <n v="1769"/>
    <n v="202"/>
    <n v="1064988"/>
    <n v="6.5457075572682513"/>
    <n v="25892"/>
    <n v="1.4713780812553757E-3"/>
    <n v="1567"/>
  </r>
  <r>
    <x v="43"/>
    <x v="3"/>
    <n v="1780"/>
    <n v="120"/>
    <n v="1066648"/>
    <n v="13.86474263299608"/>
    <n v="57299"/>
    <n v="1.55627723485161E-3"/>
    <n v="1660"/>
  </r>
  <r>
    <x v="44"/>
    <x v="2"/>
    <n v="7303"/>
    <n v="869"/>
    <n v="1073082"/>
    <n v="8.1237966902808925"/>
    <n v="27073"/>
    <n v="5.9958139266151145E-3"/>
    <n v="6434"/>
  </r>
  <r>
    <x v="44"/>
    <x v="3"/>
    <n v="4983"/>
    <n v="441"/>
    <n v="1077624"/>
    <n v="6.8954477628560609"/>
    <n v="46768"/>
    <n v="4.2148281775461569E-3"/>
    <n v="4542"/>
  </r>
  <r>
    <x v="44"/>
    <x v="1"/>
    <n v="9714"/>
    <n v="1395"/>
    <n v="1085943"/>
    <n v="5.2243073531483697"/>
    <n v="40682"/>
    <n v="7.6606230713766746E-3"/>
    <n v="8319"/>
  </r>
  <r>
    <x v="44"/>
    <x v="0"/>
    <n v="1521"/>
    <n v="96"/>
    <n v="1087368"/>
    <n v="12.709772588488899"/>
    <n v="42262"/>
    <n v="1.3105038956452645E-3"/>
    <n v="1425"/>
  </r>
  <r>
    <x v="45"/>
    <x v="3"/>
    <n v="8569"/>
    <n v="720"/>
    <n v="1095217"/>
    <n v="9.589697749395782"/>
    <n v="41358"/>
    <n v="7.1666162961312686E-3"/>
    <n v="7849"/>
  </r>
  <r>
    <x v="45"/>
    <x v="3"/>
    <n v="6784"/>
    <n v="416"/>
    <n v="1101585"/>
    <n v="9.3041390360253633"/>
    <n v="24289"/>
    <n v="5.7807613574985131E-3"/>
    <n v="6368"/>
  </r>
  <r>
    <x v="45"/>
    <x v="3"/>
    <n v="5583"/>
    <n v="795"/>
    <n v="1106373"/>
    <n v="12.21550055903389"/>
    <n v="59823"/>
    <n v="4.327654416729259E-3"/>
    <n v="4788"/>
  </r>
  <r>
    <x v="45"/>
    <x v="3"/>
    <n v="6946"/>
    <n v="956"/>
    <n v="1112363"/>
    <n v="1.64146056637986"/>
    <n v="17927"/>
    <n v="5.3849327962185002E-3"/>
    <n v="5990"/>
  </r>
  <r>
    <x v="46"/>
    <x v="0"/>
    <n v="5941"/>
    <n v="450"/>
    <n v="1117854"/>
    <n v="12.414411899944"/>
    <n v="58330"/>
    <n v="4.9120904876665469E-3"/>
    <n v="5491"/>
  </r>
  <r>
    <x v="46"/>
    <x v="0"/>
    <n v="7267"/>
    <n v="842"/>
    <n v="1124279"/>
    <n v="2.2102165031989389"/>
    <n v="11171"/>
    <n v="5.7147736460433753E-3"/>
    <n v="6425"/>
  </r>
  <r>
    <x v="46"/>
    <x v="1"/>
    <n v="8128"/>
    <n v="1070"/>
    <n v="1131337"/>
    <n v="8.1114645768679008"/>
    <n v="21918"/>
    <n v="6.2386362330587612E-3"/>
    <n v="7058"/>
  </r>
  <r>
    <x v="46"/>
    <x v="0"/>
    <n v="3461"/>
    <n v="365"/>
    <n v="1134433"/>
    <n v="10.23489267325616"/>
    <n v="51903"/>
    <n v="2.7291166600407427E-3"/>
    <n v="3096"/>
  </r>
  <r>
    <x v="47"/>
    <x v="3"/>
    <n v="1685"/>
    <n v="173"/>
    <n v="1135945"/>
    <n v="8.7776256772995165"/>
    <n v="49110"/>
    <n v="1.331050358952238E-3"/>
    <n v="1512"/>
  </r>
  <r>
    <x v="47"/>
    <x v="1"/>
    <n v="3160"/>
    <n v="234"/>
    <n v="1138871"/>
    <n v="5.6959041015180816"/>
    <n v="21929"/>
    <n v="2.5692110871204906E-3"/>
    <n v="2926"/>
  </r>
  <r>
    <x v="47"/>
    <x v="1"/>
    <n v="8031"/>
    <n v="476"/>
    <n v="1146426"/>
    <n v="11.940413075069831"/>
    <n v="12539"/>
    <n v="6.5900459340594159E-3"/>
    <n v="7555"/>
  </r>
  <r>
    <x v="47"/>
    <x v="1"/>
    <n v="6341"/>
    <n v="885"/>
    <n v="1151882"/>
    <n v="6.3457020771224837"/>
    <n v="46727"/>
    <n v="4.7365962832998515E-3"/>
    <n v="5456"/>
  </r>
  <r>
    <x v="48"/>
    <x v="3"/>
    <n v="1038"/>
    <n v="145"/>
    <n v="1152775"/>
    <n v="11.093752033137431"/>
    <n v="55951"/>
    <n v="7.7465246904209403E-4"/>
    <n v="893"/>
  </r>
  <r>
    <x v="48"/>
    <x v="2"/>
    <n v="5875"/>
    <n v="665"/>
    <n v="1157985"/>
    <n v="6.9871371390821126"/>
    <n v="32669"/>
    <n v="4.4991947218659999E-3"/>
    <n v="5210"/>
  </r>
  <r>
    <x v="48"/>
    <x v="3"/>
    <n v="2256"/>
    <n v="189"/>
    <n v="1160052"/>
    <n v="2.8935771844710412"/>
    <n v="15432"/>
    <n v="1.7818166771834366E-3"/>
    <n v="2067"/>
  </r>
  <r>
    <x v="48"/>
    <x v="0"/>
    <n v="8697"/>
    <n v="738"/>
    <n v="1168011"/>
    <n v="3.8777032065622672"/>
    <n v="30644"/>
    <n v="6.8141481544266276E-3"/>
    <n v="7959"/>
  </r>
  <r>
    <x v="49"/>
    <x v="0"/>
    <n v="3196"/>
    <n v="391"/>
    <n v="1170816"/>
    <n v="7.2439221876024931"/>
    <n v="28745"/>
    <n v="2.3957650049196456E-3"/>
    <n v="2805"/>
  </r>
  <r>
    <x v="49"/>
    <x v="3"/>
    <n v="8165"/>
    <n v="1140"/>
    <n v="1177841"/>
    <n v="9.095964565675672"/>
    <n v="38228"/>
    <n v="5.9643024822535473E-3"/>
    <n v="7025"/>
  </r>
  <r>
    <x v="49"/>
    <x v="3"/>
    <n v="1301"/>
    <n v="180"/>
    <n v="1178962"/>
    <n v="5.2275645864752214"/>
    <n v="44521"/>
    <n v="9.5083641372665107E-4"/>
    <n v="1121"/>
  </r>
  <r>
    <x v="49"/>
    <x v="1"/>
    <n v="8527"/>
    <n v="1091"/>
    <n v="1186398"/>
    <n v="1.676081719625286"/>
    <n v="41703"/>
    <n v="6.267711172810473E-3"/>
    <n v="74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FDDBC4-44E4-4B45-9F37-A640EC354893}" name="PivotTable4"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M307:N313" firstHeaderRow="1" firstDataRow="1" firstDataCol="1"/>
  <pivotFields count="14">
    <pivotField showAll="0"/>
    <pivotField showAll="0"/>
    <pivotField numFmtId="14" showAll="0"/>
    <pivotField showAll="0"/>
    <pivotField showAll="0"/>
    <pivotField showAll="0"/>
    <pivotField showAll="0"/>
    <pivotField dataField="1" showAll="0"/>
    <pivotField showAll="0"/>
    <pivotField showAll="0"/>
    <pivotField showAll="0"/>
    <pivotField numFmtId="10" showAll="0"/>
    <pivotField axis="axisRow" showAll="0" measureFilter="1" sortType="descending">
      <items count="20">
        <item x="4"/>
        <item x="18"/>
        <item x="6"/>
        <item x="3"/>
        <item x="10"/>
        <item x="9"/>
        <item x="11"/>
        <item x="0"/>
        <item x="12"/>
        <item x="1"/>
        <item x="5"/>
        <item x="7"/>
        <item x="14"/>
        <item x="13"/>
        <item x="15"/>
        <item x="2"/>
        <item x="16"/>
        <item x="8"/>
        <item x="17"/>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s>
  <rowFields count="1">
    <field x="12"/>
  </rowFields>
  <rowItems count="6">
    <i>
      <x v="13"/>
    </i>
    <i>
      <x v="6"/>
    </i>
    <i>
      <x v="8"/>
    </i>
    <i>
      <x v="14"/>
    </i>
    <i>
      <x v="15"/>
    </i>
    <i>
      <x v="3"/>
    </i>
  </rowItems>
  <colItems count="1">
    <i/>
  </colItems>
  <dataFields count="1">
    <dataField name="Average of Clicks" fld="7" subtotal="average" baseField="12" baseItem="1" numFmtId="1"/>
  </dataFields>
  <formats count="13">
    <format dxfId="89">
      <pivotArea type="all" dataOnly="0" outline="0" fieldPosition="0"/>
    </format>
    <format dxfId="88">
      <pivotArea outline="0" collapsedLevelsAreSubtotals="1" fieldPosition="0"/>
    </format>
    <format dxfId="87">
      <pivotArea field="12" type="button" dataOnly="0" labelOnly="1" outline="0" axis="axisRow" fieldPosition="0"/>
    </format>
    <format dxfId="86">
      <pivotArea dataOnly="0" labelOnly="1" fieldPosition="0">
        <references count="1">
          <reference field="12" count="0"/>
        </references>
      </pivotArea>
    </format>
    <format dxfId="85">
      <pivotArea dataOnly="0" labelOnly="1" grandRow="1" outline="0"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field="12" type="button" dataOnly="0" labelOnly="1" outline="0" axis="axisRow" fieldPosition="0"/>
    </format>
    <format dxfId="80">
      <pivotArea dataOnly="0" labelOnly="1" fieldPosition="0">
        <references count="1">
          <reference field="12" count="6">
            <x v="3"/>
            <x v="6"/>
            <x v="8"/>
            <x v="13"/>
            <x v="14"/>
            <x v="15"/>
          </reference>
        </references>
      </pivotArea>
    </format>
    <format dxfId="79">
      <pivotArea dataOnly="0" labelOnly="1" grandRow="1" outline="0" fieldPosition="0"/>
    </format>
    <format dxfId="78">
      <pivotArea dataOnly="0" labelOnly="1" outline="0" axis="axisValues" fieldPosition="0"/>
    </format>
    <format dxfId="77">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1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ED0639-33C6-4362-9570-2EFCD0950BDD}" name="PivotTable2"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F307:G326" firstHeaderRow="1" firstDataRow="1" firstDataCol="1"/>
  <pivotFields count="14">
    <pivotField showAll="0"/>
    <pivotField showAll="0"/>
    <pivotField numFmtId="14" showAll="0"/>
    <pivotField showAll="0"/>
    <pivotField showAll="0"/>
    <pivotField showAll="0"/>
    <pivotField showAll="0"/>
    <pivotField dataField="1" showAll="0"/>
    <pivotField showAll="0"/>
    <pivotField showAll="0"/>
    <pivotField showAll="0"/>
    <pivotField numFmtId="10" showAll="0"/>
    <pivotField axis="axisRow" showAll="0" sortType="descending">
      <items count="20">
        <item x="4"/>
        <item x="18"/>
        <item x="6"/>
        <item x="3"/>
        <item x="10"/>
        <item x="9"/>
        <item x="11"/>
        <item x="0"/>
        <item x="12"/>
        <item x="1"/>
        <item x="5"/>
        <item x="7"/>
        <item x="14"/>
        <item x="13"/>
        <item x="15"/>
        <item x="2"/>
        <item x="16"/>
        <item x="8"/>
        <item x="17"/>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s>
  <rowFields count="1">
    <field x="12"/>
  </rowFields>
  <rowItems count="19">
    <i>
      <x v="13"/>
    </i>
    <i>
      <x v="8"/>
    </i>
    <i>
      <x v="6"/>
    </i>
    <i>
      <x v="14"/>
    </i>
    <i>
      <x v="15"/>
    </i>
    <i>
      <x v="3"/>
    </i>
    <i>
      <x v="7"/>
    </i>
    <i>
      <x v="9"/>
    </i>
    <i>
      <x v="17"/>
    </i>
    <i>
      <x v="2"/>
    </i>
    <i>
      <x/>
    </i>
    <i>
      <x v="10"/>
    </i>
    <i>
      <x v="12"/>
    </i>
    <i>
      <x v="11"/>
    </i>
    <i>
      <x v="4"/>
    </i>
    <i>
      <x v="5"/>
    </i>
    <i>
      <x v="18"/>
    </i>
    <i>
      <x v="1"/>
    </i>
    <i>
      <x v="16"/>
    </i>
  </rowItems>
  <colItems count="1">
    <i/>
  </colItems>
  <dataFields count="1">
    <dataField name="Average of Clicks" fld="7" subtotal="average" baseField="12" baseItem="0" numFmtId="1"/>
  </dataFields>
  <formats count="6">
    <format dxfId="95">
      <pivotArea type="all" dataOnly="0" outline="0" fieldPosition="0"/>
    </format>
    <format dxfId="94">
      <pivotArea outline="0" collapsedLevelsAreSubtotals="1" fieldPosition="0"/>
    </format>
    <format dxfId="93">
      <pivotArea field="12" type="button" dataOnly="0" labelOnly="1" outline="0" axis="axisRow" fieldPosition="0"/>
    </format>
    <format dxfId="92">
      <pivotArea dataOnly="0" labelOnly="1" fieldPosition="0">
        <references count="1">
          <reference field="12" count="0"/>
        </references>
      </pivotArea>
    </format>
    <format dxfId="91">
      <pivotArea dataOnly="0" labelOnly="1" grandRow="1" outline="0" fieldPosition="0"/>
    </format>
    <format dxfId="9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8FEB31-8766-4A63-BA17-EDFEEF1FB9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7:D328" firstHeaderRow="0" firstDataRow="1" firstDataCol="1"/>
  <pivotFields count="14">
    <pivotField showAll="0"/>
    <pivotField axis="axisRow" showAll="0">
      <items count="5">
        <item x="2"/>
        <item x="1"/>
        <item x="3"/>
        <item x="0"/>
        <item t="default"/>
      </items>
    </pivotField>
    <pivotField numFmtId="14" showAll="0"/>
    <pivotField axis="axisRow" showAll="0">
      <items count="5">
        <item x="3"/>
        <item x="0"/>
        <item x="1"/>
        <item x="2"/>
        <item t="default"/>
      </items>
    </pivotField>
    <pivotField showAll="0"/>
    <pivotField showAll="0"/>
    <pivotField dataField="1" showAll="0"/>
    <pivotField dataField="1" showAll="0"/>
    <pivotField dataField="1" showAll="0"/>
    <pivotField showAll="0"/>
    <pivotField showAll="0"/>
    <pivotField showAll="0"/>
    <pivotField showAll="0"/>
    <pivotField numFmtId="164" showAll="0"/>
  </pivotFields>
  <rowFields count="2">
    <field x="3"/>
    <field x="1"/>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3">
    <i>
      <x/>
    </i>
    <i i="1">
      <x v="1"/>
    </i>
    <i i="2">
      <x v="2"/>
    </i>
  </colItems>
  <dataFields count="3">
    <dataField name="Total Likes" fld="6" baseField="3" baseItem="0"/>
    <dataField name="Total Shares" fld="7" baseField="3" baseItem="0"/>
    <dataField name="Total Comments" fld="8" baseField="3" baseItem="0"/>
  </dataFields>
  <formats count="19">
    <format dxfId="114">
      <pivotArea field="3" type="button" dataOnly="0" labelOnly="1" outline="0" axis="axisRow" fieldPosition="0"/>
    </format>
    <format dxfId="113">
      <pivotArea dataOnly="0" labelOnly="1" outline="0" fieldPosition="0">
        <references count="1">
          <reference field="4294967294" count="3">
            <x v="0"/>
            <x v="1"/>
            <x v="2"/>
          </reference>
        </references>
      </pivotArea>
    </format>
    <format dxfId="112">
      <pivotArea type="all" dataOnly="0" outline="0" fieldPosition="0"/>
    </format>
    <format dxfId="111">
      <pivotArea outline="0" collapsedLevelsAreSubtotals="1" fieldPosition="0"/>
    </format>
    <format dxfId="110">
      <pivotArea field="3" type="button" dataOnly="0" labelOnly="1" outline="0" axis="axisRow" fieldPosition="0"/>
    </format>
    <format dxfId="109">
      <pivotArea dataOnly="0" labelOnly="1" fieldPosition="0">
        <references count="1">
          <reference field="3" count="0"/>
        </references>
      </pivotArea>
    </format>
    <format dxfId="108">
      <pivotArea dataOnly="0" labelOnly="1" grandRow="1" outline="0" fieldPosition="0"/>
    </format>
    <format dxfId="107">
      <pivotArea dataOnly="0" labelOnly="1" fieldPosition="0">
        <references count="2">
          <reference field="1" count="0"/>
          <reference field="3" count="1" selected="0">
            <x v="0"/>
          </reference>
        </references>
      </pivotArea>
    </format>
    <format dxfId="106">
      <pivotArea dataOnly="0" labelOnly="1" fieldPosition="0">
        <references count="2">
          <reference field="1" count="0"/>
          <reference field="3" count="1" selected="0">
            <x v="1"/>
          </reference>
        </references>
      </pivotArea>
    </format>
    <format dxfId="105">
      <pivotArea dataOnly="0" labelOnly="1" fieldPosition="0">
        <references count="2">
          <reference field="1" count="0"/>
          <reference field="3" count="1" selected="0">
            <x v="2"/>
          </reference>
        </references>
      </pivotArea>
    </format>
    <format dxfId="104">
      <pivotArea dataOnly="0" labelOnly="1" fieldPosition="0">
        <references count="2">
          <reference field="1" count="0"/>
          <reference field="3" count="1" selected="0">
            <x v="3"/>
          </reference>
        </references>
      </pivotArea>
    </format>
    <format dxfId="103">
      <pivotArea dataOnly="0" labelOnly="1" outline="0" fieldPosition="0">
        <references count="1">
          <reference field="4294967294" count="3">
            <x v="0"/>
            <x v="1"/>
            <x v="2"/>
          </reference>
        </references>
      </pivotArea>
    </format>
    <format dxfId="102">
      <pivotArea collapsedLevelsAreSubtotals="1" fieldPosition="0">
        <references count="1">
          <reference field="3" count="1">
            <x v="0"/>
          </reference>
        </references>
      </pivotArea>
    </format>
    <format dxfId="101">
      <pivotArea dataOnly="0" labelOnly="1" fieldPosition="0">
        <references count="1">
          <reference field="3" count="1">
            <x v="0"/>
          </reference>
        </references>
      </pivotArea>
    </format>
    <format dxfId="100">
      <pivotArea collapsedLevelsAreSubtotals="1" fieldPosition="0">
        <references count="1">
          <reference field="3" count="1">
            <x v="1"/>
          </reference>
        </references>
      </pivotArea>
    </format>
    <format dxfId="99">
      <pivotArea dataOnly="0" labelOnly="1" fieldPosition="0">
        <references count="1">
          <reference field="3" count="1">
            <x v="1"/>
          </reference>
        </references>
      </pivotArea>
    </format>
    <format dxfId="98">
      <pivotArea collapsedLevelsAreSubtotals="1" fieldPosition="0">
        <references count="1">
          <reference field="3" count="1">
            <x v="2"/>
          </reference>
        </references>
      </pivotArea>
    </format>
    <format dxfId="97">
      <pivotArea collapsedLevelsAreSubtotals="1" fieldPosition="0">
        <references count="1">
          <reference field="3" count="1">
            <x v="3"/>
          </reference>
        </references>
      </pivotArea>
    </format>
    <format dxfId="96">
      <pivotArea dataOnly="0" labelOnly="1" fieldPosition="0">
        <references count="1">
          <reference field="3" count="2">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110609-2773-48FE-BC3A-A53B809A52C4}" name="PivotTable6"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2:B6" firstHeaderRow="1" firstDataRow="1" firstDataCol="1"/>
  <pivotFields count="20">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numFmtId="14" showAll="0">
      <items count="211">
        <item x="175"/>
        <item x="169"/>
        <item x="82"/>
        <item x="122"/>
        <item x="79"/>
        <item x="198"/>
        <item x="88"/>
        <item x="168"/>
        <item x="172"/>
        <item x="49"/>
        <item x="95"/>
        <item x="123"/>
        <item x="52"/>
        <item x="206"/>
        <item x="171"/>
        <item x="97"/>
        <item x="56"/>
        <item x="18"/>
        <item x="6"/>
        <item x="173"/>
        <item x="89"/>
        <item x="48"/>
        <item x="80"/>
        <item x="147"/>
        <item x="7"/>
        <item x="119"/>
        <item x="176"/>
        <item x="182"/>
        <item x="11"/>
        <item x="130"/>
        <item x="75"/>
        <item x="62"/>
        <item x="100"/>
        <item x="31"/>
        <item x="71"/>
        <item x="185"/>
        <item x="99"/>
        <item x="131"/>
        <item x="3"/>
        <item x="87"/>
        <item x="143"/>
        <item x="160"/>
        <item x="60"/>
        <item x="17"/>
        <item x="189"/>
        <item x="124"/>
        <item x="133"/>
        <item x="15"/>
        <item x="181"/>
        <item x="8"/>
        <item x="67"/>
        <item x="58"/>
        <item x="111"/>
        <item x="19"/>
        <item x="86"/>
        <item x="159"/>
        <item x="26"/>
        <item x="113"/>
        <item x="109"/>
        <item x="201"/>
        <item x="156"/>
        <item x="102"/>
        <item x="170"/>
        <item x="127"/>
        <item x="180"/>
        <item x="197"/>
        <item x="76"/>
        <item x="195"/>
        <item x="91"/>
        <item x="74"/>
        <item x="54"/>
        <item x="129"/>
        <item x="188"/>
        <item x="70"/>
        <item x="118"/>
        <item x="107"/>
        <item x="194"/>
        <item x="22"/>
        <item x="72"/>
        <item x="85"/>
        <item x="139"/>
        <item x="104"/>
        <item x="204"/>
        <item x="12"/>
        <item x="163"/>
        <item x="101"/>
        <item x="192"/>
        <item x="199"/>
        <item x="116"/>
        <item x="34"/>
        <item x="140"/>
        <item x="144"/>
        <item x="64"/>
        <item x="77"/>
        <item x="84"/>
        <item x="30"/>
        <item x="151"/>
        <item x="53"/>
        <item x="128"/>
        <item x="154"/>
        <item x="0"/>
        <item x="209"/>
        <item x="164"/>
        <item x="142"/>
        <item x="126"/>
        <item x="36"/>
        <item x="112"/>
        <item x="153"/>
        <item x="179"/>
        <item x="183"/>
        <item x="162"/>
        <item x="177"/>
        <item x="23"/>
        <item x="78"/>
        <item x="57"/>
        <item x="190"/>
        <item x="10"/>
        <item x="96"/>
        <item x="114"/>
        <item x="108"/>
        <item x="186"/>
        <item x="208"/>
        <item x="187"/>
        <item x="138"/>
        <item x="37"/>
        <item x="166"/>
        <item x="191"/>
        <item x="46"/>
        <item x="29"/>
        <item x="21"/>
        <item x="43"/>
        <item x="68"/>
        <item x="27"/>
        <item x="41"/>
        <item x="178"/>
        <item x="65"/>
        <item x="9"/>
        <item x="51"/>
        <item x="106"/>
        <item x="165"/>
        <item x="200"/>
        <item x="94"/>
        <item x="155"/>
        <item x="121"/>
        <item x="196"/>
        <item x="61"/>
        <item x="63"/>
        <item x="135"/>
        <item x="66"/>
        <item x="184"/>
        <item x="25"/>
        <item x="110"/>
        <item x="161"/>
        <item x="136"/>
        <item x="193"/>
        <item x="55"/>
        <item x="203"/>
        <item x="35"/>
        <item x="141"/>
        <item x="174"/>
        <item x="167"/>
        <item x="45"/>
        <item x="16"/>
        <item x="207"/>
        <item x="202"/>
        <item x="2"/>
        <item x="205"/>
        <item x="1"/>
        <item x="4"/>
        <item x="5"/>
        <item x="13"/>
        <item x="14"/>
        <item x="20"/>
        <item x="24"/>
        <item x="28"/>
        <item x="32"/>
        <item x="33"/>
        <item x="38"/>
        <item x="39"/>
        <item x="40"/>
        <item x="42"/>
        <item x="44"/>
        <item x="47"/>
        <item x="50"/>
        <item x="59"/>
        <item x="69"/>
        <item x="73"/>
        <item x="81"/>
        <item x="83"/>
        <item x="90"/>
        <item x="92"/>
        <item x="93"/>
        <item x="98"/>
        <item x="103"/>
        <item x="105"/>
        <item x="115"/>
        <item x="117"/>
        <item x="120"/>
        <item x="125"/>
        <item x="132"/>
        <item x="134"/>
        <item x="137"/>
        <item x="145"/>
        <item x="146"/>
        <item x="148"/>
        <item x="149"/>
        <item x="150"/>
        <item x="152"/>
        <item x="157"/>
        <item x="158"/>
        <item t="default"/>
      </items>
    </pivotField>
    <pivotField showAll="0"/>
    <pivotField showAll="0"/>
    <pivotField showAll="0"/>
    <pivotField showAll="0"/>
    <pivotField showAll="0"/>
    <pivotField showAll="0"/>
    <pivotField showAll="0"/>
    <pivotField showAll="0"/>
    <pivotField showAll="0"/>
    <pivotField showAll="0"/>
    <pivotField numFmtId="10" showAll="0"/>
    <pivotField numFmtId="10" showAll="0"/>
    <pivotField numFmtId="2" showAll="0"/>
    <pivotField showAll="0" defaultSubtotal="0"/>
    <pivotField showAll="0" defaultSubtotal="0">
      <items count="4">
        <item x="0"/>
        <item x="1"/>
        <item x="2"/>
        <item x="3"/>
      </items>
    </pivotField>
    <pivotField dataField="1" dragToRow="0" dragToCol="0" dragToPage="0" showAll="0" defaultSubtotal="0"/>
    <pivotField dragToRow="0" dragToCol="0" dragToPage="0" showAll="0" defaultSubtotal="0"/>
  </pivotFields>
  <rowFields count="1">
    <field x="1"/>
  </rowFields>
  <rowItems count="4">
    <i>
      <x v="1"/>
    </i>
    <i>
      <x v="2"/>
    </i>
    <i>
      <x v="3"/>
    </i>
    <i>
      <x/>
    </i>
  </rowItems>
  <colItems count="1">
    <i/>
  </colItems>
  <dataFields count="1">
    <dataField name="Sum of Engagement" fld="18" baseField="0" baseItem="0"/>
  </dataFields>
  <formats count="6">
    <format dxfId="57">
      <pivotArea type="all" dataOnly="0" outline="0" fieldPosition="0"/>
    </format>
    <format dxfId="56">
      <pivotArea outline="0" collapsedLevelsAreSubtotals="1" fieldPosition="0"/>
    </format>
    <format dxfId="55">
      <pivotArea field="1" type="button" dataOnly="0" labelOnly="1" outline="0" axis="axisRow" fieldPosition="0"/>
    </format>
    <format dxfId="54">
      <pivotArea dataOnly="0" labelOnly="1" fieldPosition="0">
        <references count="1">
          <reference field="1" count="0"/>
        </references>
      </pivotArea>
    </format>
    <format dxfId="53">
      <pivotArea dataOnly="0" labelOnly="1" grandRow="1" outline="0" fieldPosition="0"/>
    </format>
    <format dxfId="52">
      <pivotArea dataOnly="0" labelOnly="1"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3"/>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0E2E92-E243-4937-BC8D-0F468D7075E9}" name="PivotTable8"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27:B31" firstHeaderRow="1" firstDataRow="1" firstDataCol="1"/>
  <pivotFields count="12">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sortType="descending">
      <items count="5">
        <item x="3"/>
        <item x="1"/>
        <item x="2"/>
        <item x="0"/>
        <item t="default"/>
      </items>
    </pivotField>
    <pivotField showAll="0"/>
    <pivotField showAll="0"/>
    <pivotField showAll="0"/>
    <pivotField showAll="0"/>
    <pivotField dataField="1" showAll="0"/>
    <pivotField numFmtId="10"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1"/>
        <item x="2"/>
        <item x="3"/>
        <item t="default"/>
      </items>
    </pivotField>
  </pivotFields>
  <rowFields count="1">
    <field x="1"/>
  </rowFields>
  <rowItems count="4">
    <i>
      <x/>
    </i>
    <i>
      <x v="1"/>
    </i>
    <i>
      <x v="2"/>
    </i>
    <i>
      <x v="3"/>
    </i>
  </rowItems>
  <colItems count="1">
    <i/>
  </colItems>
  <dataFields count="1">
    <dataField name="Sum of Ad_Spend" fld="6" baseField="1" baseItem="0" numFmtId="165"/>
  </dataFields>
  <formats count="7">
    <format dxfId="64">
      <pivotArea type="all" dataOnly="0" outline="0" fieldPosition="0"/>
    </format>
    <format dxfId="63">
      <pivotArea outline="0" collapsedLevelsAreSubtotals="1" fieldPosition="0"/>
    </format>
    <format dxfId="62">
      <pivotArea field="1" type="button" dataOnly="0" labelOnly="1" outline="0" axis="axisRow" fieldPosition="0"/>
    </format>
    <format dxfId="61">
      <pivotArea dataOnly="0" labelOnly="1" fieldPosition="0">
        <references count="1">
          <reference field="1" count="0"/>
        </references>
      </pivotArea>
    </format>
    <format dxfId="60">
      <pivotArea dataOnly="0" labelOnly="1" grandRow="1" outline="0" fieldPosition="0"/>
    </format>
    <format dxfId="59">
      <pivotArea dataOnly="0" labelOnly="1" outline="0" axis="axisValues" fieldPosition="0"/>
    </format>
    <format dxfId="5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2F3DD5-6DBC-46A5-8643-4FA47449AF21}" name="PivotTable7"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20:B24" firstHeaderRow="1" firstDataRow="1" firstDataCol="1"/>
  <pivotFields count="20">
    <pivotField showAll="0"/>
    <pivotField axis="axisRow" showAll="0" sortType="descending">
      <items count="5">
        <item x="0"/>
        <item x="3"/>
        <item x="1"/>
        <item x="2"/>
        <item t="default"/>
      </items>
    </pivotField>
    <pivotField numFmtId="14" showAll="0">
      <items count="211">
        <item x="175"/>
        <item x="169"/>
        <item x="82"/>
        <item x="122"/>
        <item x="79"/>
        <item x="198"/>
        <item x="88"/>
        <item x="168"/>
        <item x="172"/>
        <item x="49"/>
        <item x="95"/>
        <item x="123"/>
        <item x="52"/>
        <item x="206"/>
        <item x="171"/>
        <item x="97"/>
        <item x="56"/>
        <item x="18"/>
        <item x="6"/>
        <item x="173"/>
        <item x="89"/>
        <item x="48"/>
        <item x="80"/>
        <item x="147"/>
        <item x="7"/>
        <item x="119"/>
        <item x="176"/>
        <item x="182"/>
        <item x="11"/>
        <item x="130"/>
        <item x="75"/>
        <item x="62"/>
        <item x="100"/>
        <item x="31"/>
        <item x="71"/>
        <item x="185"/>
        <item x="99"/>
        <item x="131"/>
        <item x="3"/>
        <item x="87"/>
        <item x="143"/>
        <item x="160"/>
        <item x="60"/>
        <item x="17"/>
        <item x="189"/>
        <item x="124"/>
        <item x="133"/>
        <item x="15"/>
        <item x="181"/>
        <item x="8"/>
        <item x="67"/>
        <item x="58"/>
        <item x="111"/>
        <item x="19"/>
        <item x="86"/>
        <item x="159"/>
        <item x="26"/>
        <item x="113"/>
        <item x="109"/>
        <item x="201"/>
        <item x="156"/>
        <item x="102"/>
        <item x="170"/>
        <item x="127"/>
        <item x="180"/>
        <item x="197"/>
        <item x="76"/>
        <item x="195"/>
        <item x="91"/>
        <item x="74"/>
        <item x="54"/>
        <item x="129"/>
        <item x="188"/>
        <item x="70"/>
        <item x="118"/>
        <item x="107"/>
        <item x="194"/>
        <item x="22"/>
        <item x="72"/>
        <item x="85"/>
        <item x="139"/>
        <item x="104"/>
        <item x="204"/>
        <item x="12"/>
        <item x="163"/>
        <item x="101"/>
        <item x="192"/>
        <item x="199"/>
        <item x="116"/>
        <item x="34"/>
        <item x="140"/>
        <item x="144"/>
        <item x="64"/>
        <item x="77"/>
        <item x="84"/>
        <item x="30"/>
        <item x="151"/>
        <item x="53"/>
        <item x="128"/>
        <item x="154"/>
        <item x="0"/>
        <item x="209"/>
        <item x="164"/>
        <item x="142"/>
        <item x="126"/>
        <item x="36"/>
        <item x="112"/>
        <item x="153"/>
        <item x="179"/>
        <item x="183"/>
        <item x="162"/>
        <item x="177"/>
        <item x="23"/>
        <item x="78"/>
        <item x="57"/>
        <item x="190"/>
        <item x="10"/>
        <item x="96"/>
        <item x="114"/>
        <item x="108"/>
        <item x="186"/>
        <item x="208"/>
        <item x="187"/>
        <item x="138"/>
        <item x="37"/>
        <item x="166"/>
        <item x="191"/>
        <item x="46"/>
        <item x="29"/>
        <item x="21"/>
        <item x="43"/>
        <item x="68"/>
        <item x="27"/>
        <item x="41"/>
        <item x="178"/>
        <item x="65"/>
        <item x="9"/>
        <item x="51"/>
        <item x="106"/>
        <item x="165"/>
        <item x="200"/>
        <item x="94"/>
        <item x="155"/>
        <item x="121"/>
        <item x="196"/>
        <item x="61"/>
        <item x="63"/>
        <item x="135"/>
        <item x="66"/>
        <item x="184"/>
        <item x="25"/>
        <item x="110"/>
        <item x="161"/>
        <item x="136"/>
        <item x="193"/>
        <item x="55"/>
        <item x="203"/>
        <item x="35"/>
        <item x="141"/>
        <item x="174"/>
        <item x="167"/>
        <item x="45"/>
        <item x="16"/>
        <item x="207"/>
        <item x="202"/>
        <item x="2"/>
        <item x="205"/>
        <item x="1"/>
        <item x="4"/>
        <item x="5"/>
        <item x="13"/>
        <item x="14"/>
        <item x="20"/>
        <item x="24"/>
        <item x="28"/>
        <item x="32"/>
        <item x="33"/>
        <item x="38"/>
        <item x="39"/>
        <item x="40"/>
        <item x="42"/>
        <item x="44"/>
        <item x="47"/>
        <item x="50"/>
        <item x="59"/>
        <item x="69"/>
        <item x="73"/>
        <item x="81"/>
        <item x="83"/>
        <item x="90"/>
        <item x="92"/>
        <item x="93"/>
        <item x="98"/>
        <item x="103"/>
        <item x="105"/>
        <item x="115"/>
        <item x="117"/>
        <item x="120"/>
        <item x="125"/>
        <item x="132"/>
        <item x="134"/>
        <item x="137"/>
        <item x="145"/>
        <item x="146"/>
        <item x="148"/>
        <item x="149"/>
        <item x="150"/>
        <item x="152"/>
        <item x="157"/>
        <item x="158"/>
        <item t="default"/>
      </items>
    </pivotField>
    <pivotField showAll="0"/>
    <pivotField showAll="0"/>
    <pivotField showAll="0"/>
    <pivotField showAll="0"/>
    <pivotField showAll="0"/>
    <pivotField showAll="0"/>
    <pivotField showAll="0"/>
    <pivotField showAll="0"/>
    <pivotField showAll="0"/>
    <pivotField showAll="0"/>
    <pivotField numFmtId="10" showAll="0"/>
    <pivotField numFmtId="10" showAll="0"/>
    <pivotField numFmtId="2" showAll="0"/>
    <pivotField showAll="0" defaultSubtotal="0"/>
    <pivotField showAll="0" defaultSubtotal="0">
      <items count="4">
        <item x="0"/>
        <item x="1"/>
        <item x="2"/>
        <item x="3"/>
      </items>
    </pivotField>
    <pivotField dataField="1" dragToRow="0" dragToCol="0" dragToPage="0" showAll="0" defaultSubtotal="0"/>
    <pivotField dragToRow="0" dragToCol="0" dragToPage="0" showAll="0" defaultSubtotal="0"/>
  </pivotFields>
  <rowFields count="1">
    <field x="1"/>
  </rowFields>
  <rowItems count="4">
    <i>
      <x/>
    </i>
    <i>
      <x v="1"/>
    </i>
    <i>
      <x v="2"/>
    </i>
    <i>
      <x v="3"/>
    </i>
  </rowItems>
  <colItems count="1">
    <i/>
  </colItems>
  <dataFields count="1">
    <dataField name="Sum of Engagement" fld="18" baseField="0" baseItem="0"/>
  </dataFields>
  <formats count="6">
    <format dxfId="70">
      <pivotArea type="all" dataOnly="0" outline="0" fieldPosition="0"/>
    </format>
    <format dxfId="69">
      <pivotArea outline="0" collapsedLevelsAreSubtotals="1" fieldPosition="0"/>
    </format>
    <format dxfId="68">
      <pivotArea field="1" type="button" dataOnly="0" labelOnly="1" outline="0" axis="axisRow" fieldPosition="0"/>
    </format>
    <format dxfId="67">
      <pivotArea dataOnly="0" labelOnly="1" fieldPosition="0">
        <references count="1">
          <reference field="1" count="0"/>
        </references>
      </pivotArea>
    </format>
    <format dxfId="66">
      <pivotArea dataOnly="0" labelOnly="1" grandRow="1" outline="0" fieldPosition="0"/>
    </format>
    <format dxfId="65">
      <pivotArea dataOnly="0" labelOnly="1"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5B6978-4973-4BE3-BCB8-278E7AA0252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9:B14" firstHeaderRow="1" firstDataRow="1" firstDataCol="1"/>
  <pivotFields count="11">
    <pivotField numFmtId="14" showAll="0">
      <items count="51">
        <item x="0"/>
        <item x="1"/>
        <item x="2"/>
        <item x="34"/>
        <item x="18"/>
        <item x="35"/>
        <item x="3"/>
        <item x="19"/>
        <item x="20"/>
        <item x="4"/>
        <item x="36"/>
        <item x="5"/>
        <item x="21"/>
        <item x="6"/>
        <item x="7"/>
        <item x="45"/>
        <item x="8"/>
        <item x="9"/>
        <item x="22"/>
        <item x="37"/>
        <item x="10"/>
        <item x="46"/>
        <item x="38"/>
        <item x="39"/>
        <item x="11"/>
        <item x="12"/>
        <item x="13"/>
        <item x="40"/>
        <item x="14"/>
        <item x="23"/>
        <item x="24"/>
        <item x="25"/>
        <item x="26"/>
        <item x="41"/>
        <item x="27"/>
        <item x="47"/>
        <item x="28"/>
        <item x="42"/>
        <item x="15"/>
        <item x="48"/>
        <item x="43"/>
        <item x="29"/>
        <item x="30"/>
        <item x="44"/>
        <item x="49"/>
        <item x="31"/>
        <item x="16"/>
        <item x="32"/>
        <item x="33"/>
        <item x="17"/>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5">
    <i>
      <x v="3"/>
    </i>
    <i>
      <x v="1"/>
    </i>
    <i>
      <x v="2"/>
    </i>
    <i>
      <x/>
    </i>
    <i t="grand">
      <x/>
    </i>
  </rowItems>
  <colItems count="1">
    <i/>
  </colItems>
  <dataFields count="1">
    <dataField name="Sum of Growth rate" fld="7" baseField="0" baseItem="0" numFmtId="10"/>
  </dataFields>
  <formats count="6">
    <format dxfId="76">
      <pivotArea type="all" dataOnly="0" outline="0" fieldPosition="0"/>
    </format>
    <format dxfId="75">
      <pivotArea outline="0" collapsedLevelsAreSubtotals="1" fieldPosition="0"/>
    </format>
    <format dxfId="74">
      <pivotArea field="1" type="button" dataOnly="0" labelOnly="1" outline="0" axis="axisRow" fieldPosition="0"/>
    </format>
    <format dxfId="73">
      <pivotArea dataOnly="0" labelOnly="1" fieldPosition="0">
        <references count="1">
          <reference field="1" count="0"/>
        </references>
      </pivotArea>
    </format>
    <format dxfId="72">
      <pivotArea dataOnly="0" labelOnly="1" grandRow="1" outline="0" fieldPosition="0"/>
    </format>
    <format dxfId="71">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5B5618-E86E-4849-9D69-A5B47476F40C}"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51" firstHeaderRow="1" firstDataRow="1" firstDataCol="1"/>
  <pivotFields count="20">
    <pivotField showAll="0"/>
    <pivotField axis="axisRow" showAll="0">
      <items count="5">
        <item x="2"/>
        <item x="1"/>
        <item x="3"/>
        <item x="0"/>
        <item t="default"/>
      </items>
    </pivotField>
    <pivotField numFmtId="14" showAll="0">
      <items count="211">
        <item x="175"/>
        <item x="169"/>
        <item x="82"/>
        <item x="122"/>
        <item x="79"/>
        <item x="198"/>
        <item x="88"/>
        <item x="168"/>
        <item x="172"/>
        <item x="49"/>
        <item x="95"/>
        <item x="123"/>
        <item x="52"/>
        <item x="206"/>
        <item x="171"/>
        <item x="97"/>
        <item x="56"/>
        <item x="18"/>
        <item x="6"/>
        <item x="173"/>
        <item x="89"/>
        <item x="48"/>
        <item x="80"/>
        <item x="147"/>
        <item x="7"/>
        <item x="119"/>
        <item x="176"/>
        <item x="182"/>
        <item x="11"/>
        <item x="130"/>
        <item x="75"/>
        <item x="62"/>
        <item x="100"/>
        <item x="31"/>
        <item x="71"/>
        <item x="185"/>
        <item x="99"/>
        <item x="131"/>
        <item x="3"/>
        <item x="87"/>
        <item x="143"/>
        <item x="160"/>
        <item x="60"/>
        <item x="17"/>
        <item x="189"/>
        <item x="124"/>
        <item x="133"/>
        <item x="15"/>
        <item x="181"/>
        <item x="8"/>
        <item x="67"/>
        <item x="58"/>
        <item x="111"/>
        <item x="19"/>
        <item x="86"/>
        <item x="159"/>
        <item x="26"/>
        <item x="113"/>
        <item x="109"/>
        <item x="201"/>
        <item x="156"/>
        <item x="102"/>
        <item x="170"/>
        <item x="127"/>
        <item x="180"/>
        <item x="197"/>
        <item x="76"/>
        <item x="195"/>
        <item x="91"/>
        <item x="74"/>
        <item x="54"/>
        <item x="129"/>
        <item x="188"/>
        <item x="70"/>
        <item x="118"/>
        <item x="107"/>
        <item x="194"/>
        <item x="22"/>
        <item x="72"/>
        <item x="85"/>
        <item x="139"/>
        <item x="104"/>
        <item x="204"/>
        <item x="12"/>
        <item x="163"/>
        <item x="101"/>
        <item x="192"/>
        <item x="199"/>
        <item x="116"/>
        <item x="34"/>
        <item x="140"/>
        <item x="144"/>
        <item x="64"/>
        <item x="77"/>
        <item x="84"/>
        <item x="30"/>
        <item x="151"/>
        <item x="53"/>
        <item x="128"/>
        <item x="154"/>
        <item x="0"/>
        <item x="209"/>
        <item x="164"/>
        <item x="142"/>
        <item x="126"/>
        <item x="36"/>
        <item x="112"/>
        <item x="153"/>
        <item x="179"/>
        <item x="183"/>
        <item x="162"/>
        <item x="177"/>
        <item x="23"/>
        <item x="78"/>
        <item x="57"/>
        <item x="190"/>
        <item x="10"/>
        <item x="96"/>
        <item x="114"/>
        <item x="108"/>
        <item x="186"/>
        <item x="208"/>
        <item x="187"/>
        <item x="138"/>
        <item x="37"/>
        <item x="166"/>
        <item x="191"/>
        <item x="46"/>
        <item x="29"/>
        <item x="21"/>
        <item x="43"/>
        <item x="68"/>
        <item x="27"/>
        <item x="41"/>
        <item x="178"/>
        <item x="65"/>
        <item x="9"/>
        <item x="51"/>
        <item x="106"/>
        <item x="165"/>
        <item x="200"/>
        <item x="94"/>
        <item x="155"/>
        <item x="121"/>
        <item x="196"/>
        <item x="61"/>
        <item x="63"/>
        <item x="135"/>
        <item x="66"/>
        <item x="184"/>
        <item x="25"/>
        <item x="110"/>
        <item x="161"/>
        <item x="136"/>
        <item x="193"/>
        <item x="55"/>
        <item x="203"/>
        <item x="35"/>
        <item x="141"/>
        <item x="174"/>
        <item x="167"/>
        <item x="45"/>
        <item x="16"/>
        <item x="207"/>
        <item x="202"/>
        <item x="2"/>
        <item x="205"/>
        <item x="1"/>
        <item x="4"/>
        <item x="5"/>
        <item x="13"/>
        <item x="14"/>
        <item x="20"/>
        <item x="24"/>
        <item x="28"/>
        <item x="32"/>
        <item x="33"/>
        <item x="38"/>
        <item x="39"/>
        <item x="40"/>
        <item x="42"/>
        <item x="44"/>
        <item x="47"/>
        <item x="50"/>
        <item x="59"/>
        <item x="69"/>
        <item x="73"/>
        <item x="81"/>
        <item x="83"/>
        <item x="90"/>
        <item x="92"/>
        <item x="93"/>
        <item x="98"/>
        <item x="103"/>
        <item x="105"/>
        <item x="115"/>
        <item x="117"/>
        <item x="120"/>
        <item x="125"/>
        <item x="132"/>
        <item x="134"/>
        <item x="137"/>
        <item x="145"/>
        <item x="146"/>
        <item x="148"/>
        <item x="149"/>
        <item x="150"/>
        <item x="152"/>
        <item x="157"/>
        <item x="158"/>
        <item t="default"/>
      </items>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0" showAll="0"/>
    <pivotField numFmtId="10" showAll="0"/>
    <pivotField dataField="1" numFmtId="2" showAl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s>
  <rowFields count="2">
    <field x="1"/>
    <field x="3"/>
  </rowFields>
  <rowItems count="21">
    <i>
      <x/>
    </i>
    <i r="1">
      <x/>
    </i>
    <i r="1">
      <x v="3"/>
    </i>
    <i r="1">
      <x v="1"/>
    </i>
    <i r="1">
      <x v="2"/>
    </i>
    <i>
      <x v="1"/>
    </i>
    <i r="1">
      <x v="1"/>
    </i>
    <i r="1">
      <x v="3"/>
    </i>
    <i r="1">
      <x/>
    </i>
    <i r="1">
      <x v="2"/>
    </i>
    <i>
      <x v="2"/>
    </i>
    <i r="1">
      <x/>
    </i>
    <i r="1">
      <x v="2"/>
    </i>
    <i r="1">
      <x v="3"/>
    </i>
    <i r="1">
      <x v="1"/>
    </i>
    <i>
      <x v="3"/>
    </i>
    <i r="1">
      <x v="3"/>
    </i>
    <i r="1">
      <x/>
    </i>
    <i r="1">
      <x v="2"/>
    </i>
    <i r="1">
      <x v="1"/>
    </i>
    <i t="grand">
      <x/>
    </i>
  </rowItems>
  <colItems count="1">
    <i/>
  </colItems>
  <dataFields count="1">
    <dataField name="Sum of performance" fld="15" baseField="0" baseItem="0" numFmtId="2"/>
  </dataFields>
  <formats count="10">
    <format dxfId="31">
      <pivotArea type="all" dataOnly="0" outline="0" fieldPosition="0"/>
    </format>
    <format dxfId="30">
      <pivotArea outline="0" collapsedLevelsAreSubtotals="1" fieldPosition="0"/>
    </format>
    <format dxfId="29">
      <pivotArea field="1" type="button" dataOnly="0" labelOnly="1" outline="0" axis="axisRow" fieldPosition="0"/>
    </format>
    <format dxfId="28">
      <pivotArea dataOnly="0" labelOnly="1" fieldPosition="0">
        <references count="1">
          <reference field="1" count="0"/>
        </references>
      </pivotArea>
    </format>
    <format dxfId="27">
      <pivotArea dataOnly="0" labelOnly="1" grandRow="1" outline="0" fieldPosition="0"/>
    </format>
    <format dxfId="26">
      <pivotArea dataOnly="0" labelOnly="1" fieldPosition="0">
        <references count="2">
          <reference field="1" count="1" selected="0">
            <x v="0"/>
          </reference>
          <reference field="3" count="0"/>
        </references>
      </pivotArea>
    </format>
    <format dxfId="25">
      <pivotArea dataOnly="0" labelOnly="1" fieldPosition="0">
        <references count="2">
          <reference field="1" count="1" selected="0">
            <x v="1"/>
          </reference>
          <reference field="3" count="0"/>
        </references>
      </pivotArea>
    </format>
    <format dxfId="24">
      <pivotArea dataOnly="0" labelOnly="1" fieldPosition="0">
        <references count="2">
          <reference field="1" count="1" selected="0">
            <x v="2"/>
          </reference>
          <reference field="3" count="0"/>
        </references>
      </pivotArea>
    </format>
    <format dxfId="23">
      <pivotArea dataOnly="0" labelOnly="1" fieldPosition="0">
        <references count="2">
          <reference field="1" count="1" selected="0">
            <x v="3"/>
          </reference>
          <reference field="3" count="0"/>
        </references>
      </pivotArea>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340435-E9E2-4C78-B2CD-7FFBC359AB22}" name="PivotTable7"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D3:E22" firstHeaderRow="1" firstDataRow="1" firstDataCol="1"/>
  <pivotFields count="15">
    <pivotField showAll="0"/>
    <pivotField showAll="0"/>
    <pivotField numFmtId="14" showAll="0"/>
    <pivotField showAll="0"/>
    <pivotField showAll="0"/>
    <pivotField showAll="0"/>
    <pivotField showAll="0"/>
    <pivotField showAll="0"/>
    <pivotField showAll="0"/>
    <pivotField showAll="0"/>
    <pivotField showAll="0"/>
    <pivotField numFmtId="10" showAll="0"/>
    <pivotField axis="axisRow" showAll="0" sortType="descending">
      <items count="20">
        <item x="4"/>
        <item x="18"/>
        <item x="6"/>
        <item x="3"/>
        <item x="10"/>
        <item x="9"/>
        <item x="11"/>
        <item x="0"/>
        <item x="12"/>
        <item x="1"/>
        <item x="5"/>
        <item x="7"/>
        <item x="14"/>
        <item x="13"/>
        <item x="15"/>
        <item x="2"/>
        <item x="16"/>
        <item x="8"/>
        <item x="17"/>
        <item t="default"/>
      </items>
      <autoSortScope>
        <pivotArea dataOnly="0" outline="0" fieldPosition="0">
          <references count="1">
            <reference field="4294967294" count="1" selected="0">
              <x v="0"/>
            </reference>
          </references>
        </pivotArea>
      </autoSortScope>
    </pivotField>
    <pivotField numFmtId="10" showAll="0"/>
    <pivotField dataField="1" numFmtId="2" showAll="0"/>
  </pivotFields>
  <rowFields count="1">
    <field x="12"/>
  </rowFields>
  <rowItems count="19">
    <i>
      <x v="7"/>
    </i>
    <i>
      <x v="9"/>
    </i>
    <i>
      <x v="17"/>
    </i>
    <i>
      <x v="4"/>
    </i>
    <i>
      <x v="5"/>
    </i>
    <i>
      <x v="12"/>
    </i>
    <i>
      <x v="18"/>
    </i>
    <i>
      <x v="1"/>
    </i>
    <i>
      <x v="14"/>
    </i>
    <i>
      <x v="15"/>
    </i>
    <i>
      <x v="3"/>
    </i>
    <i>
      <x v="2"/>
    </i>
    <i>
      <x v="13"/>
    </i>
    <i>
      <x v="6"/>
    </i>
    <i>
      <x v="8"/>
    </i>
    <i>
      <x/>
    </i>
    <i>
      <x v="10"/>
    </i>
    <i>
      <x v="11"/>
    </i>
    <i>
      <x v="16"/>
    </i>
  </rowItems>
  <colItems count="1">
    <i/>
  </colItems>
  <dataFields count="1">
    <dataField name="Average of Performance" fld="14" subtotal="average" baseField="12" baseItem="0" numFmtId="2"/>
  </dataFields>
  <formats count="6">
    <format dxfId="37">
      <pivotArea type="all" dataOnly="0" outline="0" fieldPosition="0"/>
    </format>
    <format dxfId="36">
      <pivotArea outline="0" collapsedLevelsAreSubtotals="1" fieldPosition="0"/>
    </format>
    <format dxfId="35">
      <pivotArea field="12" type="button" dataOnly="0" labelOnly="1" outline="0" axis="axisRow" fieldPosition="0"/>
    </format>
    <format dxfId="34">
      <pivotArea dataOnly="0" labelOnly="1" fieldPosition="0">
        <references count="1">
          <reference field="12" count="0"/>
        </references>
      </pivotArea>
    </format>
    <format dxfId="33">
      <pivotArea dataOnly="0" labelOnly="1" grandRow="1" outline="0" fieldPosition="0"/>
    </format>
    <format dxfId="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F72514-B595-4B75-BE02-7369F1135A22}" name="PivotTable11" cacheId="5" applyNumberFormats="0" applyBorderFormats="0" applyFontFormats="0" applyPatternFormats="0" applyAlignmentFormats="0" applyWidthHeightFormats="1" dataCaption="Values" tag="08b243b0-53ef-4093-9b8a-daaa335e42cf" updatedVersion="8" minRefreshableVersion="3" useAutoFormatting="1" subtotalHiddenItems="1" rowGrandTotals="0" itemPrintTitles="1" createdVersion="5" indent="0" outline="1" outlineData="1" multipleFieldFilters="0">
  <location ref="G3:H27"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2">
    <field x="2"/>
    <field x="0"/>
  </rowFields>
  <rowItems count="24">
    <i>
      <x/>
    </i>
    <i r="1">
      <x v="1"/>
    </i>
    <i r="1">
      <x v="2"/>
    </i>
    <i r="1">
      <x/>
    </i>
    <i r="1">
      <x v="3"/>
    </i>
    <i r="1">
      <x v="4"/>
    </i>
    <i>
      <x v="3"/>
    </i>
    <i r="1">
      <x v="1"/>
    </i>
    <i r="1">
      <x v="4"/>
    </i>
    <i r="1">
      <x/>
    </i>
    <i r="1">
      <x v="2"/>
    </i>
    <i r="1">
      <x v="3"/>
    </i>
    <i>
      <x v="2"/>
    </i>
    <i r="1">
      <x/>
    </i>
    <i r="1">
      <x v="2"/>
    </i>
    <i r="1">
      <x v="1"/>
    </i>
    <i r="1">
      <x v="4"/>
    </i>
    <i r="1">
      <x v="3"/>
    </i>
    <i>
      <x v="1"/>
    </i>
    <i r="1">
      <x v="1"/>
    </i>
    <i r="1">
      <x/>
    </i>
    <i r="1">
      <x v="2"/>
    </i>
    <i r="1">
      <x v="3"/>
    </i>
    <i r="1">
      <x v="4"/>
    </i>
  </rowItems>
  <colItems count="1">
    <i/>
  </colItems>
  <dataFields count="1">
    <dataField name="Sum of performance" fld="1" baseField="0" baseItem="0"/>
  </dataFields>
  <formats count="9">
    <format dxfId="46">
      <pivotArea type="all" dataOnly="0" outline="0" fieldPosition="0"/>
    </format>
    <format dxfId="45">
      <pivotArea outline="0" collapsedLevelsAreSubtotals="1" fieldPosition="0"/>
    </format>
    <format dxfId="44">
      <pivotArea field="2" type="button" dataOnly="0" labelOnly="1" outline="0" axis="axisRow" fieldPosition="0"/>
    </format>
    <format dxfId="43">
      <pivotArea dataOnly="0" labelOnly="1" fieldPosition="0">
        <references count="1">
          <reference field="2" count="0"/>
        </references>
      </pivotArea>
    </format>
    <format dxfId="42">
      <pivotArea dataOnly="0" labelOnly="1" fieldPosition="0">
        <references count="2">
          <reference field="0" count="0"/>
          <reference field="2" count="1" selected="0">
            <x v="0"/>
          </reference>
        </references>
      </pivotArea>
    </format>
    <format dxfId="41">
      <pivotArea dataOnly="0" labelOnly="1" fieldPosition="0">
        <references count="2">
          <reference field="0" count="0"/>
          <reference field="2" count="1" selected="0">
            <x v="3"/>
          </reference>
        </references>
      </pivotArea>
    </format>
    <format dxfId="40">
      <pivotArea dataOnly="0" labelOnly="1" fieldPosition="0">
        <references count="2">
          <reference field="0" count="0"/>
          <reference field="2" count="1" selected="0">
            <x v="2"/>
          </reference>
        </references>
      </pivotArea>
    </format>
    <format dxfId="39">
      <pivotArea dataOnly="0" labelOnly="1" fieldPosition="0">
        <references count="2">
          <reference field="0" count="0"/>
          <reference field="2" count="1" selected="0">
            <x v="1"/>
          </reference>
        </references>
      </pivotArea>
    </format>
    <format dxfId="38">
      <pivotArea dataOnly="0" labelOnly="1" outline="0" axis="axisValues"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65137FD-4BE1-4B78-8CC1-1AFBD0FAFF3A}" name="PivotTable9"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2" firstHeaderRow="1" firstDataRow="1" firstDataCol="1"/>
  <pivotFields count="14">
    <pivotField showAll="0"/>
    <pivotField showAll="0"/>
    <pivotField numFmtId="14" showAll="0"/>
    <pivotField showAll="0"/>
    <pivotField showAll="0"/>
    <pivotField showAll="0"/>
    <pivotField showAll="0"/>
    <pivotField showAll="0"/>
    <pivotField showAll="0"/>
    <pivotField showAll="0"/>
    <pivotField showAll="0"/>
    <pivotField numFmtId="10" showAll="0"/>
    <pivotField axis="axisRow" dataField="1" showAll="0" sortType="descending">
      <items count="20">
        <item x="4"/>
        <item x="18"/>
        <item x="6"/>
        <item x="3"/>
        <item x="10"/>
        <item x="9"/>
        <item x="11"/>
        <item x="0"/>
        <item x="12"/>
        <item x="1"/>
        <item x="5"/>
        <item x="7"/>
        <item x="14"/>
        <item x="13"/>
        <item x="15"/>
        <item x="2"/>
        <item x="16"/>
        <item x="8"/>
        <item x="17"/>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s>
  <rowFields count="1">
    <field x="12"/>
  </rowFields>
  <rowItems count="19">
    <i>
      <x v="2"/>
    </i>
    <i>
      <x v="17"/>
    </i>
    <i>
      <x v="6"/>
    </i>
    <i>
      <x v="8"/>
    </i>
    <i>
      <x v="5"/>
    </i>
    <i>
      <x v="4"/>
    </i>
    <i>
      <x v="12"/>
    </i>
    <i>
      <x v="13"/>
    </i>
    <i>
      <x v="15"/>
    </i>
    <i>
      <x v="3"/>
    </i>
    <i>
      <x v="10"/>
    </i>
    <i>
      <x v="14"/>
    </i>
    <i>
      <x/>
    </i>
    <i>
      <x v="7"/>
    </i>
    <i>
      <x v="9"/>
    </i>
    <i>
      <x v="11"/>
    </i>
    <i>
      <x v="16"/>
    </i>
    <i>
      <x v="18"/>
    </i>
    <i>
      <x v="1"/>
    </i>
  </rowItems>
  <colItems count="1">
    <i/>
  </colItems>
  <dataFields count="1">
    <dataField name="Count of Hashtags" fld="12" subtotal="count" baseField="0" baseItem="0"/>
  </dataFields>
  <formats count="5">
    <format dxfId="51">
      <pivotArea type="all" dataOnly="0" outline="0" fieldPosition="0"/>
    </format>
    <format dxfId="50">
      <pivotArea outline="0" collapsedLevelsAreSubtotals="1" fieldPosition="0"/>
    </format>
    <format dxfId="49">
      <pivotArea field="12" type="button" dataOnly="0" labelOnly="1" outline="0" axis="axisRow" fieldPosition="0"/>
    </format>
    <format dxfId="48">
      <pivotArea dataOnly="0" labelOnly="1" fieldPosition="0">
        <references count="1">
          <reference field="12" count="0"/>
        </references>
      </pivotArea>
    </format>
    <format dxfId="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7ABA52-E333-49F9-86BC-A107F748EEAB}" name="PivotTable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23:B28" firstHeaderRow="1" firstDataRow="1" firstDataCol="1"/>
  <pivotFields count="20">
    <pivotField showAll="0"/>
    <pivotField showAll="0"/>
    <pivotField numFmtId="14" showAll="0">
      <items count="211">
        <item x="175"/>
        <item x="169"/>
        <item x="82"/>
        <item x="122"/>
        <item x="79"/>
        <item x="198"/>
        <item x="88"/>
        <item x="168"/>
        <item x="172"/>
        <item x="49"/>
        <item x="95"/>
        <item x="123"/>
        <item x="52"/>
        <item x="206"/>
        <item x="171"/>
        <item x="97"/>
        <item x="56"/>
        <item x="18"/>
        <item x="6"/>
        <item x="173"/>
        <item x="89"/>
        <item x="48"/>
        <item x="80"/>
        <item x="147"/>
        <item x="7"/>
        <item x="119"/>
        <item x="176"/>
        <item x="182"/>
        <item x="11"/>
        <item x="130"/>
        <item x="75"/>
        <item x="62"/>
        <item x="100"/>
        <item x="31"/>
        <item x="71"/>
        <item x="185"/>
        <item x="99"/>
        <item x="131"/>
        <item x="3"/>
        <item x="87"/>
        <item x="143"/>
        <item x="160"/>
        <item x="60"/>
        <item x="17"/>
        <item x="189"/>
        <item x="124"/>
        <item x="133"/>
        <item x="15"/>
        <item x="181"/>
        <item x="8"/>
        <item x="67"/>
        <item x="58"/>
        <item x="111"/>
        <item x="19"/>
        <item x="86"/>
        <item x="159"/>
        <item x="26"/>
        <item x="113"/>
        <item x="109"/>
        <item x="201"/>
        <item x="156"/>
        <item x="102"/>
        <item x="170"/>
        <item x="127"/>
        <item x="180"/>
        <item x="197"/>
        <item x="76"/>
        <item x="195"/>
        <item x="91"/>
        <item x="74"/>
        <item x="54"/>
        <item x="129"/>
        <item x="188"/>
        <item x="70"/>
        <item x="118"/>
        <item x="107"/>
        <item x="194"/>
        <item x="22"/>
        <item x="72"/>
        <item x="85"/>
        <item x="139"/>
        <item x="104"/>
        <item x="204"/>
        <item x="12"/>
        <item x="163"/>
        <item x="101"/>
        <item x="192"/>
        <item x="199"/>
        <item x="116"/>
        <item x="34"/>
        <item x="140"/>
        <item x="144"/>
        <item x="64"/>
        <item x="77"/>
        <item x="84"/>
        <item x="30"/>
        <item x="151"/>
        <item x="53"/>
        <item x="128"/>
        <item x="154"/>
        <item x="0"/>
        <item x="209"/>
        <item x="164"/>
        <item x="142"/>
        <item x="126"/>
        <item x="36"/>
        <item x="112"/>
        <item x="153"/>
        <item x="179"/>
        <item x="183"/>
        <item x="162"/>
        <item x="177"/>
        <item x="23"/>
        <item x="78"/>
        <item x="57"/>
        <item x="190"/>
        <item x="10"/>
        <item x="96"/>
        <item x="114"/>
        <item x="108"/>
        <item x="186"/>
        <item x="208"/>
        <item x="187"/>
        <item x="138"/>
        <item x="37"/>
        <item x="166"/>
        <item x="191"/>
        <item x="46"/>
        <item x="29"/>
        <item x="21"/>
        <item x="43"/>
        <item x="68"/>
        <item x="27"/>
        <item x="41"/>
        <item x="178"/>
        <item x="65"/>
        <item x="9"/>
        <item x="51"/>
        <item x="106"/>
        <item x="165"/>
        <item x="200"/>
        <item x="94"/>
        <item x="155"/>
        <item x="121"/>
        <item x="196"/>
        <item x="61"/>
        <item x="63"/>
        <item x="135"/>
        <item x="66"/>
        <item x="184"/>
        <item x="25"/>
        <item x="110"/>
        <item x="161"/>
        <item x="136"/>
        <item x="193"/>
        <item x="55"/>
        <item x="203"/>
        <item x="35"/>
        <item x="141"/>
        <item x="174"/>
        <item x="167"/>
        <item x="45"/>
        <item x="16"/>
        <item x="207"/>
        <item x="202"/>
        <item x="2"/>
        <item x="205"/>
        <item x="1"/>
        <item x="4"/>
        <item x="5"/>
        <item x="13"/>
        <item x="14"/>
        <item x="20"/>
        <item x="24"/>
        <item x="28"/>
        <item x="32"/>
        <item x="33"/>
        <item x="38"/>
        <item x="39"/>
        <item x="40"/>
        <item x="42"/>
        <item x="44"/>
        <item x="47"/>
        <item x="50"/>
        <item x="59"/>
        <item x="69"/>
        <item x="73"/>
        <item x="81"/>
        <item x="83"/>
        <item x="90"/>
        <item x="92"/>
        <item x="93"/>
        <item x="98"/>
        <item x="103"/>
        <item x="105"/>
        <item x="115"/>
        <item x="117"/>
        <item x="120"/>
        <item x="125"/>
        <item x="132"/>
        <item x="134"/>
        <item x="137"/>
        <item x="145"/>
        <item x="146"/>
        <item x="148"/>
        <item x="149"/>
        <item x="150"/>
        <item x="152"/>
        <item x="157"/>
        <item x="158"/>
        <item t="default"/>
      </items>
    </pivotField>
    <pivotField showAll="0"/>
    <pivotField showAll="0"/>
    <pivotField showAll="0"/>
    <pivotField showAll="0"/>
    <pivotField showAll="0"/>
    <pivotField showAll="0"/>
    <pivotField showAll="0"/>
    <pivotField showAll="0"/>
    <pivotField showAll="0"/>
    <pivotField axis="axisRow" showAll="0">
      <items count="6">
        <item x="1"/>
        <item x="0"/>
        <item x="3"/>
        <item x="4"/>
        <item x="2"/>
        <item t="default"/>
      </items>
    </pivotField>
    <pivotField numFmtId="10" showAll="0"/>
    <pivotField numFmtId="10" showAll="0"/>
    <pivotField numFmtId="2" showAll="0"/>
    <pivotField showAll="0" defaultSubtotal="0"/>
    <pivotField showAll="0" defaultSubtotal="0">
      <items count="4">
        <item x="0"/>
        <item x="1"/>
        <item x="2"/>
        <item x="3"/>
      </items>
    </pivotField>
    <pivotField dragToRow="0" dragToCol="0" dragToPage="0" showAll="0" defaultSubtotal="0"/>
    <pivotField dataField="1" dragToRow="0" dragToCol="0" dragToPage="0" showAll="0" defaultSubtotal="0"/>
  </pivotFields>
  <rowFields count="1">
    <field x="12"/>
  </rowFields>
  <rowItems count="5">
    <i>
      <x/>
    </i>
    <i>
      <x v="1"/>
    </i>
    <i>
      <x v="2"/>
    </i>
    <i>
      <x v="3"/>
    </i>
    <i>
      <x v="4"/>
    </i>
  </rowItems>
  <colItems count="1">
    <i/>
  </colItems>
  <dataFields count="1">
    <dataField name="Engagement(Campaign)" fld="19" baseField="12" baseItem="0"/>
  </dataFields>
  <formats count="6">
    <format dxfId="15">
      <pivotArea type="all" dataOnly="0" outline="0" fieldPosition="0"/>
    </format>
    <format dxfId="14">
      <pivotArea outline="0" collapsedLevelsAreSubtotals="1" fieldPosition="0"/>
    </format>
    <format dxfId="13">
      <pivotArea field="12" type="button" dataOnly="0" labelOnly="1" outline="0" axis="axisRow" fieldPosition="0"/>
    </format>
    <format dxfId="12">
      <pivotArea dataOnly="0" labelOnly="1" fieldPosition="0">
        <references count="1">
          <reference field="12" count="0"/>
        </references>
      </pivotArea>
    </format>
    <format dxfId="11">
      <pivotArea dataOnly="0" labelOnly="1" grandRow="1" outline="0" fieldPosition="0"/>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2D1F0E-2AFB-459F-9A81-0F280794614E}"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9" firstHeaderRow="0" firstDataRow="1" firstDataCol="1"/>
  <pivotFields count="20">
    <pivotField showAll="0"/>
    <pivotField showAll="0"/>
    <pivotField numFmtId="14" showAll="0">
      <items count="211">
        <item x="175"/>
        <item x="169"/>
        <item x="82"/>
        <item x="122"/>
        <item x="79"/>
        <item x="198"/>
        <item x="88"/>
        <item x="168"/>
        <item x="172"/>
        <item x="49"/>
        <item x="95"/>
        <item x="123"/>
        <item x="52"/>
        <item x="206"/>
        <item x="171"/>
        <item x="97"/>
        <item x="56"/>
        <item x="18"/>
        <item x="6"/>
        <item x="173"/>
        <item x="89"/>
        <item x="48"/>
        <item x="80"/>
        <item x="147"/>
        <item x="7"/>
        <item x="119"/>
        <item x="176"/>
        <item x="182"/>
        <item x="11"/>
        <item x="130"/>
        <item x="75"/>
        <item x="62"/>
        <item x="100"/>
        <item x="31"/>
        <item x="71"/>
        <item x="185"/>
        <item x="99"/>
        <item x="131"/>
        <item x="3"/>
        <item x="87"/>
        <item x="143"/>
        <item x="160"/>
        <item x="60"/>
        <item x="17"/>
        <item x="189"/>
        <item x="124"/>
        <item x="133"/>
        <item x="15"/>
        <item x="181"/>
        <item x="8"/>
        <item x="67"/>
        <item x="58"/>
        <item x="111"/>
        <item x="19"/>
        <item x="86"/>
        <item x="159"/>
        <item x="26"/>
        <item x="113"/>
        <item x="109"/>
        <item x="201"/>
        <item x="156"/>
        <item x="102"/>
        <item x="170"/>
        <item x="127"/>
        <item x="180"/>
        <item x="197"/>
        <item x="76"/>
        <item x="195"/>
        <item x="91"/>
        <item x="74"/>
        <item x="54"/>
        <item x="129"/>
        <item x="188"/>
        <item x="70"/>
        <item x="118"/>
        <item x="107"/>
        <item x="194"/>
        <item x="22"/>
        <item x="72"/>
        <item x="85"/>
        <item x="139"/>
        <item x="104"/>
        <item x="204"/>
        <item x="12"/>
        <item x="163"/>
        <item x="101"/>
        <item x="192"/>
        <item x="199"/>
        <item x="116"/>
        <item x="34"/>
        <item x="140"/>
        <item x="144"/>
        <item x="64"/>
        <item x="77"/>
        <item x="84"/>
        <item x="30"/>
        <item x="151"/>
        <item x="53"/>
        <item x="128"/>
        <item x="154"/>
        <item x="0"/>
        <item x="209"/>
        <item x="164"/>
        <item x="142"/>
        <item x="126"/>
        <item x="36"/>
        <item x="112"/>
        <item x="153"/>
        <item x="179"/>
        <item x="183"/>
        <item x="162"/>
        <item x="177"/>
        <item x="23"/>
        <item x="78"/>
        <item x="57"/>
        <item x="190"/>
        <item x="10"/>
        <item x="96"/>
        <item x="114"/>
        <item x="108"/>
        <item x="186"/>
        <item x="208"/>
        <item x="187"/>
        <item x="138"/>
        <item x="37"/>
        <item x="166"/>
        <item x="191"/>
        <item x="46"/>
        <item x="29"/>
        <item x="21"/>
        <item x="43"/>
        <item x="68"/>
        <item x="27"/>
        <item x="41"/>
        <item x="178"/>
        <item x="65"/>
        <item x="9"/>
        <item x="51"/>
        <item x="106"/>
        <item x="165"/>
        <item x="200"/>
        <item x="94"/>
        <item x="155"/>
        <item x="121"/>
        <item x="196"/>
        <item x="61"/>
        <item x="63"/>
        <item x="135"/>
        <item x="66"/>
        <item x="184"/>
        <item x="25"/>
        <item x="110"/>
        <item x="161"/>
        <item x="136"/>
        <item x="193"/>
        <item x="55"/>
        <item x="203"/>
        <item x="35"/>
        <item x="141"/>
        <item x="174"/>
        <item x="167"/>
        <item x="45"/>
        <item x="16"/>
        <item x="207"/>
        <item x="202"/>
        <item x="2"/>
        <item x="205"/>
        <item x="1"/>
        <item x="4"/>
        <item x="5"/>
        <item x="13"/>
        <item x="14"/>
        <item x="20"/>
        <item x="24"/>
        <item x="28"/>
        <item x="32"/>
        <item x="33"/>
        <item x="38"/>
        <item x="39"/>
        <item x="40"/>
        <item x="42"/>
        <item x="44"/>
        <item x="47"/>
        <item x="50"/>
        <item x="59"/>
        <item x="69"/>
        <item x="73"/>
        <item x="81"/>
        <item x="83"/>
        <item x="90"/>
        <item x="92"/>
        <item x="93"/>
        <item x="98"/>
        <item x="103"/>
        <item x="105"/>
        <item x="115"/>
        <item x="117"/>
        <item x="120"/>
        <item x="125"/>
        <item x="132"/>
        <item x="134"/>
        <item x="137"/>
        <item x="145"/>
        <item x="146"/>
        <item x="148"/>
        <item x="149"/>
        <item x="150"/>
        <item x="152"/>
        <item x="157"/>
        <item x="158"/>
        <item t="default"/>
      </items>
    </pivotField>
    <pivotField showAll="0"/>
    <pivotField showAll="0"/>
    <pivotField showAll="0"/>
    <pivotField dataField="1" showAll="0">
      <items count="297">
        <item x="11"/>
        <item x="168"/>
        <item x="254"/>
        <item x="166"/>
        <item x="30"/>
        <item x="31"/>
        <item x="132"/>
        <item x="261"/>
        <item x="14"/>
        <item x="199"/>
        <item x="77"/>
        <item x="294"/>
        <item x="187"/>
        <item x="3"/>
        <item x="234"/>
        <item x="292"/>
        <item x="227"/>
        <item x="277"/>
        <item x="192"/>
        <item x="278"/>
        <item x="48"/>
        <item x="172"/>
        <item x="15"/>
        <item x="288"/>
        <item x="223"/>
        <item x="243"/>
        <item x="1"/>
        <item x="193"/>
        <item x="131"/>
        <item x="57"/>
        <item x="207"/>
        <item x="40"/>
        <item x="232"/>
        <item x="115"/>
        <item x="141"/>
        <item x="19"/>
        <item x="109"/>
        <item x="133"/>
        <item x="271"/>
        <item x="113"/>
        <item x="245"/>
        <item x="64"/>
        <item x="161"/>
        <item x="53"/>
        <item x="177"/>
        <item x="205"/>
        <item x="95"/>
        <item x="80"/>
        <item x="140"/>
        <item x="8"/>
        <item x="42"/>
        <item x="96"/>
        <item x="69"/>
        <item x="100"/>
        <item x="54"/>
        <item x="181"/>
        <item x="13"/>
        <item x="180"/>
        <item x="153"/>
        <item x="291"/>
        <item x="248"/>
        <item x="259"/>
        <item x="112"/>
        <item x="235"/>
        <item x="6"/>
        <item x="196"/>
        <item x="186"/>
        <item x="37"/>
        <item x="47"/>
        <item x="124"/>
        <item x="209"/>
        <item x="202"/>
        <item x="273"/>
        <item x="123"/>
        <item x="119"/>
        <item x="114"/>
        <item x="272"/>
        <item x="206"/>
        <item x="214"/>
        <item x="144"/>
        <item x="267"/>
        <item x="221"/>
        <item x="236"/>
        <item x="176"/>
        <item x="84"/>
        <item x="191"/>
        <item x="22"/>
        <item x="89"/>
        <item x="85"/>
        <item x="21"/>
        <item x="143"/>
        <item x="280"/>
        <item x="78"/>
        <item x="289"/>
        <item x="101"/>
        <item x="59"/>
        <item x="28"/>
        <item x="121"/>
        <item x="211"/>
        <item x="190"/>
        <item x="110"/>
        <item x="218"/>
        <item x="88"/>
        <item x="171"/>
        <item x="195"/>
        <item x="188"/>
        <item x="32"/>
        <item x="212"/>
        <item x="16"/>
        <item x="67"/>
        <item x="129"/>
        <item x="293"/>
        <item x="68"/>
        <item x="250"/>
        <item x="29"/>
        <item x="170"/>
        <item x="253"/>
        <item x="247"/>
        <item x="268"/>
        <item x="86"/>
        <item x="93"/>
        <item x="276"/>
        <item x="210"/>
        <item x="36"/>
        <item x="287"/>
        <item x="128"/>
        <item x="56"/>
        <item x="70"/>
        <item x="10"/>
        <item x="148"/>
        <item x="135"/>
        <item x="228"/>
        <item x="65"/>
        <item x="90"/>
        <item x="198"/>
        <item x="98"/>
        <item x="27"/>
        <item x="62"/>
        <item x="154"/>
        <item x="155"/>
        <item x="151"/>
        <item x="229"/>
        <item x="295"/>
        <item x="239"/>
        <item x="246"/>
        <item x="41"/>
        <item x="262"/>
        <item x="136"/>
        <item x="76"/>
        <item x="208"/>
        <item x="173"/>
        <item x="237"/>
        <item x="125"/>
        <item x="116"/>
        <item x="79"/>
        <item x="219"/>
        <item x="117"/>
        <item x="49"/>
        <item x="157"/>
        <item x="275"/>
        <item x="127"/>
        <item x="5"/>
        <item x="34"/>
        <item x="197"/>
        <item x="55"/>
        <item x="270"/>
        <item x="139"/>
        <item x="217"/>
        <item x="274"/>
        <item x="284"/>
        <item x="169"/>
        <item x="242"/>
        <item x="83"/>
        <item x="258"/>
        <item x="44"/>
        <item x="194"/>
        <item x="17"/>
        <item x="162"/>
        <item x="179"/>
        <item x="263"/>
        <item x="142"/>
        <item x="265"/>
        <item x="24"/>
        <item x="255"/>
        <item x="240"/>
        <item x="251"/>
        <item x="149"/>
        <item x="163"/>
        <item x="231"/>
        <item x="257"/>
        <item x="216"/>
        <item x="111"/>
        <item x="58"/>
        <item x="60"/>
        <item x="18"/>
        <item x="282"/>
        <item x="178"/>
        <item x="38"/>
        <item x="204"/>
        <item x="33"/>
        <item x="122"/>
        <item x="75"/>
        <item x="264"/>
        <item x="45"/>
        <item x="226"/>
        <item x="220"/>
        <item x="174"/>
        <item x="82"/>
        <item x="222"/>
        <item x="150"/>
        <item x="249"/>
        <item x="203"/>
        <item x="102"/>
        <item x="269"/>
        <item x="213"/>
        <item x="61"/>
        <item x="7"/>
        <item x="285"/>
        <item x="175"/>
        <item x="145"/>
        <item x="167"/>
        <item x="134"/>
        <item x="51"/>
        <item x="120"/>
        <item x="63"/>
        <item x="230"/>
        <item x="183"/>
        <item x="2"/>
        <item x="244"/>
        <item x="66"/>
        <item x="164"/>
        <item x="201"/>
        <item x="91"/>
        <item x="39"/>
        <item x="26"/>
        <item x="182"/>
        <item x="233"/>
        <item x="9"/>
        <item x="130"/>
        <item x="118"/>
        <item x="200"/>
        <item x="35"/>
        <item x="281"/>
        <item x="290"/>
        <item x="99"/>
        <item x="146"/>
        <item x="256"/>
        <item x="147"/>
        <item x="224"/>
        <item x="184"/>
        <item x="73"/>
        <item x="106"/>
        <item x="12"/>
        <item x="158"/>
        <item x="97"/>
        <item x="4"/>
        <item x="189"/>
        <item x="74"/>
        <item x="104"/>
        <item x="238"/>
        <item x="107"/>
        <item x="160"/>
        <item x="241"/>
        <item x="283"/>
        <item x="20"/>
        <item x="25"/>
        <item x="159"/>
        <item x="43"/>
        <item x="215"/>
        <item x="279"/>
        <item x="92"/>
        <item x="260"/>
        <item x="81"/>
        <item x="72"/>
        <item x="50"/>
        <item x="23"/>
        <item x="94"/>
        <item x="137"/>
        <item x="225"/>
        <item x="105"/>
        <item x="52"/>
        <item x="138"/>
        <item x="165"/>
        <item x="252"/>
        <item x="108"/>
        <item x="126"/>
        <item x="286"/>
        <item x="0"/>
        <item x="152"/>
        <item x="87"/>
        <item x="266"/>
        <item x="103"/>
        <item x="156"/>
        <item x="185"/>
        <item x="71"/>
        <item x="46"/>
        <item t="default"/>
      </items>
    </pivotField>
    <pivotField showAll="0">
      <items count="272">
        <item x="257"/>
        <item x="17"/>
        <item x="215"/>
        <item x="83"/>
        <item x="71"/>
        <item x="173"/>
        <item x="87"/>
        <item x="139"/>
        <item x="270"/>
        <item x="259"/>
        <item x="167"/>
        <item x="266"/>
        <item x="265"/>
        <item x="264"/>
        <item x="74"/>
        <item x="109"/>
        <item x="188"/>
        <item x="244"/>
        <item x="145"/>
        <item x="82"/>
        <item x="128"/>
        <item x="19"/>
        <item x="223"/>
        <item x="191"/>
        <item x="24"/>
        <item x="78"/>
        <item x="202"/>
        <item x="40"/>
        <item x="182"/>
        <item x="124"/>
        <item x="104"/>
        <item x="245"/>
        <item x="77"/>
        <item x="21"/>
        <item x="93"/>
        <item x="32"/>
        <item x="35"/>
        <item x="220"/>
        <item x="155"/>
        <item x="218"/>
        <item x="149"/>
        <item x="52"/>
        <item x="190"/>
        <item x="208"/>
        <item x="143"/>
        <item x="209"/>
        <item x="178"/>
        <item x="60"/>
        <item x="42"/>
        <item x="122"/>
        <item x="163"/>
        <item x="69"/>
        <item x="92"/>
        <item x="68"/>
        <item x="4"/>
        <item x="253"/>
        <item x="126"/>
        <item x="231"/>
        <item x="13"/>
        <item x="144"/>
        <item x="170"/>
        <item x="58"/>
        <item x="26"/>
        <item x="89"/>
        <item x="123"/>
        <item x="3"/>
        <item x="75"/>
        <item x="160"/>
        <item x="197"/>
        <item x="216"/>
        <item x="5"/>
        <item x="156"/>
        <item x="88"/>
        <item x="132"/>
        <item x="100"/>
        <item x="90"/>
        <item x="118"/>
        <item x="6"/>
        <item x="129"/>
        <item x="44"/>
        <item x="91"/>
        <item x="25"/>
        <item x="131"/>
        <item x="51"/>
        <item x="29"/>
        <item x="169"/>
        <item x="164"/>
        <item x="258"/>
        <item x="196"/>
        <item x="207"/>
        <item x="210"/>
        <item x="229"/>
        <item x="130"/>
        <item x="157"/>
        <item x="48"/>
        <item x="206"/>
        <item x="256"/>
        <item x="179"/>
        <item x="38"/>
        <item x="9"/>
        <item x="224"/>
        <item x="62"/>
        <item x="251"/>
        <item x="250"/>
        <item x="127"/>
        <item x="53"/>
        <item x="252"/>
        <item x="46"/>
        <item x="159"/>
        <item x="117"/>
        <item x="20"/>
        <item x="31"/>
        <item x="43"/>
        <item x="8"/>
        <item x="175"/>
        <item x="240"/>
        <item x="61"/>
        <item x="22"/>
        <item x="107"/>
        <item x="261"/>
        <item x="27"/>
        <item x="79"/>
        <item x="243"/>
        <item x="133"/>
        <item x="120"/>
        <item x="147"/>
        <item x="138"/>
        <item x="34"/>
        <item x="148"/>
        <item x="168"/>
        <item x="98"/>
        <item x="154"/>
        <item x="222"/>
        <item x="228"/>
        <item x="225"/>
        <item x="141"/>
        <item x="86"/>
        <item x="241"/>
        <item x="247"/>
        <item x="166"/>
        <item x="15"/>
        <item x="212"/>
        <item x="246"/>
        <item x="226"/>
        <item x="80"/>
        <item x="195"/>
        <item x="199"/>
        <item x="137"/>
        <item x="174"/>
        <item x="217"/>
        <item x="0"/>
        <item x="189"/>
        <item x="111"/>
        <item x="81"/>
        <item x="14"/>
        <item x="28"/>
        <item x="232"/>
        <item x="65"/>
        <item x="112"/>
        <item x="67"/>
        <item x="39"/>
        <item x="213"/>
        <item x="115"/>
        <item x="97"/>
        <item x="185"/>
        <item x="194"/>
        <item x="262"/>
        <item x="76"/>
        <item x="152"/>
        <item x="18"/>
        <item x="239"/>
        <item x="63"/>
        <item x="84"/>
        <item x="11"/>
        <item x="136"/>
        <item x="103"/>
        <item x="235"/>
        <item x="211"/>
        <item x="1"/>
        <item x="221"/>
        <item x="10"/>
        <item x="50"/>
        <item x="187"/>
        <item x="233"/>
        <item x="119"/>
        <item x="125"/>
        <item x="134"/>
        <item x="238"/>
        <item x="214"/>
        <item x="184"/>
        <item x="70"/>
        <item x="57"/>
        <item x="165"/>
        <item x="135"/>
        <item x="94"/>
        <item x="151"/>
        <item x="121"/>
        <item x="114"/>
        <item x="96"/>
        <item x="180"/>
        <item x="162"/>
        <item x="33"/>
        <item x="56"/>
        <item x="269"/>
        <item x="146"/>
        <item x="99"/>
        <item x="37"/>
        <item x="101"/>
        <item x="106"/>
        <item x="177"/>
        <item x="108"/>
        <item x="55"/>
        <item x="227"/>
        <item x="116"/>
        <item x="193"/>
        <item x="47"/>
        <item x="267"/>
        <item x="172"/>
        <item x="30"/>
        <item x="110"/>
        <item x="41"/>
        <item x="23"/>
        <item x="150"/>
        <item x="201"/>
        <item x="237"/>
        <item x="198"/>
        <item x="158"/>
        <item x="204"/>
        <item x="153"/>
        <item x="219"/>
        <item x="203"/>
        <item x="2"/>
        <item x="54"/>
        <item x="105"/>
        <item x="260"/>
        <item x="181"/>
        <item x="248"/>
        <item x="64"/>
        <item x="230"/>
        <item x="205"/>
        <item x="102"/>
        <item x="85"/>
        <item x="7"/>
        <item x="161"/>
        <item x="171"/>
        <item x="263"/>
        <item x="268"/>
        <item x="72"/>
        <item x="242"/>
        <item x="66"/>
        <item x="142"/>
        <item x="16"/>
        <item x="176"/>
        <item x="192"/>
        <item x="45"/>
        <item x="140"/>
        <item x="113"/>
        <item x="254"/>
        <item x="249"/>
        <item x="95"/>
        <item x="183"/>
        <item x="36"/>
        <item x="236"/>
        <item x="12"/>
        <item x="49"/>
        <item x="255"/>
        <item x="200"/>
        <item x="59"/>
        <item x="234"/>
        <item x="73"/>
        <item x="186"/>
        <item t="default"/>
      </items>
    </pivotField>
    <pivotField showAll="0">
      <items count="247">
        <item x="181"/>
        <item x="30"/>
        <item x="93"/>
        <item x="116"/>
        <item x="66"/>
        <item x="220"/>
        <item x="72"/>
        <item x="26"/>
        <item x="245"/>
        <item x="73"/>
        <item x="241"/>
        <item x="71"/>
        <item x="86"/>
        <item x="113"/>
        <item x="217"/>
        <item x="40"/>
        <item x="69"/>
        <item x="198"/>
        <item x="45"/>
        <item x="64"/>
        <item x="100"/>
        <item x="118"/>
        <item x="108"/>
        <item x="39"/>
        <item x="219"/>
        <item x="82"/>
        <item x="209"/>
        <item x="78"/>
        <item x="33"/>
        <item x="227"/>
        <item x="244"/>
        <item x="17"/>
        <item x="75"/>
        <item x="125"/>
        <item x="194"/>
        <item x="163"/>
        <item x="183"/>
        <item x="225"/>
        <item x="187"/>
        <item x="51"/>
        <item x="27"/>
        <item x="140"/>
        <item x="201"/>
        <item x="61"/>
        <item x="139"/>
        <item x="226"/>
        <item x="153"/>
        <item x="4"/>
        <item x="157"/>
        <item x="145"/>
        <item x="79"/>
        <item x="146"/>
        <item x="34"/>
        <item x="142"/>
        <item x="237"/>
        <item x="105"/>
        <item x="60"/>
        <item x="96"/>
        <item x="68"/>
        <item x="210"/>
        <item x="131"/>
        <item x="200"/>
        <item x="37"/>
        <item x="77"/>
        <item x="173"/>
        <item x="207"/>
        <item x="54"/>
        <item x="168"/>
        <item x="119"/>
        <item x="160"/>
        <item x="213"/>
        <item x="242"/>
        <item x="175"/>
        <item x="231"/>
        <item x="6"/>
        <item x="171"/>
        <item x="137"/>
        <item x="164"/>
        <item x="84"/>
        <item x="1"/>
        <item x="114"/>
        <item x="47"/>
        <item x="23"/>
        <item x="188"/>
        <item x="29"/>
        <item x="197"/>
        <item x="38"/>
        <item x="156"/>
        <item x="46"/>
        <item x="94"/>
        <item x="196"/>
        <item x="233"/>
        <item x="186"/>
        <item x="228"/>
        <item x="88"/>
        <item x="239"/>
        <item x="122"/>
        <item x="97"/>
        <item x="177"/>
        <item x="193"/>
        <item x="150"/>
        <item x="230"/>
        <item x="176"/>
        <item x="19"/>
        <item x="147"/>
        <item x="58"/>
        <item x="208"/>
        <item x="24"/>
        <item x="132"/>
        <item x="103"/>
        <item x="184"/>
        <item x="174"/>
        <item x="195"/>
        <item x="178"/>
        <item x="120"/>
        <item x="243"/>
        <item x="151"/>
        <item x="192"/>
        <item x="11"/>
        <item x="133"/>
        <item x="44"/>
        <item x="159"/>
        <item x="165"/>
        <item x="222"/>
        <item x="155"/>
        <item x="182"/>
        <item x="190"/>
        <item x="80"/>
        <item x="172"/>
        <item x="134"/>
        <item x="62"/>
        <item x="9"/>
        <item x="240"/>
        <item x="107"/>
        <item x="52"/>
        <item x="12"/>
        <item x="129"/>
        <item x="81"/>
        <item x="59"/>
        <item x="102"/>
        <item x="111"/>
        <item x="135"/>
        <item x="55"/>
        <item x="154"/>
        <item x="91"/>
        <item x="76"/>
        <item x="63"/>
        <item x="212"/>
        <item x="57"/>
        <item x="31"/>
        <item x="149"/>
        <item x="215"/>
        <item x="124"/>
        <item x="218"/>
        <item x="83"/>
        <item x="138"/>
        <item x="148"/>
        <item x="106"/>
        <item x="112"/>
        <item x="235"/>
        <item x="158"/>
        <item x="49"/>
        <item x="15"/>
        <item x="202"/>
        <item x="89"/>
        <item x="110"/>
        <item x="221"/>
        <item x="206"/>
        <item x="16"/>
        <item x="179"/>
        <item x="229"/>
        <item x="204"/>
        <item x="191"/>
        <item x="95"/>
        <item x="130"/>
        <item x="166"/>
        <item x="5"/>
        <item x="85"/>
        <item x="136"/>
        <item x="70"/>
        <item x="232"/>
        <item x="141"/>
        <item x="41"/>
        <item x="123"/>
        <item x="14"/>
        <item x="234"/>
        <item x="67"/>
        <item x="2"/>
        <item x="236"/>
        <item x="109"/>
        <item x="205"/>
        <item x="99"/>
        <item x="42"/>
        <item x="189"/>
        <item x="185"/>
        <item x="32"/>
        <item x="10"/>
        <item x="126"/>
        <item x="180"/>
        <item x="223"/>
        <item x="22"/>
        <item x="170"/>
        <item x="13"/>
        <item x="20"/>
        <item x="104"/>
        <item x="117"/>
        <item x="65"/>
        <item x="152"/>
        <item x="101"/>
        <item x="3"/>
        <item x="238"/>
        <item x="53"/>
        <item x="36"/>
        <item x="169"/>
        <item x="7"/>
        <item x="50"/>
        <item x="211"/>
        <item x="43"/>
        <item x="161"/>
        <item x="48"/>
        <item x="203"/>
        <item x="216"/>
        <item x="214"/>
        <item x="98"/>
        <item x="115"/>
        <item x="28"/>
        <item x="162"/>
        <item x="121"/>
        <item x="25"/>
        <item x="74"/>
        <item x="144"/>
        <item x="35"/>
        <item x="143"/>
        <item x="167"/>
        <item x="92"/>
        <item x="87"/>
        <item x="21"/>
        <item x="8"/>
        <item x="18"/>
        <item x="90"/>
        <item x="0"/>
        <item x="128"/>
        <item x="127"/>
        <item x="199"/>
        <item x="56"/>
        <item x="224"/>
        <item t="default"/>
      </items>
    </pivotField>
    <pivotField dataField="1" showAll="0"/>
    <pivotField showAll="0"/>
    <pivotField dataField="1" showAll="0"/>
    <pivotField axis="axisRow" showAll="0">
      <items count="6">
        <item x="1"/>
        <item x="0"/>
        <item x="3"/>
        <item x="4"/>
        <item x="2"/>
        <item t="default"/>
      </items>
    </pivotField>
    <pivotField numFmtId="10" showAll="0"/>
    <pivotField numFmtId="10"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s>
  <rowFields count="1">
    <field x="12"/>
  </rowFields>
  <rowItems count="6">
    <i>
      <x/>
    </i>
    <i>
      <x v="1"/>
    </i>
    <i>
      <x v="2"/>
    </i>
    <i>
      <x v="3"/>
    </i>
    <i>
      <x v="4"/>
    </i>
    <i t="grand">
      <x/>
    </i>
  </rowItems>
  <colFields count="1">
    <field x="-2"/>
  </colFields>
  <colItems count="6">
    <i>
      <x/>
    </i>
    <i i="1">
      <x v="1"/>
    </i>
    <i i="2">
      <x v="2"/>
    </i>
    <i i="3">
      <x v="3"/>
    </i>
    <i i="4">
      <x v="4"/>
    </i>
    <i i="5">
      <x v="5"/>
    </i>
  </colItems>
  <dataFields count="6">
    <dataField name="Sum of Impressions" fld="11" baseField="0" baseItem="0"/>
    <dataField name="Average of Impressions" fld="11" subtotal="average" baseField="12" baseItem="0"/>
    <dataField name="Sum of Likes" fld="6" baseField="0" baseItem="0"/>
    <dataField name="Average of Likes" fld="6" subtotal="average" baseField="12" baseItem="0"/>
    <dataField name="Sum of Clicks" fld="9" baseField="0" baseItem="0"/>
    <dataField name="Average of Clicks" fld="9" subtotal="average" baseField="12" baseItem="0"/>
  </dataFields>
  <formats count="6">
    <format dxfId="21">
      <pivotArea type="all" dataOnly="0" outline="0" fieldPosition="0"/>
    </format>
    <format dxfId="20">
      <pivotArea outline="0" collapsedLevelsAreSubtotals="1" fieldPosition="0"/>
    </format>
    <format dxfId="19">
      <pivotArea field="12" type="button" dataOnly="0" labelOnly="1" outline="0" axis="axisRow" fieldPosition="0"/>
    </format>
    <format dxfId="18">
      <pivotArea dataOnly="0" labelOnly="1" fieldPosition="0">
        <references count="1">
          <reference field="12" count="0"/>
        </references>
      </pivotArea>
    </format>
    <format dxfId="17">
      <pivotArea dataOnly="0" labelOnly="1" grandRow="1" outline="0" fieldPosition="0"/>
    </format>
    <format dxfId="16">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9112BD3-F57C-4779-A6F0-4C0A2E684A27}" name="PivotTable8" cacheId="7"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showHeaders="0" outline="1" outlineData="1" multipleFieldFilters="0" chartFormat="7">
  <location ref="A2:E55" firstHeaderRow="1" firstDataRow="2" firstDataCol="1"/>
  <pivotFields count="11">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Col" showAll="0">
      <items count="5">
        <item x="0"/>
        <item x="3"/>
        <item x="1"/>
        <item x="2"/>
        <item t="default"/>
      </items>
    </pivotField>
    <pivotField showAll="0"/>
    <pivotField showAll="0"/>
    <pivotField showAll="0"/>
    <pivotField showAll="0"/>
    <pivotField showAll="0"/>
    <pivotField numFmtId="10" showAll="0"/>
    <pivotField dataField="1"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0"/>
        <item x="1"/>
        <item x="2"/>
        <item x="3"/>
        <item t="default"/>
      </items>
    </pivotField>
  </pivotFields>
  <rowFields count="2">
    <field x="10"/>
    <field x="9"/>
  </rowFields>
  <rowItems count="52">
    <i>
      <x v="1"/>
    </i>
    <i r="1">
      <x v="155"/>
    </i>
    <i r="1">
      <x v="162"/>
    </i>
    <i r="1">
      <x v="169"/>
    </i>
    <i r="1">
      <x v="176"/>
    </i>
    <i r="1">
      <x v="183"/>
    </i>
    <i r="1">
      <x v="190"/>
    </i>
    <i r="1">
      <x v="197"/>
    </i>
    <i r="1">
      <x v="204"/>
    </i>
    <i r="1">
      <x v="211"/>
    </i>
    <i r="1">
      <x v="218"/>
    </i>
    <i r="1">
      <x v="225"/>
    </i>
    <i r="1">
      <x v="232"/>
    </i>
    <i r="1">
      <x v="239"/>
    </i>
    <i r="1">
      <x v="246"/>
    </i>
    <i r="1">
      <x v="253"/>
    </i>
    <i r="1">
      <x v="260"/>
    </i>
    <i r="1">
      <x v="267"/>
    </i>
    <i r="1">
      <x v="274"/>
    </i>
    <i r="1">
      <x v="281"/>
    </i>
    <i r="1">
      <x v="288"/>
    </i>
    <i r="1">
      <x v="295"/>
    </i>
    <i r="1">
      <x v="302"/>
    </i>
    <i r="1">
      <x v="309"/>
    </i>
    <i r="1">
      <x v="316"/>
    </i>
    <i r="1">
      <x v="323"/>
    </i>
    <i r="1">
      <x v="330"/>
    </i>
    <i r="1">
      <x v="337"/>
    </i>
    <i r="1">
      <x v="344"/>
    </i>
    <i r="1">
      <x v="351"/>
    </i>
    <i r="1">
      <x v="358"/>
    </i>
    <i r="1">
      <x v="365"/>
    </i>
    <i>
      <x v="2"/>
    </i>
    <i r="1">
      <x v="6"/>
    </i>
    <i r="1">
      <x v="13"/>
    </i>
    <i r="1">
      <x v="20"/>
    </i>
    <i r="1">
      <x v="27"/>
    </i>
    <i r="1">
      <x v="34"/>
    </i>
    <i r="1">
      <x v="41"/>
    </i>
    <i r="1">
      <x v="48"/>
    </i>
    <i r="1">
      <x v="55"/>
    </i>
    <i r="1">
      <x v="63"/>
    </i>
    <i r="1">
      <x v="70"/>
    </i>
    <i r="1">
      <x v="77"/>
    </i>
    <i r="1">
      <x v="84"/>
    </i>
    <i r="1">
      <x v="91"/>
    </i>
    <i r="1">
      <x v="98"/>
    </i>
    <i r="1">
      <x v="105"/>
    </i>
    <i r="1">
      <x v="112"/>
    </i>
    <i r="1">
      <x v="119"/>
    </i>
    <i r="1">
      <x v="126"/>
    </i>
    <i r="1">
      <x v="133"/>
    </i>
  </rowItems>
  <colFields count="1">
    <field x="1"/>
  </colFields>
  <colItems count="4">
    <i>
      <x/>
    </i>
    <i>
      <x v="1"/>
    </i>
    <i>
      <x v="2"/>
    </i>
    <i>
      <x v="3"/>
    </i>
  </colItems>
  <dataFields count="1">
    <dataField name="Sum of Follower Gain" fld="8" baseField="9" baseItem="183"/>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1" type="button" dataOnly="0" labelOnly="1" outline="0" axis="axisCol" fieldPosition="0"/>
    </format>
    <format dxfId="5">
      <pivotArea type="topRight" dataOnly="0" labelOnly="1" outline="0" fieldPosition="0"/>
    </format>
    <format dxfId="4">
      <pivotArea field="10" type="button" dataOnly="0" labelOnly="1" outline="0" axis="axisRow" fieldPosition="0"/>
    </format>
    <format dxfId="3">
      <pivotArea dataOnly="0" labelOnly="1" fieldPosition="0">
        <references count="1">
          <reference field="10" count="2">
            <x v="1"/>
            <x v="2"/>
          </reference>
        </references>
      </pivotArea>
    </format>
    <format dxfId="2">
      <pivotArea dataOnly="0" labelOnly="1" fieldPosition="0">
        <references count="2">
          <reference field="9" count="31">
            <x v="155"/>
            <x v="162"/>
            <x v="169"/>
            <x v="176"/>
            <x v="183"/>
            <x v="190"/>
            <x v="197"/>
            <x v="204"/>
            <x v="211"/>
            <x v="218"/>
            <x v="225"/>
            <x v="232"/>
            <x v="239"/>
            <x v="246"/>
            <x v="253"/>
            <x v="260"/>
            <x v="267"/>
            <x v="274"/>
            <x v="281"/>
            <x v="288"/>
            <x v="295"/>
            <x v="302"/>
            <x v="309"/>
            <x v="316"/>
            <x v="323"/>
            <x v="330"/>
            <x v="337"/>
            <x v="344"/>
            <x v="351"/>
            <x v="358"/>
            <x v="365"/>
          </reference>
          <reference field="10" count="1" selected="0">
            <x v="1"/>
          </reference>
        </references>
      </pivotArea>
    </format>
    <format dxfId="1">
      <pivotArea dataOnly="0" labelOnly="1" fieldPosition="0">
        <references count="2">
          <reference field="9" count="19">
            <x v="6"/>
            <x v="13"/>
            <x v="20"/>
            <x v="27"/>
            <x v="34"/>
            <x v="41"/>
            <x v="48"/>
            <x v="55"/>
            <x v="63"/>
            <x v="70"/>
            <x v="77"/>
            <x v="84"/>
            <x v="91"/>
            <x v="98"/>
            <x v="105"/>
            <x v="112"/>
            <x v="119"/>
            <x v="126"/>
            <x v="133"/>
          </reference>
          <reference field="10" count="1" selected="0">
            <x v="2"/>
          </reference>
        </references>
      </pivotArea>
    </format>
    <format dxfId="0">
      <pivotArea dataOnly="0" labelOnly="1" fieldPosition="0">
        <references count="1">
          <reference field="1" count="0"/>
        </references>
      </pivotArea>
    </format>
  </format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2" format="8" series="1">
      <pivotArea type="data" outline="0" fieldPosition="0">
        <references count="2">
          <reference field="4294967294" count="1" selected="0">
            <x v="0"/>
          </reference>
          <reference field="1" count="1" selected="0">
            <x v="0"/>
          </reference>
        </references>
      </pivotArea>
    </chartFormat>
    <chartFormat chart="2" format="9" series="1">
      <pivotArea type="data" outline="0" fieldPosition="0">
        <references count="2">
          <reference field="4294967294" count="1" selected="0">
            <x v="0"/>
          </reference>
          <reference field="1" count="1" selected="0">
            <x v="1"/>
          </reference>
        </references>
      </pivotArea>
    </chartFormat>
    <chartFormat chart="2" format="10" series="1">
      <pivotArea type="data" outline="0" fieldPosition="0">
        <references count="2">
          <reference field="4294967294" count="1" selected="0">
            <x v="0"/>
          </reference>
          <reference field="1" count="1" selected="0">
            <x v="2"/>
          </reference>
        </references>
      </pivotArea>
    </chartFormat>
    <chartFormat chart="2"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A7F26046-ABDA-4F2B-9159-11CEAE713EAD}" autoFormatId="16" applyNumberFormats="0" applyBorderFormats="0" applyFontFormats="0" applyPatternFormats="0" applyAlignmentFormats="0" applyWidthHeightFormats="0">
  <queryTableRefresh nextId="10">
    <queryTableFields count="9">
      <queryTableField id="1" name="Week_Start_Date" tableColumnId="1"/>
      <queryTableField id="2" name="Platform" tableColumnId="2"/>
      <queryTableField id="3" name="New_Followers" tableColumnId="3"/>
      <queryTableField id="4" name="Unfollows" tableColumnId="4"/>
      <queryTableField id="5" name="Total_Followers" tableColumnId="5"/>
      <queryTableField id="6" name="Engagement_Rate" tableColumnId="6"/>
      <queryTableField id="7" name="Ad_Spend" tableColumnId="7"/>
      <queryTableField id="8" name="Growth Rate" tableColumnId="8"/>
      <queryTableField id="9" name="Follower Gain" tableColumnId="9"/>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81B424-B971-4740-A4A4-3C94258F630D}" name="Table2" displayName="Table2" ref="A1:P301" totalsRowShown="0" headerRowDxfId="154" headerRowBorderDxfId="153" tableBorderDxfId="152" headerRowCellStyle="60% - Accent5">
  <tableColumns count="16">
    <tableColumn id="1" xr3:uid="{181E2627-A344-4C57-B358-2C17D8059055}" name="PostID"/>
    <tableColumn id="2" xr3:uid="{B2BF7C13-828C-4147-8BBC-5FDB6993B725}" name="Platform"/>
    <tableColumn id="3" xr3:uid="{B2DC9E58-FBC3-4CE4-A4B3-53DD57DB4FDE}" name="Date" dataDxfId="151"/>
    <tableColumn id="4" xr3:uid="{4C63D804-023D-4BA6-BAF9-9CADB4398EAD}" name="ContentType"/>
    <tableColumn id="5" xr3:uid="{EED3F712-E64E-44A8-8314-8C90C839EF67}" name="Hashtags.1"/>
    <tableColumn id="6" xr3:uid="{DF40B930-0AD2-44F2-8905-7C0FB362CE28}" name="Hashtags.2"/>
    <tableColumn id="7" xr3:uid="{A8361BC7-180E-4E35-BF0B-819B72A1A791}" name="Likes"/>
    <tableColumn id="8" xr3:uid="{5415D4B5-E60E-4616-A62D-C714E33F55C4}" name="Shares"/>
    <tableColumn id="9" xr3:uid="{25134989-BBE0-4A55-BFD3-FAA7AC177E2E}" name="Comments"/>
    <tableColumn id="10" xr3:uid="{4FA6B58D-452E-46A1-BB6F-B1BF2E6C858B}" name="Clicks"/>
    <tableColumn id="11" xr3:uid="{8992942F-C506-40E9-9DA9-58E2CFAFEDB3}" name="Reach"/>
    <tableColumn id="12" xr3:uid="{AABD2043-5748-4E47-A993-F073F11DA419}" name="Impressions"/>
    <tableColumn id="13" xr3:uid="{91B95EBE-EB6D-4504-BEB6-C4A7614CE7E5}" name="Campaign"/>
    <tableColumn id="14" xr3:uid="{6A8E57C8-4AB7-4AB7-8727-5AC3072632B3}" name="Engagement Rate" dataDxfId="150">
      <calculatedColumnFormula>(G2+H2+I2)/L2</calculatedColumnFormula>
    </tableColumn>
    <tableColumn id="15" xr3:uid="{E20FE764-A96C-4041-B518-06558D04DC21}" name="Click through rate" dataDxfId="149">
      <calculatedColumnFormula>Table2[[#This Row],[Shares]]/Table2[[#This Row],[Impressions]]</calculatedColumnFormula>
    </tableColumn>
    <tableColumn id="16" xr3:uid="{D55E50AF-6824-4F72-A688-C5D9F93D77DA}" name="performance" dataDxfId="148">
      <calculatedColumnFormula>(Table2[[#This Row],[Engagement Rate]]+Table2[[#This Row],[Click through rate]])*100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BD7CF77-F366-4070-8DBD-321F9A5624DE}" name="Table6" displayName="Table6" ref="A1:O568" totalsRowShown="0" headerRowDxfId="147" dataDxfId="146" tableBorderDxfId="145">
  <autoFilter ref="A1:O568" xr:uid="{FBD7CF77-F366-4070-8DBD-321F9A5624DE}"/>
  <tableColumns count="15">
    <tableColumn id="1" xr3:uid="{7F16B189-E924-40DE-BC08-7423C32E3244}" name="PostID" dataDxfId="144"/>
    <tableColumn id="2" xr3:uid="{082DC806-E018-4523-9780-15A5B129F9E9}" name="Platform" dataDxfId="143"/>
    <tableColumn id="3" xr3:uid="{BD61CBE8-DE45-4114-8C97-24E70AB1B6B8}" name="Date" dataDxfId="142"/>
    <tableColumn id="4" xr3:uid="{EBD074C2-BA32-4DC7-BB4A-1451CAE63722}" name="ContentType" dataDxfId="141"/>
    <tableColumn id="5" xr3:uid="{8BD5A72C-9525-466E-973F-D317C5400483}" name="Likes" dataDxfId="140"/>
    <tableColumn id="6" xr3:uid="{3CAD0478-2470-4297-AA83-EEBE202856A2}" name="Shares" dataDxfId="139"/>
    <tableColumn id="7" xr3:uid="{00FA5B3F-E33E-4140-80D8-A8D512F4ED61}" name="Comments" dataDxfId="138"/>
    <tableColumn id="8" xr3:uid="{E84614DB-FC7E-4234-A597-AD4B3493F411}" name="Clicks" dataDxfId="137"/>
    <tableColumn id="9" xr3:uid="{2A87FAAA-9648-4636-9B46-CB7ADF0EB2D7}" name="Reach" dataDxfId="136"/>
    <tableColumn id="10" xr3:uid="{1D570669-9060-4C2F-B1D5-B3D10E8AC40B}" name="Impressions" dataDxfId="135"/>
    <tableColumn id="11" xr3:uid="{A2A236ED-3427-467A-989D-42EB1EA54EFC}" name="Campaign" dataDxfId="134"/>
    <tableColumn id="12" xr3:uid="{29C954A4-A89B-4A94-85D6-C7D948A35CA1}" name="Engagement Rate" dataDxfId="133"/>
    <tableColumn id="13" xr3:uid="{07A3F8CB-491A-406F-89D5-9D031D2C7FEE}" name="Hashtags" dataDxfId="132"/>
    <tableColumn id="14" xr3:uid="{544B9961-BD15-4669-8712-5332A82DCFF2}" name="Click through rate" dataDxfId="131">
      <calculatedColumnFormula>Hashtags!$H2/Hashtags!$J2</calculatedColumnFormula>
    </tableColumn>
    <tableColumn id="15" xr3:uid="{EE4E6B95-9B58-495C-BEBA-2E11EFB1F923}" name="Performance" dataDxfId="130">
      <calculatedColumnFormula>(Hashtags!$L2+Hashtags!$N2)*100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CE053D-5C39-4041-830B-EE7B4ABFF955}" name="Table1" displayName="Table1" ref="A1:H6" totalsRowShown="0" headerRowDxfId="129" headerRowBorderDxfId="128" tableBorderDxfId="127" totalsRowBorderDxfId="126">
  <tableColumns count="8">
    <tableColumn id="1" xr3:uid="{AE31E1B0-72EF-45D7-A12D-47D70FDEC0A8}" name="Campaign_Name" dataDxfId="125"/>
    <tableColumn id="2" xr3:uid="{CC3B1E6A-1102-43EA-AF01-5CCE8DC66F93}" name="Start_Date" dataDxfId="124"/>
    <tableColumn id="3" xr3:uid="{1893519C-588D-428A-AEFA-B725A70DD243}" name="End_Date" dataDxfId="123"/>
    <tableColumn id="4" xr3:uid="{106E3014-37F0-4527-8B6C-756C41E4DD6F}" name="Objective" dataDxfId="122"/>
    <tableColumn id="5" xr3:uid="{CB6D208B-151A-480D-AF63-5A67D35350B7}" name="Ad_Spend" dataDxfId="121"/>
    <tableColumn id="6" xr3:uid="{4AD888EE-DE2F-4740-9EDB-78A0DDA2663F}" name="Impressions" dataDxfId="120"/>
    <tableColumn id="7" xr3:uid="{3E10DA1A-9AA3-47D9-9057-621D3C2BF995}" name="Engagement_Uplift" dataDxfId="119"/>
    <tableColumn id="9" xr3:uid="{77C0D230-3748-449E-B1EC-66FFA2DEB74C}" name="Follower Gain" dataDxfId="118">
      <calculatedColumnFormula>SUMIFS( Table8_1[Follower Gain],Table8_1[Week_Start_Date],"&gt;="&amp;Table1[[#This Row],[Start_Date]],Table8_1[Week_Start_Date],"&lt;="&amp;Table1[[#This Row],[End_Date]])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D622646-0B6F-4ED7-B157-EB70F88B0B2A}" name="Table8_1" displayName="Table8_1" ref="A1:I201" tableType="queryTable" totalsRowShown="0">
  <autoFilter ref="A1:I201" xr:uid="{CD622646-0B6F-4ED7-B157-EB70F88B0B2A}"/>
  <tableColumns count="9">
    <tableColumn id="1" xr3:uid="{F5887A2A-53D5-465B-9770-D727E78EC2BD}" uniqueName="1" name="Week_Start_Date" queryTableFieldId="1" dataDxfId="117"/>
    <tableColumn id="2" xr3:uid="{E257362E-2074-4B53-9F2F-A477CE5F30BE}" uniqueName="2" name="Platform" queryTableFieldId="2" dataDxfId="116"/>
    <tableColumn id="3" xr3:uid="{C410F97A-2C04-4196-9BFC-91DB528C74FB}" uniqueName="3" name="New_Followers" queryTableFieldId="3"/>
    <tableColumn id="4" xr3:uid="{BD39E83B-3404-452E-96C7-21EFACDE0EEC}" uniqueName="4" name="Unfollows" queryTableFieldId="4"/>
    <tableColumn id="5" xr3:uid="{1C4B98F0-382C-4AE6-BD08-ED27D1788FE9}" uniqueName="5" name="Total_Followers" queryTableFieldId="5"/>
    <tableColumn id="6" xr3:uid="{DB9943A5-DBE0-4FA9-8355-F22480CC2BE6}" uniqueName="6" name="Engagement_Rate" queryTableFieldId="6"/>
    <tableColumn id="7" xr3:uid="{137F4AB2-79A9-4A79-A3B1-B9A49883AFC9}" uniqueName="7" name="Ad_Spend" queryTableFieldId="7"/>
    <tableColumn id="8" xr3:uid="{41F694D9-45FC-435D-A482-54BDAA10DF53}" uniqueName="8" name="Growth Rate" queryTableFieldId="8" dataDxfId="115"/>
    <tableColumn id="9" xr3:uid="{CB0DF65B-9624-45FE-9848-344D52CC2ECA}" uniqueName="9" name="Follower Gain"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drawing" Target="../drawings/drawing2.xml"/><Relationship Id="rId4"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drawing" Target="../drawings/drawing3.xml"/><Relationship Id="rId4"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0Dxd6bVoLQNcY_ndxcAPbrI0I7FdMB1G/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8A4A2-B66A-461E-9A5A-D68264BC4997}">
  <dimension ref="A1:S301"/>
  <sheetViews>
    <sheetView workbookViewId="0">
      <selection activeCell="P3" sqref="P3"/>
    </sheetView>
  </sheetViews>
  <sheetFormatPr defaultRowHeight="15" x14ac:dyDescent="0.25"/>
  <cols>
    <col min="1" max="1" width="9" bestFit="1" customWidth="1"/>
    <col min="2" max="2" width="11" bestFit="1" customWidth="1"/>
    <col min="3" max="3" width="10.42578125" bestFit="1" customWidth="1"/>
    <col min="4" max="4" width="14.7109375" bestFit="1" customWidth="1"/>
    <col min="5" max="5" width="19.85546875" bestFit="1" customWidth="1"/>
    <col min="6" max="6" width="16.85546875" customWidth="1"/>
    <col min="7" max="7" width="7.7109375" bestFit="1" customWidth="1"/>
    <col min="9" max="9" width="12.85546875" bestFit="1" customWidth="1"/>
    <col min="10" max="10" width="8.28515625" bestFit="1" customWidth="1"/>
    <col min="11" max="11" width="8.5703125" bestFit="1" customWidth="1"/>
    <col min="12" max="12" width="14" bestFit="1" customWidth="1"/>
    <col min="13" max="13" width="28.85546875" bestFit="1" customWidth="1"/>
    <col min="14" max="14" width="18.5703125" customWidth="1"/>
    <col min="15" max="15" width="10.7109375" customWidth="1"/>
  </cols>
  <sheetData>
    <row r="1" spans="1:19" x14ac:dyDescent="0.25">
      <c r="A1" s="40" t="s">
        <v>0</v>
      </c>
      <c r="B1" s="40" t="s">
        <v>1</v>
      </c>
      <c r="C1" s="40" t="s">
        <v>2</v>
      </c>
      <c r="D1" s="40" t="s">
        <v>3</v>
      </c>
      <c r="E1" s="40" t="s">
        <v>4</v>
      </c>
      <c r="F1" s="40" t="s">
        <v>5</v>
      </c>
      <c r="G1" s="40" t="s">
        <v>6</v>
      </c>
      <c r="H1" s="40" t="s">
        <v>7</v>
      </c>
      <c r="I1" s="40" t="s">
        <v>8</v>
      </c>
      <c r="J1" s="40" t="s">
        <v>9</v>
      </c>
      <c r="K1" s="40" t="s">
        <v>10</v>
      </c>
      <c r="L1" s="40" t="s">
        <v>11</v>
      </c>
      <c r="M1" s="40" t="s">
        <v>12</v>
      </c>
      <c r="N1" s="40" t="s">
        <v>361</v>
      </c>
      <c r="O1" s="40" t="s">
        <v>465</v>
      </c>
      <c r="P1" s="40" t="s">
        <v>371</v>
      </c>
    </row>
    <row r="2" spans="1:19" x14ac:dyDescent="0.25">
      <c r="A2" t="s">
        <v>13</v>
      </c>
      <c r="B2" t="s">
        <v>14</v>
      </c>
      <c r="C2" s="43">
        <v>45649</v>
      </c>
      <c r="D2" t="s">
        <v>15</v>
      </c>
      <c r="E2" t="s">
        <v>16</v>
      </c>
      <c r="F2" t="s">
        <v>17</v>
      </c>
      <c r="G2">
        <v>24516</v>
      </c>
      <c r="H2">
        <v>976</v>
      </c>
      <c r="I2">
        <v>974</v>
      </c>
      <c r="J2">
        <v>2675</v>
      </c>
      <c r="K2">
        <v>23275</v>
      </c>
      <c r="L2">
        <v>202932</v>
      </c>
      <c r="M2" t="s">
        <v>18</v>
      </c>
      <c r="N2" s="44">
        <f>(G2+H2+I2)/L2</f>
        <v>0.13041807107799658</v>
      </c>
      <c r="O2" s="44">
        <f>Table2[[#This Row],[Shares]]/Table2[[#This Row],[Impressions]]</f>
        <v>4.8094928350383382E-3</v>
      </c>
      <c r="P2">
        <f>(Table2[[#This Row],[Engagement Rate]]+Table2[[#This Row],[Click through rate]])*100</f>
        <v>13.522756391303492</v>
      </c>
      <c r="Q2" s="26"/>
      <c r="S2" s="26"/>
    </row>
    <row r="3" spans="1:19" x14ac:dyDescent="0.25">
      <c r="A3" t="s">
        <v>19</v>
      </c>
      <c r="B3" t="s">
        <v>20</v>
      </c>
      <c r="C3" s="43">
        <v>45903</v>
      </c>
      <c r="D3" t="s">
        <v>15</v>
      </c>
      <c r="E3" t="s">
        <v>21</v>
      </c>
      <c r="F3" t="s">
        <v>22</v>
      </c>
      <c r="G3">
        <v>4779</v>
      </c>
      <c r="H3">
        <v>1110</v>
      </c>
      <c r="I3">
        <v>436</v>
      </c>
      <c r="J3">
        <v>1574</v>
      </c>
      <c r="K3">
        <v>77167</v>
      </c>
      <c r="L3">
        <v>71585</v>
      </c>
      <c r="M3" t="s">
        <v>23</v>
      </c>
      <c r="N3" s="44">
        <f t="shared" ref="N3:N66" si="0">(G3+H3+I3)/L3</f>
        <v>8.8356499266606131E-2</v>
      </c>
      <c r="O3" s="44">
        <f>Table2[[#This Row],[Shares]]/Table2[[#This Row],[Impressions]]</f>
        <v>1.5506041768526926E-2</v>
      </c>
      <c r="P3">
        <f>(Table2[[#This Row],[Engagement Rate]]+Table2[[#This Row],[Click through rate]])*100</f>
        <v>10.386254103513306</v>
      </c>
      <c r="Q3" s="26"/>
      <c r="S3" s="26"/>
    </row>
    <row r="4" spans="1:19" x14ac:dyDescent="0.25">
      <c r="A4" t="s">
        <v>24</v>
      </c>
      <c r="B4" t="s">
        <v>25</v>
      </c>
      <c r="C4" s="43">
        <v>45789</v>
      </c>
      <c r="D4" t="s">
        <v>26</v>
      </c>
      <c r="E4" t="s">
        <v>27</v>
      </c>
      <c r="F4" t="s">
        <v>28</v>
      </c>
      <c r="G4">
        <v>19308</v>
      </c>
      <c r="H4">
        <v>1318</v>
      </c>
      <c r="I4">
        <v>795</v>
      </c>
      <c r="J4">
        <v>1499</v>
      </c>
      <c r="K4">
        <v>52307</v>
      </c>
      <c r="L4">
        <v>193087</v>
      </c>
      <c r="M4" t="s">
        <v>29</v>
      </c>
      <c r="N4" s="44">
        <f t="shared" si="0"/>
        <v>0.11093962825047776</v>
      </c>
      <c r="O4" s="44">
        <f>Table2[[#This Row],[Shares]]/Table2[[#This Row],[Impressions]]</f>
        <v>6.8259385665529011E-3</v>
      </c>
      <c r="P4">
        <f>(Table2[[#This Row],[Engagement Rate]]+Table2[[#This Row],[Click through rate]])*100</f>
        <v>11.776556681703067</v>
      </c>
      <c r="Q4" s="26"/>
      <c r="S4" s="26"/>
    </row>
    <row r="5" spans="1:19" x14ac:dyDescent="0.25">
      <c r="A5" t="s">
        <v>30</v>
      </c>
      <c r="B5" t="s">
        <v>14</v>
      </c>
      <c r="C5" s="43">
        <v>45516</v>
      </c>
      <c r="D5" t="s">
        <v>31</v>
      </c>
      <c r="E5" t="s">
        <v>32</v>
      </c>
      <c r="F5" t="s">
        <v>33</v>
      </c>
      <c r="G5">
        <v>3581</v>
      </c>
      <c r="H5">
        <v>517</v>
      </c>
      <c r="I5">
        <v>880</v>
      </c>
      <c r="J5">
        <v>1925</v>
      </c>
      <c r="K5">
        <v>18636</v>
      </c>
      <c r="L5">
        <v>248611</v>
      </c>
      <c r="M5" t="s">
        <v>34</v>
      </c>
      <c r="N5" s="44">
        <f t="shared" si="0"/>
        <v>2.0023249172401864E-2</v>
      </c>
      <c r="O5" s="44">
        <f>Table2[[#This Row],[Shares]]/Table2[[#This Row],[Impressions]]</f>
        <v>2.0795540020353081E-3</v>
      </c>
      <c r="P5">
        <f>(Table2[[#This Row],[Engagement Rate]]+Table2[[#This Row],[Click through rate]])*100</f>
        <v>2.2102803174437171</v>
      </c>
      <c r="Q5" s="26"/>
      <c r="S5" s="26"/>
    </row>
    <row r="6" spans="1:19" x14ac:dyDescent="0.25">
      <c r="A6" t="s">
        <v>35</v>
      </c>
      <c r="B6" t="s">
        <v>14</v>
      </c>
      <c r="C6" s="43">
        <v>45904</v>
      </c>
      <c r="D6" t="s">
        <v>31</v>
      </c>
      <c r="E6" t="s">
        <v>16</v>
      </c>
      <c r="F6" t="s">
        <v>17</v>
      </c>
      <c r="G6">
        <v>21708</v>
      </c>
      <c r="H6">
        <v>435</v>
      </c>
      <c r="I6">
        <v>317</v>
      </c>
      <c r="J6">
        <v>1213</v>
      </c>
      <c r="K6">
        <v>70701</v>
      </c>
      <c r="L6">
        <v>83585</v>
      </c>
      <c r="M6" t="s">
        <v>23</v>
      </c>
      <c r="N6" s="44">
        <f t="shared" si="0"/>
        <v>0.26870850032900639</v>
      </c>
      <c r="O6" s="44">
        <f>Table2[[#This Row],[Shares]]/Table2[[#This Row],[Impressions]]</f>
        <v>5.2042830651432672E-3</v>
      </c>
      <c r="P6">
        <f>(Table2[[#This Row],[Engagement Rate]]+Table2[[#This Row],[Click through rate]])*100</f>
        <v>27.391278339414963</v>
      </c>
      <c r="Q6" s="26"/>
      <c r="S6" s="26"/>
    </row>
    <row r="7" spans="1:19" x14ac:dyDescent="0.25">
      <c r="A7" t="s">
        <v>36</v>
      </c>
      <c r="B7" t="s">
        <v>20</v>
      </c>
      <c r="C7" s="43">
        <v>45905</v>
      </c>
      <c r="D7" t="s">
        <v>15</v>
      </c>
      <c r="E7" t="s">
        <v>37</v>
      </c>
      <c r="G7">
        <v>14677</v>
      </c>
      <c r="H7">
        <v>533</v>
      </c>
      <c r="I7">
        <v>759</v>
      </c>
      <c r="J7">
        <v>753</v>
      </c>
      <c r="K7">
        <v>23275</v>
      </c>
      <c r="L7">
        <v>66958</v>
      </c>
      <c r="M7" t="s">
        <v>23</v>
      </c>
      <c r="N7" s="44">
        <f t="shared" si="0"/>
        <v>0.23849278652289496</v>
      </c>
      <c r="O7" s="44">
        <f>Table2[[#This Row],[Shares]]/Table2[[#This Row],[Impressions]]</f>
        <v>7.960213865408166E-3</v>
      </c>
      <c r="P7">
        <f>(Table2[[#This Row],[Engagement Rate]]+Table2[[#This Row],[Click through rate]])*100</f>
        <v>24.64530003883031</v>
      </c>
      <c r="Q7" s="26"/>
      <c r="S7" s="26"/>
    </row>
    <row r="8" spans="1:19" x14ac:dyDescent="0.25">
      <c r="A8" t="s">
        <v>38</v>
      </c>
      <c r="B8" t="s">
        <v>25</v>
      </c>
      <c r="C8" s="43">
        <v>45467</v>
      </c>
      <c r="D8" t="s">
        <v>39</v>
      </c>
      <c r="E8" t="s">
        <v>40</v>
      </c>
      <c r="F8" t="s">
        <v>41</v>
      </c>
      <c r="G8">
        <v>7713</v>
      </c>
      <c r="H8">
        <v>575</v>
      </c>
      <c r="I8">
        <v>417</v>
      </c>
      <c r="J8">
        <v>336</v>
      </c>
      <c r="K8">
        <v>61660</v>
      </c>
      <c r="L8">
        <v>66017</v>
      </c>
      <c r="M8" t="s">
        <v>34</v>
      </c>
      <c r="N8" s="44">
        <f t="shared" si="0"/>
        <v>0.13185997546086614</v>
      </c>
      <c r="O8" s="44">
        <f>Table2[[#This Row],[Shares]]/Table2[[#This Row],[Impressions]]</f>
        <v>8.7098777587591072E-3</v>
      </c>
      <c r="P8">
        <f>(Table2[[#This Row],[Engagement Rate]]+Table2[[#This Row],[Click through rate]])*100</f>
        <v>14.056985321962525</v>
      </c>
    </row>
    <row r="9" spans="1:19" x14ac:dyDescent="0.25">
      <c r="A9" t="s">
        <v>42</v>
      </c>
      <c r="B9" t="s">
        <v>25</v>
      </c>
      <c r="C9" s="43">
        <v>45486</v>
      </c>
      <c r="D9" t="s">
        <v>31</v>
      </c>
      <c r="E9" t="s">
        <v>43</v>
      </c>
      <c r="F9" t="s">
        <v>44</v>
      </c>
      <c r="G9">
        <v>18639</v>
      </c>
      <c r="H9">
        <v>1360</v>
      </c>
      <c r="I9">
        <v>898</v>
      </c>
      <c r="J9">
        <v>2011</v>
      </c>
      <c r="K9">
        <v>42841</v>
      </c>
      <c r="L9">
        <v>247779</v>
      </c>
      <c r="M9" t="s">
        <v>34</v>
      </c>
      <c r="N9" s="44">
        <f t="shared" si="0"/>
        <v>8.4337252148083575E-2</v>
      </c>
      <c r="O9" s="44">
        <f>Table2[[#This Row],[Shares]]/Table2[[#This Row],[Impressions]]</f>
        <v>5.4887621630565946E-3</v>
      </c>
      <c r="P9">
        <f>(Table2[[#This Row],[Engagement Rate]]+Table2[[#This Row],[Click through rate]])*100</f>
        <v>8.9826014311140163</v>
      </c>
    </row>
    <row r="10" spans="1:19" x14ac:dyDescent="0.25">
      <c r="A10" t="s">
        <v>45</v>
      </c>
      <c r="B10" t="s">
        <v>14</v>
      </c>
      <c r="C10" s="43">
        <v>45534</v>
      </c>
      <c r="D10" t="s">
        <v>39</v>
      </c>
      <c r="E10" t="s">
        <v>21</v>
      </c>
      <c r="F10" t="s">
        <v>22</v>
      </c>
      <c r="G10">
        <v>6804</v>
      </c>
      <c r="H10">
        <v>787</v>
      </c>
      <c r="I10">
        <v>970</v>
      </c>
      <c r="J10">
        <v>1095</v>
      </c>
      <c r="K10">
        <v>56343</v>
      </c>
      <c r="L10">
        <v>164677</v>
      </c>
      <c r="M10" t="s">
        <v>18</v>
      </c>
      <c r="N10" s="44">
        <f t="shared" si="0"/>
        <v>5.1986616224487935E-2</v>
      </c>
      <c r="O10" s="44">
        <f>Table2[[#This Row],[Shares]]/Table2[[#This Row],[Impressions]]</f>
        <v>4.7790523266758563E-3</v>
      </c>
      <c r="P10">
        <f>(Table2[[#This Row],[Engagement Rate]]+Table2[[#This Row],[Click through rate]])*100</f>
        <v>5.6765668551163797</v>
      </c>
    </row>
    <row r="11" spans="1:19" x14ac:dyDescent="0.25">
      <c r="A11" t="s">
        <v>46</v>
      </c>
      <c r="B11" t="s">
        <v>47</v>
      </c>
      <c r="C11" s="43">
        <v>45727</v>
      </c>
      <c r="D11" t="s">
        <v>31</v>
      </c>
      <c r="E11" t="s">
        <v>48</v>
      </c>
      <c r="F11" t="s">
        <v>32</v>
      </c>
      <c r="G11">
        <v>20222</v>
      </c>
      <c r="H11">
        <v>712</v>
      </c>
      <c r="I11">
        <v>604</v>
      </c>
      <c r="J11">
        <v>1272</v>
      </c>
      <c r="K11">
        <v>71598</v>
      </c>
      <c r="L11">
        <v>216422</v>
      </c>
      <c r="M11" t="s">
        <v>29</v>
      </c>
      <c r="N11" s="44">
        <f t="shared" si="0"/>
        <v>9.9518533235992648E-2</v>
      </c>
      <c r="O11" s="44">
        <f>Table2[[#This Row],[Shares]]/Table2[[#This Row],[Impressions]]</f>
        <v>3.2898688673055421E-3</v>
      </c>
      <c r="P11">
        <f>(Table2[[#This Row],[Engagement Rate]]+Table2[[#This Row],[Click through rate]])*100</f>
        <v>10.280840210329819</v>
      </c>
    </row>
    <row r="12" spans="1:19" x14ac:dyDescent="0.25">
      <c r="A12" t="s">
        <v>49</v>
      </c>
      <c r="B12" t="s">
        <v>14</v>
      </c>
      <c r="C12" s="43">
        <v>45690</v>
      </c>
      <c r="D12" t="s">
        <v>39</v>
      </c>
      <c r="E12" t="s">
        <v>32</v>
      </c>
      <c r="F12" t="s">
        <v>33</v>
      </c>
      <c r="G12">
        <v>12136</v>
      </c>
      <c r="H12">
        <v>1117</v>
      </c>
      <c r="I12">
        <v>834</v>
      </c>
      <c r="J12">
        <v>892</v>
      </c>
      <c r="K12">
        <v>24675</v>
      </c>
      <c r="L12">
        <v>183273</v>
      </c>
      <c r="M12" t="s">
        <v>29</v>
      </c>
      <c r="N12" s="44">
        <f t="shared" si="0"/>
        <v>7.6863476889667326E-2</v>
      </c>
      <c r="O12" s="44">
        <f>Table2[[#This Row],[Shares]]/Table2[[#This Row],[Impressions]]</f>
        <v>6.0947329939489174E-3</v>
      </c>
      <c r="P12">
        <f>(Table2[[#This Row],[Engagement Rate]]+Table2[[#This Row],[Click through rate]])*100</f>
        <v>8.2958209883616245</v>
      </c>
    </row>
    <row r="13" spans="1:19" x14ac:dyDescent="0.25">
      <c r="A13" t="s">
        <v>50</v>
      </c>
      <c r="B13" t="s">
        <v>14</v>
      </c>
      <c r="C13" s="43">
        <v>45494</v>
      </c>
      <c r="D13" t="s">
        <v>26</v>
      </c>
      <c r="E13" t="s">
        <v>21</v>
      </c>
      <c r="F13" t="s">
        <v>22</v>
      </c>
      <c r="G13">
        <v>2009</v>
      </c>
      <c r="H13">
        <v>1072</v>
      </c>
      <c r="I13">
        <v>550</v>
      </c>
      <c r="J13">
        <v>1437</v>
      </c>
      <c r="K13">
        <v>22982</v>
      </c>
      <c r="L13">
        <v>69426</v>
      </c>
      <c r="M13" t="s">
        <v>34</v>
      </c>
      <c r="N13" s="44">
        <f t="shared" si="0"/>
        <v>5.2300290957278256E-2</v>
      </c>
      <c r="O13" s="44">
        <f>Table2[[#This Row],[Shares]]/Table2[[#This Row],[Impressions]]</f>
        <v>1.5440901103333045E-2</v>
      </c>
      <c r="P13">
        <f>(Table2[[#This Row],[Engagement Rate]]+Table2[[#This Row],[Click through rate]])*100</f>
        <v>6.7741192060611297</v>
      </c>
    </row>
    <row r="14" spans="1:19" x14ac:dyDescent="0.25">
      <c r="A14" t="s">
        <v>51</v>
      </c>
      <c r="B14" t="s">
        <v>14</v>
      </c>
      <c r="C14" s="43">
        <v>45614</v>
      </c>
      <c r="D14" t="s">
        <v>39</v>
      </c>
      <c r="E14" t="s">
        <v>40</v>
      </c>
      <c r="F14" t="s">
        <v>41</v>
      </c>
      <c r="G14">
        <v>21255</v>
      </c>
      <c r="H14">
        <v>1452</v>
      </c>
      <c r="I14">
        <v>625</v>
      </c>
      <c r="J14">
        <v>1624</v>
      </c>
      <c r="K14">
        <v>21282</v>
      </c>
      <c r="L14">
        <v>57778</v>
      </c>
      <c r="M14" t="s">
        <v>52</v>
      </c>
      <c r="N14" s="44">
        <f t="shared" si="0"/>
        <v>0.40382152376337016</v>
      </c>
      <c r="O14" s="44">
        <f>Table2[[#This Row],[Shares]]/Table2[[#This Row],[Impressions]]</f>
        <v>2.5130672574336252E-2</v>
      </c>
      <c r="P14">
        <f>(Table2[[#This Row],[Engagement Rate]]+Table2[[#This Row],[Click through rate]])*100</f>
        <v>42.895219633770644</v>
      </c>
    </row>
    <row r="15" spans="1:19" x14ac:dyDescent="0.25">
      <c r="A15" t="s">
        <v>53</v>
      </c>
      <c r="B15" t="s">
        <v>14</v>
      </c>
      <c r="C15" s="43">
        <v>45906</v>
      </c>
      <c r="D15" t="s">
        <v>26</v>
      </c>
      <c r="E15" t="s">
        <v>43</v>
      </c>
      <c r="F15" t="s">
        <v>44</v>
      </c>
      <c r="G15">
        <v>7124</v>
      </c>
      <c r="H15">
        <v>469</v>
      </c>
      <c r="I15">
        <v>851</v>
      </c>
      <c r="J15">
        <v>2571</v>
      </c>
      <c r="K15">
        <v>33802</v>
      </c>
      <c r="L15">
        <v>216313</v>
      </c>
      <c r="M15" t="s">
        <v>23</v>
      </c>
      <c r="N15" s="44">
        <f t="shared" si="0"/>
        <v>3.9036026498638549E-2</v>
      </c>
      <c r="O15" s="44">
        <f>Table2[[#This Row],[Shares]]/Table2[[#This Row],[Impressions]]</f>
        <v>2.1681544798509565E-3</v>
      </c>
      <c r="P15">
        <f>(Table2[[#This Row],[Engagement Rate]]+Table2[[#This Row],[Click through rate]])*100</f>
        <v>4.1204180978489502</v>
      </c>
    </row>
    <row r="16" spans="1:19" x14ac:dyDescent="0.25">
      <c r="A16" t="s">
        <v>54</v>
      </c>
      <c r="B16" t="s">
        <v>20</v>
      </c>
      <c r="C16" s="43">
        <v>45907</v>
      </c>
      <c r="D16" t="s">
        <v>26</v>
      </c>
      <c r="E16" t="s">
        <v>27</v>
      </c>
      <c r="F16" t="s">
        <v>28</v>
      </c>
      <c r="G16">
        <v>3015</v>
      </c>
      <c r="H16">
        <v>997</v>
      </c>
      <c r="I16">
        <v>783</v>
      </c>
      <c r="J16">
        <v>617</v>
      </c>
      <c r="K16">
        <v>77167</v>
      </c>
      <c r="L16">
        <v>82229</v>
      </c>
      <c r="M16" t="s">
        <v>23</v>
      </c>
      <c r="N16" s="44">
        <f t="shared" si="0"/>
        <v>5.8312760704860814E-2</v>
      </c>
      <c r="O16" s="44">
        <f>Table2[[#This Row],[Shares]]/Table2[[#This Row],[Impressions]]</f>
        <v>1.2124676209123301E-2</v>
      </c>
      <c r="P16">
        <f>(Table2[[#This Row],[Engagement Rate]]+Table2[[#This Row],[Click through rate]])*100</f>
        <v>7.0437436913984115</v>
      </c>
    </row>
    <row r="17" spans="1:16" x14ac:dyDescent="0.25">
      <c r="A17" t="s">
        <v>55</v>
      </c>
      <c r="B17" t="s">
        <v>25</v>
      </c>
      <c r="C17" s="43">
        <v>45530</v>
      </c>
      <c r="D17" t="s">
        <v>39</v>
      </c>
      <c r="E17" t="s">
        <v>43</v>
      </c>
      <c r="F17" t="s">
        <v>44</v>
      </c>
      <c r="G17">
        <v>4193</v>
      </c>
      <c r="H17">
        <v>924</v>
      </c>
      <c r="I17">
        <v>707</v>
      </c>
      <c r="J17">
        <v>2696</v>
      </c>
      <c r="K17">
        <v>55075</v>
      </c>
      <c r="L17">
        <v>126652</v>
      </c>
      <c r="M17" t="s">
        <v>34</v>
      </c>
      <c r="N17" s="44">
        <f t="shared" si="0"/>
        <v>4.5984271863057827E-2</v>
      </c>
      <c r="O17" s="44">
        <f>Table2[[#This Row],[Shares]]/Table2[[#This Row],[Impressions]]</f>
        <v>7.2955815936582126E-3</v>
      </c>
      <c r="P17">
        <f>(Table2[[#This Row],[Engagement Rate]]+Table2[[#This Row],[Click through rate]])*100</f>
        <v>5.3279853456716042</v>
      </c>
    </row>
    <row r="18" spans="1:16" x14ac:dyDescent="0.25">
      <c r="A18" t="s">
        <v>56</v>
      </c>
      <c r="B18" t="s">
        <v>20</v>
      </c>
      <c r="C18" s="43">
        <v>45782</v>
      </c>
      <c r="D18" t="s">
        <v>26</v>
      </c>
      <c r="E18" t="s">
        <v>32</v>
      </c>
      <c r="F18" t="s">
        <v>57</v>
      </c>
      <c r="G18">
        <v>10415</v>
      </c>
      <c r="H18">
        <v>1388</v>
      </c>
      <c r="I18">
        <v>725</v>
      </c>
      <c r="J18">
        <v>2462</v>
      </c>
      <c r="K18">
        <v>53082</v>
      </c>
      <c r="L18">
        <v>168267</v>
      </c>
      <c r="M18" t="s">
        <v>52</v>
      </c>
      <c r="N18" s="44">
        <f t="shared" si="0"/>
        <v>7.4453101321114656E-2</v>
      </c>
      <c r="O18" s="44">
        <f>Table2[[#This Row],[Shares]]/Table2[[#This Row],[Impressions]]</f>
        <v>8.2487950697403539E-3</v>
      </c>
      <c r="P18">
        <f>(Table2[[#This Row],[Engagement Rate]]+Table2[[#This Row],[Click through rate]])*100</f>
        <v>8.2701896390855012</v>
      </c>
    </row>
    <row r="19" spans="1:16" x14ac:dyDescent="0.25">
      <c r="A19" t="s">
        <v>58</v>
      </c>
      <c r="B19" t="s">
        <v>20</v>
      </c>
      <c r="C19" s="43">
        <v>45523</v>
      </c>
      <c r="D19" t="s">
        <v>15</v>
      </c>
      <c r="E19" t="s">
        <v>43</v>
      </c>
      <c r="F19" t="s">
        <v>44</v>
      </c>
      <c r="G19">
        <v>15550</v>
      </c>
      <c r="H19">
        <v>204</v>
      </c>
      <c r="I19">
        <v>279</v>
      </c>
      <c r="J19">
        <v>1646</v>
      </c>
      <c r="K19">
        <v>35819</v>
      </c>
      <c r="L19">
        <v>219436</v>
      </c>
      <c r="M19" t="s">
        <v>18</v>
      </c>
      <c r="N19" s="44">
        <f t="shared" si="0"/>
        <v>7.306458375107093E-2</v>
      </c>
      <c r="O19" s="44">
        <f>Table2[[#This Row],[Shares]]/Table2[[#This Row],[Impressions]]</f>
        <v>9.2965602726991013E-4</v>
      </c>
      <c r="P19">
        <f>(Table2[[#This Row],[Engagement Rate]]+Table2[[#This Row],[Click through rate]])*100</f>
        <v>7.3994239778340836</v>
      </c>
    </row>
    <row r="20" spans="1:16" x14ac:dyDescent="0.25">
      <c r="A20" t="s">
        <v>59</v>
      </c>
      <c r="B20" t="s">
        <v>20</v>
      </c>
      <c r="C20" s="43">
        <v>45466</v>
      </c>
      <c r="D20" t="s">
        <v>26</v>
      </c>
      <c r="E20" t="s">
        <v>32</v>
      </c>
      <c r="F20" t="s">
        <v>57</v>
      </c>
      <c r="G20">
        <v>16512</v>
      </c>
      <c r="H20">
        <v>1050</v>
      </c>
      <c r="I20">
        <v>971</v>
      </c>
      <c r="J20">
        <v>1891</v>
      </c>
      <c r="K20">
        <v>15865</v>
      </c>
      <c r="L20">
        <v>166503</v>
      </c>
      <c r="M20" t="s">
        <v>34</v>
      </c>
      <c r="N20" s="44">
        <f t="shared" si="0"/>
        <v>0.1113073037723044</v>
      </c>
      <c r="O20" s="44">
        <f>Table2[[#This Row],[Shares]]/Table2[[#This Row],[Impressions]]</f>
        <v>6.306192681212951E-3</v>
      </c>
      <c r="P20">
        <f>(Table2[[#This Row],[Engagement Rate]]+Table2[[#This Row],[Click through rate]])*100</f>
        <v>11.761349645351734</v>
      </c>
    </row>
    <row r="21" spans="1:16" x14ac:dyDescent="0.25">
      <c r="A21" t="s">
        <v>60</v>
      </c>
      <c r="B21" t="s">
        <v>14</v>
      </c>
      <c r="C21" s="43">
        <v>45544</v>
      </c>
      <c r="D21" t="s">
        <v>31</v>
      </c>
      <c r="E21" t="s">
        <v>27</v>
      </c>
      <c r="F21" t="s">
        <v>28</v>
      </c>
      <c r="G21">
        <v>6158</v>
      </c>
      <c r="H21">
        <v>277</v>
      </c>
      <c r="I21">
        <v>512</v>
      </c>
      <c r="J21">
        <v>2189</v>
      </c>
      <c r="K21">
        <v>76881</v>
      </c>
      <c r="L21">
        <v>124878</v>
      </c>
      <c r="M21" t="s">
        <v>34</v>
      </c>
      <c r="N21" s="44">
        <f t="shared" si="0"/>
        <v>5.563029516808405E-2</v>
      </c>
      <c r="O21" s="44">
        <f>Table2[[#This Row],[Shares]]/Table2[[#This Row],[Impressions]]</f>
        <v>2.2181649289706755E-3</v>
      </c>
      <c r="P21">
        <f>(Table2[[#This Row],[Engagement Rate]]+Table2[[#This Row],[Click through rate]])*100</f>
        <v>5.7848460097054719</v>
      </c>
    </row>
    <row r="22" spans="1:16" x14ac:dyDescent="0.25">
      <c r="A22" t="s">
        <v>61</v>
      </c>
      <c r="B22" t="s">
        <v>47</v>
      </c>
      <c r="C22" s="43">
        <v>45908</v>
      </c>
      <c r="D22" t="s">
        <v>39</v>
      </c>
      <c r="E22" t="s">
        <v>62</v>
      </c>
      <c r="F22" t="s">
        <v>37</v>
      </c>
      <c r="G22">
        <v>22309</v>
      </c>
      <c r="H22">
        <v>773</v>
      </c>
      <c r="I22">
        <v>854</v>
      </c>
      <c r="J22">
        <v>2387</v>
      </c>
      <c r="K22">
        <v>72396</v>
      </c>
      <c r="L22">
        <v>97056</v>
      </c>
      <c r="M22" t="s">
        <v>23</v>
      </c>
      <c r="N22" s="44">
        <f t="shared" si="0"/>
        <v>0.24662050774810418</v>
      </c>
      <c r="O22" s="44">
        <f>Table2[[#This Row],[Shares]]/Table2[[#This Row],[Impressions]]</f>
        <v>7.964474118034949E-3</v>
      </c>
      <c r="P22">
        <f>(Table2[[#This Row],[Engagement Rate]]+Table2[[#This Row],[Click through rate]])*100</f>
        <v>25.458498186613916</v>
      </c>
    </row>
    <row r="23" spans="1:16" x14ac:dyDescent="0.25">
      <c r="A23" t="s">
        <v>63</v>
      </c>
      <c r="B23" t="s">
        <v>25</v>
      </c>
      <c r="C23" s="43">
        <v>45715</v>
      </c>
      <c r="D23" t="s">
        <v>15</v>
      </c>
      <c r="E23" t="s">
        <v>40</v>
      </c>
      <c r="F23" t="s">
        <v>41</v>
      </c>
      <c r="G23">
        <v>8970</v>
      </c>
      <c r="H23">
        <v>331</v>
      </c>
      <c r="I23">
        <v>968</v>
      </c>
      <c r="J23">
        <v>2296</v>
      </c>
      <c r="K23">
        <v>24613</v>
      </c>
      <c r="L23">
        <v>198562</v>
      </c>
      <c r="M23" t="s">
        <v>34</v>
      </c>
      <c r="N23" s="44">
        <f t="shared" si="0"/>
        <v>5.1716844109144754E-2</v>
      </c>
      <c r="O23" s="44">
        <f>Table2[[#This Row],[Shares]]/Table2[[#This Row],[Impressions]]</f>
        <v>1.6669856266556542E-3</v>
      </c>
      <c r="P23">
        <f>(Table2[[#This Row],[Engagement Rate]]+Table2[[#This Row],[Click through rate]])*100</f>
        <v>5.3383829735800408</v>
      </c>
    </row>
    <row r="24" spans="1:16" x14ac:dyDescent="0.25">
      <c r="A24" t="s">
        <v>64</v>
      </c>
      <c r="B24" t="s">
        <v>47</v>
      </c>
      <c r="C24" s="43">
        <v>45602</v>
      </c>
      <c r="D24" t="s">
        <v>39</v>
      </c>
      <c r="E24" t="s">
        <v>32</v>
      </c>
      <c r="F24" t="s">
        <v>57</v>
      </c>
      <c r="G24">
        <v>8938</v>
      </c>
      <c r="H24">
        <v>800</v>
      </c>
      <c r="I24">
        <v>842</v>
      </c>
      <c r="J24">
        <v>2072</v>
      </c>
      <c r="K24">
        <v>31736</v>
      </c>
      <c r="L24">
        <v>59975</v>
      </c>
      <c r="M24" t="s">
        <v>34</v>
      </c>
      <c r="N24" s="44">
        <f t="shared" si="0"/>
        <v>0.17640683618174238</v>
      </c>
      <c r="O24" s="44">
        <f>Table2[[#This Row],[Shares]]/Table2[[#This Row],[Impressions]]</f>
        <v>1.3338891204668612E-2</v>
      </c>
      <c r="P24">
        <f>(Table2[[#This Row],[Engagement Rate]]+Table2[[#This Row],[Click through rate]])*100</f>
        <v>18.9745727386411</v>
      </c>
    </row>
    <row r="25" spans="1:16" x14ac:dyDescent="0.25">
      <c r="A25" t="s">
        <v>65</v>
      </c>
      <c r="B25" t="s">
        <v>20</v>
      </c>
      <c r="C25" s="43">
        <v>45680</v>
      </c>
      <c r="D25" t="s">
        <v>31</v>
      </c>
      <c r="E25" t="s">
        <v>48</v>
      </c>
      <c r="F25" t="s">
        <v>32</v>
      </c>
      <c r="G25">
        <v>23168</v>
      </c>
      <c r="H25">
        <v>1265</v>
      </c>
      <c r="I25">
        <v>441</v>
      </c>
      <c r="J25">
        <v>1612</v>
      </c>
      <c r="K25">
        <v>66615</v>
      </c>
      <c r="L25">
        <v>197795</v>
      </c>
      <c r="M25" t="s">
        <v>34</v>
      </c>
      <c r="N25" s="44">
        <f t="shared" si="0"/>
        <v>0.12575646502692181</v>
      </c>
      <c r="O25" s="44">
        <f>Table2[[#This Row],[Shares]]/Table2[[#This Row],[Impressions]]</f>
        <v>6.3955105032988697E-3</v>
      </c>
      <c r="P25">
        <f>(Table2[[#This Row],[Engagement Rate]]+Table2[[#This Row],[Click through rate]])*100</f>
        <v>13.215197553022067</v>
      </c>
    </row>
    <row r="26" spans="1:16" x14ac:dyDescent="0.25">
      <c r="A26" t="s">
        <v>66</v>
      </c>
      <c r="B26" t="s">
        <v>20</v>
      </c>
      <c r="C26" s="43">
        <v>45909</v>
      </c>
      <c r="D26" t="s">
        <v>31</v>
      </c>
      <c r="E26" t="s">
        <v>43</v>
      </c>
      <c r="F26" t="s">
        <v>44</v>
      </c>
      <c r="G26">
        <v>15772</v>
      </c>
      <c r="H26">
        <v>288</v>
      </c>
      <c r="I26">
        <v>520</v>
      </c>
      <c r="J26">
        <v>1585</v>
      </c>
      <c r="K26">
        <v>59182</v>
      </c>
      <c r="L26">
        <v>194351</v>
      </c>
      <c r="M26" t="s">
        <v>23</v>
      </c>
      <c r="N26" s="44">
        <f t="shared" si="0"/>
        <v>8.5309568769905988E-2</v>
      </c>
      <c r="O26" s="44">
        <f>Table2[[#This Row],[Shares]]/Table2[[#This Row],[Impressions]]</f>
        <v>1.4818549943144104E-3</v>
      </c>
      <c r="P26">
        <f>(Table2[[#This Row],[Engagement Rate]]+Table2[[#This Row],[Click through rate]])*100</f>
        <v>8.6791423764220408</v>
      </c>
    </row>
    <row r="27" spans="1:16" x14ac:dyDescent="0.25">
      <c r="A27" t="s">
        <v>67</v>
      </c>
      <c r="B27" t="s">
        <v>47</v>
      </c>
      <c r="C27" s="43">
        <v>45752</v>
      </c>
      <c r="D27" t="s">
        <v>31</v>
      </c>
      <c r="E27" t="s">
        <v>43</v>
      </c>
      <c r="F27" t="s">
        <v>44</v>
      </c>
      <c r="G27">
        <v>22384</v>
      </c>
      <c r="H27">
        <v>601</v>
      </c>
      <c r="I27">
        <v>943</v>
      </c>
      <c r="J27">
        <v>515</v>
      </c>
      <c r="K27">
        <v>41309</v>
      </c>
      <c r="L27">
        <v>249373</v>
      </c>
      <c r="M27" t="s">
        <v>18</v>
      </c>
      <c r="N27" s="44">
        <f t="shared" si="0"/>
        <v>9.5952649244304716E-2</v>
      </c>
      <c r="O27" s="44">
        <f>Table2[[#This Row],[Shares]]/Table2[[#This Row],[Impressions]]</f>
        <v>2.4100443913334644E-3</v>
      </c>
      <c r="P27">
        <f>(Table2[[#This Row],[Engagement Rate]]+Table2[[#This Row],[Click through rate]])*100</f>
        <v>9.8362693635638188</v>
      </c>
    </row>
    <row r="28" spans="1:16" x14ac:dyDescent="0.25">
      <c r="A28" t="s">
        <v>68</v>
      </c>
      <c r="B28" t="s">
        <v>47</v>
      </c>
      <c r="C28" s="43">
        <v>45552</v>
      </c>
      <c r="D28" t="s">
        <v>26</v>
      </c>
      <c r="E28" t="s">
        <v>48</v>
      </c>
      <c r="F28" t="s">
        <v>32</v>
      </c>
      <c r="G28">
        <v>20017</v>
      </c>
      <c r="H28">
        <v>495</v>
      </c>
      <c r="I28">
        <v>178</v>
      </c>
      <c r="J28">
        <v>2683</v>
      </c>
      <c r="K28">
        <v>32244</v>
      </c>
      <c r="L28">
        <v>182633</v>
      </c>
      <c r="M28" t="s">
        <v>18</v>
      </c>
      <c r="N28" s="44">
        <f t="shared" si="0"/>
        <v>0.11328730295182141</v>
      </c>
      <c r="O28" s="44">
        <f>Table2[[#This Row],[Shares]]/Table2[[#This Row],[Impressions]]</f>
        <v>2.710353550563151E-3</v>
      </c>
      <c r="P28">
        <f>(Table2[[#This Row],[Engagement Rate]]+Table2[[#This Row],[Click through rate]])*100</f>
        <v>11.599765650238455</v>
      </c>
    </row>
    <row r="29" spans="1:16" x14ac:dyDescent="0.25">
      <c r="A29" t="s">
        <v>69</v>
      </c>
      <c r="B29" t="s">
        <v>47</v>
      </c>
      <c r="C29" s="43">
        <v>45720</v>
      </c>
      <c r="D29" t="s">
        <v>26</v>
      </c>
      <c r="E29" t="s">
        <v>37</v>
      </c>
      <c r="G29">
        <v>12344</v>
      </c>
      <c r="H29">
        <v>815</v>
      </c>
      <c r="I29">
        <v>298</v>
      </c>
      <c r="J29">
        <v>2439</v>
      </c>
      <c r="K29">
        <v>6259</v>
      </c>
      <c r="L29">
        <v>237133</v>
      </c>
      <c r="M29" t="s">
        <v>34</v>
      </c>
      <c r="N29" s="44">
        <f t="shared" si="0"/>
        <v>5.6748744375519224E-2</v>
      </c>
      <c r="O29" s="44">
        <f>Table2[[#This Row],[Shares]]/Table2[[#This Row],[Impressions]]</f>
        <v>3.4368898466261549E-3</v>
      </c>
      <c r="P29">
        <f>(Table2[[#This Row],[Engagement Rate]]+Table2[[#This Row],[Click through rate]])*100</f>
        <v>6.0185634222145383</v>
      </c>
    </row>
    <row r="30" spans="1:16" x14ac:dyDescent="0.25">
      <c r="A30" t="s">
        <v>70</v>
      </c>
      <c r="B30" t="s">
        <v>20</v>
      </c>
      <c r="C30" s="43">
        <v>45910</v>
      </c>
      <c r="D30" t="s">
        <v>39</v>
      </c>
      <c r="E30" t="s">
        <v>71</v>
      </c>
      <c r="G30">
        <v>9266</v>
      </c>
      <c r="H30">
        <v>999</v>
      </c>
      <c r="I30">
        <v>928</v>
      </c>
      <c r="J30">
        <v>2700</v>
      </c>
      <c r="K30">
        <v>12264</v>
      </c>
      <c r="L30">
        <v>128397</v>
      </c>
      <c r="M30" t="s">
        <v>23</v>
      </c>
      <c r="N30" s="44">
        <f t="shared" si="0"/>
        <v>8.7174933993784898E-2</v>
      </c>
      <c r="O30" s="44">
        <f>Table2[[#This Row],[Shares]]/Table2[[#This Row],[Impressions]]</f>
        <v>7.7805556204584223E-3</v>
      </c>
      <c r="P30">
        <f>(Table2[[#This Row],[Engagement Rate]]+Table2[[#This Row],[Click through rate]])*100</f>
        <v>9.4955489614243334</v>
      </c>
    </row>
    <row r="31" spans="1:16" x14ac:dyDescent="0.25">
      <c r="A31" t="s">
        <v>72</v>
      </c>
      <c r="B31" t="s">
        <v>20</v>
      </c>
      <c r="C31" s="43">
        <v>45713</v>
      </c>
      <c r="D31" t="s">
        <v>39</v>
      </c>
      <c r="E31" t="s">
        <v>62</v>
      </c>
      <c r="F31" t="s">
        <v>37</v>
      </c>
      <c r="G31">
        <v>10702</v>
      </c>
      <c r="H31">
        <v>621</v>
      </c>
      <c r="I31">
        <v>445</v>
      </c>
      <c r="J31">
        <v>2918</v>
      </c>
      <c r="K31">
        <v>54808</v>
      </c>
      <c r="L31">
        <v>220225</v>
      </c>
      <c r="M31" t="s">
        <v>18</v>
      </c>
      <c r="N31" s="44">
        <f t="shared" si="0"/>
        <v>5.3436258372119426E-2</v>
      </c>
      <c r="O31" s="44">
        <f>Table2[[#This Row],[Shares]]/Table2[[#This Row],[Impressions]]</f>
        <v>2.8198433420365534E-3</v>
      </c>
      <c r="P31">
        <f>(Table2[[#This Row],[Engagement Rate]]+Table2[[#This Row],[Click through rate]])*100</f>
        <v>5.6256101714155982</v>
      </c>
    </row>
    <row r="32" spans="1:16" x14ac:dyDescent="0.25">
      <c r="A32" t="s">
        <v>73</v>
      </c>
      <c r="B32" t="s">
        <v>25</v>
      </c>
      <c r="C32" s="43">
        <v>45642</v>
      </c>
      <c r="D32" t="s">
        <v>15</v>
      </c>
      <c r="E32" t="s">
        <v>32</v>
      </c>
      <c r="F32" t="s">
        <v>33</v>
      </c>
      <c r="G32">
        <v>2384</v>
      </c>
      <c r="H32">
        <v>1246</v>
      </c>
      <c r="I32">
        <v>160</v>
      </c>
      <c r="J32">
        <v>2004</v>
      </c>
      <c r="K32">
        <v>2701</v>
      </c>
      <c r="L32">
        <v>73142</v>
      </c>
      <c r="M32" t="s">
        <v>18</v>
      </c>
      <c r="N32" s="44">
        <f t="shared" si="0"/>
        <v>5.1817013480626728E-2</v>
      </c>
      <c r="O32" s="44">
        <f>Table2[[#This Row],[Shares]]/Table2[[#This Row],[Impressions]]</f>
        <v>1.7035355883076756E-2</v>
      </c>
      <c r="P32">
        <f>(Table2[[#This Row],[Engagement Rate]]+Table2[[#This Row],[Click through rate]])*100</f>
        <v>6.8852369363703483</v>
      </c>
    </row>
    <row r="33" spans="1:16" x14ac:dyDescent="0.25">
      <c r="A33" t="s">
        <v>74</v>
      </c>
      <c r="B33" t="s">
        <v>25</v>
      </c>
      <c r="C33" s="43">
        <v>45504</v>
      </c>
      <c r="D33" t="s">
        <v>15</v>
      </c>
      <c r="E33" t="s">
        <v>32</v>
      </c>
      <c r="F33" t="s">
        <v>57</v>
      </c>
      <c r="G33">
        <v>2404</v>
      </c>
      <c r="H33">
        <v>774</v>
      </c>
      <c r="I33">
        <v>661</v>
      </c>
      <c r="J33">
        <v>662</v>
      </c>
      <c r="K33">
        <v>12676</v>
      </c>
      <c r="L33">
        <v>66916</v>
      </c>
      <c r="M33" t="s">
        <v>18</v>
      </c>
      <c r="N33" s="44">
        <f t="shared" si="0"/>
        <v>5.7370434574690654E-2</v>
      </c>
      <c r="O33" s="44">
        <f>Table2[[#This Row],[Shares]]/Table2[[#This Row],[Impressions]]</f>
        <v>1.1566740390937892E-2</v>
      </c>
      <c r="P33">
        <f>(Table2[[#This Row],[Engagement Rate]]+Table2[[#This Row],[Click through rate]])*100</f>
        <v>6.8937174965628536</v>
      </c>
    </row>
    <row r="34" spans="1:16" x14ac:dyDescent="0.25">
      <c r="A34" t="s">
        <v>75</v>
      </c>
      <c r="B34" t="s">
        <v>20</v>
      </c>
      <c r="C34" s="43">
        <v>45911</v>
      </c>
      <c r="D34" t="s">
        <v>39</v>
      </c>
      <c r="E34" t="s">
        <v>48</v>
      </c>
      <c r="F34" t="s">
        <v>32</v>
      </c>
      <c r="G34">
        <v>10175</v>
      </c>
      <c r="H34">
        <v>342</v>
      </c>
      <c r="I34">
        <v>825</v>
      </c>
      <c r="J34">
        <v>2904</v>
      </c>
      <c r="K34">
        <v>15954</v>
      </c>
      <c r="L34">
        <v>104324</v>
      </c>
      <c r="M34" t="s">
        <v>23</v>
      </c>
      <c r="N34" s="44">
        <f t="shared" si="0"/>
        <v>0.10871899083624094</v>
      </c>
      <c r="O34" s="44">
        <f>Table2[[#This Row],[Shares]]/Table2[[#This Row],[Impressions]]</f>
        <v>3.2782485334151299E-3</v>
      </c>
      <c r="P34">
        <f>(Table2[[#This Row],[Engagement Rate]]+Table2[[#This Row],[Click through rate]])*100</f>
        <v>11.199723936965606</v>
      </c>
    </row>
    <row r="35" spans="1:16" x14ac:dyDescent="0.25">
      <c r="A35" t="s">
        <v>76</v>
      </c>
      <c r="B35" t="s">
        <v>47</v>
      </c>
      <c r="C35" s="43">
        <v>45912</v>
      </c>
      <c r="D35" t="s">
        <v>26</v>
      </c>
      <c r="E35" t="s">
        <v>27</v>
      </c>
      <c r="F35" t="s">
        <v>28</v>
      </c>
      <c r="G35">
        <v>17158</v>
      </c>
      <c r="H35">
        <v>1192</v>
      </c>
      <c r="I35">
        <v>262</v>
      </c>
      <c r="J35">
        <v>2016</v>
      </c>
      <c r="K35">
        <v>28771</v>
      </c>
      <c r="L35">
        <v>216037</v>
      </c>
      <c r="M35" t="s">
        <v>23</v>
      </c>
      <c r="N35" s="44">
        <f t="shared" si="0"/>
        <v>8.6151909163708074E-2</v>
      </c>
      <c r="O35" s="44">
        <f>Table2[[#This Row],[Shares]]/Table2[[#This Row],[Impressions]]</f>
        <v>5.5175733786342156E-3</v>
      </c>
      <c r="P35">
        <f>(Table2[[#This Row],[Engagement Rate]]+Table2[[#This Row],[Click through rate]])*100</f>
        <v>9.1669482542342298</v>
      </c>
    </row>
    <row r="36" spans="1:16" x14ac:dyDescent="0.25">
      <c r="A36" t="s">
        <v>77</v>
      </c>
      <c r="B36" t="s">
        <v>47</v>
      </c>
      <c r="C36" s="43">
        <v>45626</v>
      </c>
      <c r="D36" t="s">
        <v>31</v>
      </c>
      <c r="E36" t="s">
        <v>32</v>
      </c>
      <c r="F36" t="s">
        <v>57</v>
      </c>
      <c r="G36">
        <v>14763</v>
      </c>
      <c r="H36">
        <v>864</v>
      </c>
      <c r="I36">
        <v>336</v>
      </c>
      <c r="J36">
        <v>1493</v>
      </c>
      <c r="K36">
        <v>33310</v>
      </c>
      <c r="L36">
        <v>165932</v>
      </c>
      <c r="M36" t="s">
        <v>34</v>
      </c>
      <c r="N36" s="44">
        <f t="shared" si="0"/>
        <v>9.6202058674637797E-2</v>
      </c>
      <c r="O36" s="44">
        <f>Table2[[#This Row],[Shares]]/Table2[[#This Row],[Impressions]]</f>
        <v>5.2069522454981556E-3</v>
      </c>
      <c r="P36">
        <f>(Table2[[#This Row],[Engagement Rate]]+Table2[[#This Row],[Click through rate]])*100</f>
        <v>10.140901092013594</v>
      </c>
    </row>
    <row r="37" spans="1:16" x14ac:dyDescent="0.25">
      <c r="A37" t="s">
        <v>78</v>
      </c>
      <c r="B37" t="s">
        <v>25</v>
      </c>
      <c r="C37" s="43">
        <v>45766</v>
      </c>
      <c r="D37" t="s">
        <v>39</v>
      </c>
      <c r="E37" t="s">
        <v>71</v>
      </c>
      <c r="G37">
        <v>20384</v>
      </c>
      <c r="H37">
        <v>344</v>
      </c>
      <c r="I37">
        <v>956</v>
      </c>
      <c r="J37">
        <v>655</v>
      </c>
      <c r="K37">
        <v>67621</v>
      </c>
      <c r="L37">
        <v>175720</v>
      </c>
      <c r="M37" t="s">
        <v>29</v>
      </c>
      <c r="N37" s="44">
        <f t="shared" si="0"/>
        <v>0.12340086501251991</v>
      </c>
      <c r="O37" s="44">
        <f>Table2[[#This Row],[Shares]]/Table2[[#This Row],[Impressions]]</f>
        <v>1.957659913498748E-3</v>
      </c>
      <c r="P37">
        <f>(Table2[[#This Row],[Engagement Rate]]+Table2[[#This Row],[Click through rate]])*100</f>
        <v>12.535852492601865</v>
      </c>
    </row>
    <row r="38" spans="1:16" x14ac:dyDescent="0.25">
      <c r="A38" t="s">
        <v>79</v>
      </c>
      <c r="B38" t="s">
        <v>20</v>
      </c>
      <c r="C38" s="43">
        <v>45663</v>
      </c>
      <c r="D38" t="s">
        <v>15</v>
      </c>
      <c r="E38" t="s">
        <v>27</v>
      </c>
      <c r="F38" t="s">
        <v>28</v>
      </c>
      <c r="G38">
        <v>11860</v>
      </c>
      <c r="H38">
        <v>1448</v>
      </c>
      <c r="I38">
        <v>893</v>
      </c>
      <c r="J38">
        <v>490</v>
      </c>
      <c r="K38">
        <v>23518</v>
      </c>
      <c r="L38">
        <v>206205</v>
      </c>
      <c r="M38" t="s">
        <v>18</v>
      </c>
      <c r="N38" s="44">
        <f t="shared" si="0"/>
        <v>6.8868359157149436E-2</v>
      </c>
      <c r="O38" s="44">
        <f>Table2[[#This Row],[Shares]]/Table2[[#This Row],[Impressions]]</f>
        <v>7.022138163478092E-3</v>
      </c>
      <c r="P38">
        <f>(Table2[[#This Row],[Engagement Rate]]+Table2[[#This Row],[Click through rate]])*100</f>
        <v>7.5890497320627528</v>
      </c>
    </row>
    <row r="39" spans="1:16" x14ac:dyDescent="0.25">
      <c r="A39" t="s">
        <v>80</v>
      </c>
      <c r="B39" t="s">
        <v>25</v>
      </c>
      <c r="C39" s="43">
        <v>45705</v>
      </c>
      <c r="D39" t="s">
        <v>26</v>
      </c>
      <c r="E39" t="s">
        <v>21</v>
      </c>
      <c r="F39" t="s">
        <v>22</v>
      </c>
      <c r="G39">
        <v>7989</v>
      </c>
      <c r="H39">
        <v>1206</v>
      </c>
      <c r="I39">
        <v>376</v>
      </c>
      <c r="J39">
        <v>2769</v>
      </c>
      <c r="K39">
        <v>27550</v>
      </c>
      <c r="L39">
        <v>221749</v>
      </c>
      <c r="M39" t="s">
        <v>29</v>
      </c>
      <c r="N39" s="44">
        <f t="shared" si="0"/>
        <v>4.3161412227338117E-2</v>
      </c>
      <c r="O39" s="44">
        <f>Table2[[#This Row],[Shares]]/Table2[[#This Row],[Impressions]]</f>
        <v>5.4385814592174033E-3</v>
      </c>
      <c r="P39">
        <f>(Table2[[#This Row],[Engagement Rate]]+Table2[[#This Row],[Click through rate]])*100</f>
        <v>4.8599993686555525</v>
      </c>
    </row>
    <row r="40" spans="1:16" x14ac:dyDescent="0.25">
      <c r="A40" t="s">
        <v>81</v>
      </c>
      <c r="B40" t="s">
        <v>25</v>
      </c>
      <c r="C40" s="43">
        <v>45913</v>
      </c>
      <c r="D40" t="s">
        <v>39</v>
      </c>
      <c r="E40" t="s">
        <v>40</v>
      </c>
      <c r="F40" t="s">
        <v>41</v>
      </c>
      <c r="G40">
        <v>17106</v>
      </c>
      <c r="H40">
        <v>702</v>
      </c>
      <c r="I40">
        <v>459</v>
      </c>
      <c r="J40">
        <v>999</v>
      </c>
      <c r="K40">
        <v>59627</v>
      </c>
      <c r="L40">
        <v>136059</v>
      </c>
      <c r="M40" t="s">
        <v>23</v>
      </c>
      <c r="N40" s="44">
        <f t="shared" si="0"/>
        <v>0.13425793222058077</v>
      </c>
      <c r="O40" s="44">
        <f>Table2[[#This Row],[Shares]]/Table2[[#This Row],[Impressions]]</f>
        <v>5.1595263819372477E-3</v>
      </c>
      <c r="P40">
        <f>(Table2[[#This Row],[Engagement Rate]]+Table2[[#This Row],[Click through rate]])*100</f>
        <v>13.941745860251803</v>
      </c>
    </row>
    <row r="41" spans="1:16" x14ac:dyDescent="0.25">
      <c r="A41" t="s">
        <v>82</v>
      </c>
      <c r="B41" t="s">
        <v>14</v>
      </c>
      <c r="C41" s="43">
        <v>45914</v>
      </c>
      <c r="D41" t="s">
        <v>39</v>
      </c>
      <c r="E41" t="s">
        <v>43</v>
      </c>
      <c r="F41" t="s">
        <v>44</v>
      </c>
      <c r="G41">
        <v>19844</v>
      </c>
      <c r="H41">
        <v>1020</v>
      </c>
      <c r="I41">
        <v>247</v>
      </c>
      <c r="J41">
        <v>2354</v>
      </c>
      <c r="K41">
        <v>37792</v>
      </c>
      <c r="L41">
        <v>138317</v>
      </c>
      <c r="M41" t="s">
        <v>23</v>
      </c>
      <c r="N41" s="44">
        <f t="shared" si="0"/>
        <v>0.15262765965138053</v>
      </c>
      <c r="O41" s="44">
        <f>Table2[[#This Row],[Shares]]/Table2[[#This Row],[Impressions]]</f>
        <v>7.3743646840229325E-3</v>
      </c>
      <c r="P41">
        <f>(Table2[[#This Row],[Engagement Rate]]+Table2[[#This Row],[Click through rate]])*100</f>
        <v>16.000202433540348</v>
      </c>
    </row>
    <row r="42" spans="1:16" x14ac:dyDescent="0.25">
      <c r="A42" t="s">
        <v>83</v>
      </c>
      <c r="B42" t="s">
        <v>14</v>
      </c>
      <c r="C42" s="43">
        <v>45915</v>
      </c>
      <c r="D42" t="s">
        <v>26</v>
      </c>
      <c r="E42" t="s">
        <v>21</v>
      </c>
      <c r="F42" t="s">
        <v>22</v>
      </c>
      <c r="G42">
        <v>5636</v>
      </c>
      <c r="H42">
        <v>303</v>
      </c>
      <c r="I42">
        <v>204</v>
      </c>
      <c r="J42">
        <v>2480</v>
      </c>
      <c r="K42">
        <v>7377</v>
      </c>
      <c r="L42">
        <v>241207</v>
      </c>
      <c r="M42" t="s">
        <v>23</v>
      </c>
      <c r="N42" s="44">
        <f t="shared" si="0"/>
        <v>2.5467751765081443E-2</v>
      </c>
      <c r="O42" s="44">
        <f>Table2[[#This Row],[Shares]]/Table2[[#This Row],[Impressions]]</f>
        <v>1.2561824490997359E-3</v>
      </c>
      <c r="P42">
        <f>(Table2[[#This Row],[Engagement Rate]]+Table2[[#This Row],[Click through rate]])*100</f>
        <v>2.6723934214181178</v>
      </c>
    </row>
    <row r="43" spans="1:16" x14ac:dyDescent="0.25">
      <c r="A43" t="s">
        <v>84</v>
      </c>
      <c r="B43" t="s">
        <v>14</v>
      </c>
      <c r="C43" s="43">
        <v>45721</v>
      </c>
      <c r="D43" t="s">
        <v>39</v>
      </c>
      <c r="E43" t="s">
        <v>32</v>
      </c>
      <c r="F43" t="s">
        <v>57</v>
      </c>
      <c r="G43">
        <v>12916</v>
      </c>
      <c r="H43">
        <v>1262</v>
      </c>
      <c r="I43">
        <v>772</v>
      </c>
      <c r="J43">
        <v>856</v>
      </c>
      <c r="K43">
        <v>11496</v>
      </c>
      <c r="L43">
        <v>75046</v>
      </c>
      <c r="M43" t="s">
        <v>29</v>
      </c>
      <c r="N43" s="44">
        <f t="shared" si="0"/>
        <v>0.19921115049436347</v>
      </c>
      <c r="O43" s="44">
        <f>Table2[[#This Row],[Shares]]/Table2[[#This Row],[Impressions]]</f>
        <v>1.6816352637049278E-2</v>
      </c>
      <c r="P43">
        <f>(Table2[[#This Row],[Engagement Rate]]+Table2[[#This Row],[Click through rate]])*100</f>
        <v>21.602750313141275</v>
      </c>
    </row>
    <row r="44" spans="1:16" x14ac:dyDescent="0.25">
      <c r="A44" t="s">
        <v>85</v>
      </c>
      <c r="B44" t="s">
        <v>47</v>
      </c>
      <c r="C44" s="43">
        <v>45916</v>
      </c>
      <c r="D44" t="s">
        <v>26</v>
      </c>
      <c r="E44" t="s">
        <v>71</v>
      </c>
      <c r="G44">
        <v>6809</v>
      </c>
      <c r="H44">
        <v>397</v>
      </c>
      <c r="I44">
        <v>813</v>
      </c>
      <c r="J44">
        <v>1125</v>
      </c>
      <c r="K44">
        <v>12206</v>
      </c>
      <c r="L44">
        <v>218136</v>
      </c>
      <c r="M44" t="s">
        <v>23</v>
      </c>
      <c r="N44" s="44">
        <f t="shared" si="0"/>
        <v>3.6761469908680823E-2</v>
      </c>
      <c r="O44" s="44">
        <f>Table2[[#This Row],[Shares]]/Table2[[#This Row],[Impressions]]</f>
        <v>1.819965526093813E-3</v>
      </c>
      <c r="P44">
        <f>(Table2[[#This Row],[Engagement Rate]]+Table2[[#This Row],[Click through rate]])*100</f>
        <v>3.8581435434774636</v>
      </c>
    </row>
    <row r="45" spans="1:16" x14ac:dyDescent="0.25">
      <c r="A45" t="s">
        <v>86</v>
      </c>
      <c r="B45" t="s">
        <v>20</v>
      </c>
      <c r="C45" s="43">
        <v>45718</v>
      </c>
      <c r="D45" t="s">
        <v>31</v>
      </c>
      <c r="E45" t="s">
        <v>62</v>
      </c>
      <c r="F45" t="s">
        <v>37</v>
      </c>
      <c r="G45">
        <v>22562</v>
      </c>
      <c r="H45">
        <v>778</v>
      </c>
      <c r="I45">
        <v>907</v>
      </c>
      <c r="J45">
        <v>1354</v>
      </c>
      <c r="K45">
        <v>34475</v>
      </c>
      <c r="L45">
        <v>141459</v>
      </c>
      <c r="M45" t="s">
        <v>34</v>
      </c>
      <c r="N45" s="44">
        <f t="shared" si="0"/>
        <v>0.17140655596321194</v>
      </c>
      <c r="O45" s="44">
        <f>Table2[[#This Row],[Shares]]/Table2[[#This Row],[Impressions]]</f>
        <v>5.4998268049399474E-3</v>
      </c>
      <c r="P45">
        <f>(Table2[[#This Row],[Engagement Rate]]+Table2[[#This Row],[Click through rate]])*100</f>
        <v>17.690638276815189</v>
      </c>
    </row>
    <row r="46" spans="1:16" x14ac:dyDescent="0.25">
      <c r="A46" t="s">
        <v>87</v>
      </c>
      <c r="B46" t="s">
        <v>20</v>
      </c>
      <c r="C46" s="43">
        <v>45917</v>
      </c>
      <c r="D46" t="s">
        <v>26</v>
      </c>
      <c r="E46" t="s">
        <v>40</v>
      </c>
      <c r="F46" t="s">
        <v>41</v>
      </c>
      <c r="G46">
        <v>15456</v>
      </c>
      <c r="H46">
        <v>590</v>
      </c>
      <c r="I46">
        <v>555</v>
      </c>
      <c r="J46">
        <v>2882</v>
      </c>
      <c r="K46">
        <v>49816</v>
      </c>
      <c r="L46">
        <v>240422</v>
      </c>
      <c r="M46" t="s">
        <v>23</v>
      </c>
      <c r="N46" s="44">
        <f t="shared" si="0"/>
        <v>6.9049421433978589E-2</v>
      </c>
      <c r="O46" s="44">
        <f>Table2[[#This Row],[Shares]]/Table2[[#This Row],[Impressions]]</f>
        <v>2.4540183510660422E-3</v>
      </c>
      <c r="P46">
        <f>(Table2[[#This Row],[Engagement Rate]]+Table2[[#This Row],[Click through rate]])*100</f>
        <v>7.1503439785044627</v>
      </c>
    </row>
    <row r="47" spans="1:16" x14ac:dyDescent="0.25">
      <c r="A47" t="s">
        <v>88</v>
      </c>
      <c r="B47" t="s">
        <v>20</v>
      </c>
      <c r="C47" s="43">
        <v>45779</v>
      </c>
      <c r="D47" t="s">
        <v>26</v>
      </c>
      <c r="E47" t="s">
        <v>32</v>
      </c>
      <c r="F47" t="s">
        <v>57</v>
      </c>
      <c r="G47">
        <v>17444</v>
      </c>
      <c r="H47">
        <v>1402</v>
      </c>
      <c r="I47">
        <v>218</v>
      </c>
      <c r="J47">
        <v>725</v>
      </c>
      <c r="K47">
        <v>8710</v>
      </c>
      <c r="L47">
        <v>85893</v>
      </c>
      <c r="M47" t="s">
        <v>52</v>
      </c>
      <c r="N47" s="44">
        <f t="shared" si="0"/>
        <v>0.22195056640238436</v>
      </c>
      <c r="O47" s="44">
        <f>Table2[[#This Row],[Shares]]/Table2[[#This Row],[Impressions]]</f>
        <v>1.6322633974829148E-2</v>
      </c>
      <c r="P47">
        <f>(Table2[[#This Row],[Engagement Rate]]+Table2[[#This Row],[Click through rate]])*100</f>
        <v>23.82732003772135</v>
      </c>
    </row>
    <row r="48" spans="1:16" x14ac:dyDescent="0.25">
      <c r="A48" t="s">
        <v>89</v>
      </c>
      <c r="B48" t="s">
        <v>20</v>
      </c>
      <c r="C48" s="43">
        <v>45712</v>
      </c>
      <c r="D48" t="s">
        <v>26</v>
      </c>
      <c r="E48" t="s">
        <v>48</v>
      </c>
      <c r="F48" t="s">
        <v>32</v>
      </c>
      <c r="G48">
        <v>24984</v>
      </c>
      <c r="H48">
        <v>753</v>
      </c>
      <c r="I48">
        <v>461</v>
      </c>
      <c r="J48">
        <v>2710</v>
      </c>
      <c r="K48">
        <v>20792</v>
      </c>
      <c r="L48">
        <v>141520</v>
      </c>
      <c r="M48" t="s">
        <v>29</v>
      </c>
      <c r="N48" s="44">
        <f t="shared" si="0"/>
        <v>0.18511871113623515</v>
      </c>
      <c r="O48" s="44">
        <f>Table2[[#This Row],[Shares]]/Table2[[#This Row],[Impressions]]</f>
        <v>5.3208027133973997E-3</v>
      </c>
      <c r="P48">
        <f>(Table2[[#This Row],[Engagement Rate]]+Table2[[#This Row],[Click through rate]])*100</f>
        <v>19.043951384963258</v>
      </c>
    </row>
    <row r="49" spans="1:16" x14ac:dyDescent="0.25">
      <c r="A49" t="s">
        <v>90</v>
      </c>
      <c r="B49" t="s">
        <v>14</v>
      </c>
      <c r="C49" s="43">
        <v>45727</v>
      </c>
      <c r="D49" t="s">
        <v>39</v>
      </c>
      <c r="E49" t="s">
        <v>16</v>
      </c>
      <c r="F49" t="s">
        <v>17</v>
      </c>
      <c r="G49">
        <v>7997</v>
      </c>
      <c r="H49">
        <v>1238</v>
      </c>
      <c r="I49">
        <v>438</v>
      </c>
      <c r="J49">
        <v>1874</v>
      </c>
      <c r="K49">
        <v>36272</v>
      </c>
      <c r="L49">
        <v>165818</v>
      </c>
      <c r="M49" t="s">
        <v>52</v>
      </c>
      <c r="N49" s="44">
        <f t="shared" si="0"/>
        <v>5.8335042034037318E-2</v>
      </c>
      <c r="O49" s="44">
        <f>Table2[[#This Row],[Shares]]/Table2[[#This Row],[Impressions]]</f>
        <v>7.466016958351928E-3</v>
      </c>
      <c r="P49">
        <f>(Table2[[#This Row],[Engagement Rate]]+Table2[[#This Row],[Click through rate]])*100</f>
        <v>6.5801058992389247</v>
      </c>
    </row>
    <row r="50" spans="1:16" x14ac:dyDescent="0.25">
      <c r="A50" t="s">
        <v>91</v>
      </c>
      <c r="B50" t="s">
        <v>47</v>
      </c>
      <c r="C50" s="43">
        <v>45918</v>
      </c>
      <c r="D50" t="s">
        <v>39</v>
      </c>
      <c r="E50" t="s">
        <v>32</v>
      </c>
      <c r="F50" t="s">
        <v>57</v>
      </c>
      <c r="G50">
        <v>4048</v>
      </c>
      <c r="H50">
        <v>677</v>
      </c>
      <c r="I50">
        <v>911</v>
      </c>
      <c r="J50">
        <v>2429</v>
      </c>
      <c r="K50">
        <v>27361</v>
      </c>
      <c r="L50">
        <v>101272</v>
      </c>
      <c r="M50" t="s">
        <v>23</v>
      </c>
      <c r="N50" s="44">
        <f t="shared" si="0"/>
        <v>5.5652105221581483E-2</v>
      </c>
      <c r="O50" s="44">
        <f>Table2[[#This Row],[Shares]]/Table2[[#This Row],[Impressions]]</f>
        <v>6.6849672169997628E-3</v>
      </c>
      <c r="P50">
        <f>(Table2[[#This Row],[Engagement Rate]]+Table2[[#This Row],[Click through rate]])*100</f>
        <v>6.2337072438581247</v>
      </c>
    </row>
    <row r="51" spans="1:16" x14ac:dyDescent="0.25">
      <c r="A51" t="s">
        <v>92</v>
      </c>
      <c r="B51" t="s">
        <v>47</v>
      </c>
      <c r="C51" s="43">
        <v>45476</v>
      </c>
      <c r="D51" t="s">
        <v>26</v>
      </c>
      <c r="E51" t="s">
        <v>40</v>
      </c>
      <c r="F51" t="s">
        <v>41</v>
      </c>
      <c r="G51">
        <v>14338</v>
      </c>
      <c r="H51">
        <v>1454</v>
      </c>
      <c r="I51">
        <v>697</v>
      </c>
      <c r="J51">
        <v>2703</v>
      </c>
      <c r="K51">
        <v>21288</v>
      </c>
      <c r="L51">
        <v>107649</v>
      </c>
      <c r="M51" t="s">
        <v>34</v>
      </c>
      <c r="N51" s="44">
        <f t="shared" si="0"/>
        <v>0.1531737405828201</v>
      </c>
      <c r="O51" s="44">
        <f>Table2[[#This Row],[Shares]]/Table2[[#This Row],[Impressions]]</f>
        <v>1.3506860258804076E-2</v>
      </c>
      <c r="P51">
        <f>(Table2[[#This Row],[Engagement Rate]]+Table2[[#This Row],[Click through rate]])*100</f>
        <v>16.668060084162416</v>
      </c>
    </row>
    <row r="52" spans="1:16" x14ac:dyDescent="0.25">
      <c r="A52" t="s">
        <v>93</v>
      </c>
      <c r="B52" t="s">
        <v>14</v>
      </c>
      <c r="C52" s="43">
        <v>45456</v>
      </c>
      <c r="D52" t="s">
        <v>39</v>
      </c>
      <c r="E52" t="s">
        <v>43</v>
      </c>
      <c r="F52" t="s">
        <v>44</v>
      </c>
      <c r="G52">
        <v>23164</v>
      </c>
      <c r="H52">
        <v>1122</v>
      </c>
      <c r="I52">
        <v>900</v>
      </c>
      <c r="J52">
        <v>888</v>
      </c>
      <c r="K52">
        <v>36938</v>
      </c>
      <c r="L52">
        <v>104674</v>
      </c>
      <c r="M52" t="s">
        <v>18</v>
      </c>
      <c r="N52" s="44">
        <f t="shared" si="0"/>
        <v>0.24061371496264594</v>
      </c>
      <c r="O52" s="44">
        <f>Table2[[#This Row],[Shares]]/Table2[[#This Row],[Impressions]]</f>
        <v>1.0718994210596709E-2</v>
      </c>
      <c r="P52">
        <f>(Table2[[#This Row],[Engagement Rate]]+Table2[[#This Row],[Click through rate]])*100</f>
        <v>25.133270917324264</v>
      </c>
    </row>
    <row r="53" spans="1:16" x14ac:dyDescent="0.25">
      <c r="A53" t="s">
        <v>94</v>
      </c>
      <c r="B53" t="s">
        <v>47</v>
      </c>
      <c r="C53" s="43">
        <v>45919</v>
      </c>
      <c r="D53" t="s">
        <v>15</v>
      </c>
      <c r="E53" t="s">
        <v>43</v>
      </c>
      <c r="F53" t="s">
        <v>44</v>
      </c>
      <c r="G53">
        <v>19100</v>
      </c>
      <c r="H53">
        <v>619</v>
      </c>
      <c r="I53">
        <v>297</v>
      </c>
      <c r="J53">
        <v>2312</v>
      </c>
      <c r="K53">
        <v>9730</v>
      </c>
      <c r="L53">
        <v>184832</v>
      </c>
      <c r="M53" t="s">
        <v>23</v>
      </c>
      <c r="N53" s="44">
        <f t="shared" si="0"/>
        <v>0.10829293628808864</v>
      </c>
      <c r="O53" s="44">
        <f>Table2[[#This Row],[Shares]]/Table2[[#This Row],[Impressions]]</f>
        <v>3.3489871883656511E-3</v>
      </c>
      <c r="P53">
        <f>(Table2[[#This Row],[Engagement Rate]]+Table2[[#This Row],[Click through rate]])*100</f>
        <v>11.164192347645429</v>
      </c>
    </row>
    <row r="54" spans="1:16" x14ac:dyDescent="0.25">
      <c r="A54" t="s">
        <v>95</v>
      </c>
      <c r="B54" t="s">
        <v>14</v>
      </c>
      <c r="C54" s="43">
        <v>45712</v>
      </c>
      <c r="D54" t="s">
        <v>15</v>
      </c>
      <c r="E54" t="s">
        <v>32</v>
      </c>
      <c r="F54" t="s">
        <v>57</v>
      </c>
      <c r="G54">
        <v>23949</v>
      </c>
      <c r="H54">
        <v>356</v>
      </c>
      <c r="I54">
        <v>616</v>
      </c>
      <c r="J54">
        <v>1847</v>
      </c>
      <c r="K54">
        <v>3144</v>
      </c>
      <c r="L54">
        <v>192999</v>
      </c>
      <c r="M54" t="s">
        <v>34</v>
      </c>
      <c r="N54" s="44">
        <f t="shared" si="0"/>
        <v>0.12912502137316773</v>
      </c>
      <c r="O54" s="44">
        <f>Table2[[#This Row],[Shares]]/Table2[[#This Row],[Impressions]]</f>
        <v>1.8445691428452997E-3</v>
      </c>
      <c r="P54">
        <f>(Table2[[#This Row],[Engagement Rate]]+Table2[[#This Row],[Click through rate]])*100</f>
        <v>13.096959051601303</v>
      </c>
    </row>
    <row r="55" spans="1:16" x14ac:dyDescent="0.25">
      <c r="A55" t="s">
        <v>96</v>
      </c>
      <c r="B55" t="s">
        <v>20</v>
      </c>
      <c r="C55" s="43">
        <v>45729</v>
      </c>
      <c r="D55" t="s">
        <v>39</v>
      </c>
      <c r="E55" t="s">
        <v>27</v>
      </c>
      <c r="F55" t="s">
        <v>28</v>
      </c>
      <c r="G55">
        <v>6544</v>
      </c>
      <c r="H55">
        <v>749</v>
      </c>
      <c r="I55">
        <v>888</v>
      </c>
      <c r="J55">
        <v>594</v>
      </c>
      <c r="K55">
        <v>18171</v>
      </c>
      <c r="L55">
        <v>126475</v>
      </c>
      <c r="M55" t="s">
        <v>29</v>
      </c>
      <c r="N55" s="44">
        <f t="shared" si="0"/>
        <v>6.4684720300454635E-2</v>
      </c>
      <c r="O55" s="44">
        <f>Table2[[#This Row],[Shares]]/Table2[[#This Row],[Impressions]]</f>
        <v>5.9221189958489819E-3</v>
      </c>
      <c r="P55">
        <f>(Table2[[#This Row],[Engagement Rate]]+Table2[[#This Row],[Click through rate]])*100</f>
        <v>7.0606839296303612</v>
      </c>
    </row>
    <row r="56" spans="1:16" x14ac:dyDescent="0.25">
      <c r="A56" t="s">
        <v>97</v>
      </c>
      <c r="B56" t="s">
        <v>14</v>
      </c>
      <c r="C56" s="43">
        <v>45460</v>
      </c>
      <c r="D56" t="s">
        <v>39</v>
      </c>
      <c r="E56" t="s">
        <v>16</v>
      </c>
      <c r="F56" t="s">
        <v>17</v>
      </c>
      <c r="G56">
        <v>6976</v>
      </c>
      <c r="H56">
        <v>1320</v>
      </c>
      <c r="I56">
        <v>393</v>
      </c>
      <c r="J56">
        <v>2285</v>
      </c>
      <c r="K56">
        <v>14049</v>
      </c>
      <c r="L56">
        <v>101367</v>
      </c>
      <c r="M56" t="s">
        <v>52</v>
      </c>
      <c r="N56" s="44">
        <f t="shared" si="0"/>
        <v>8.5718231771681114E-2</v>
      </c>
      <c r="O56" s="44">
        <f>Table2[[#This Row],[Shares]]/Table2[[#This Row],[Impressions]]</f>
        <v>1.3021989404835893E-2</v>
      </c>
      <c r="P56">
        <f>(Table2[[#This Row],[Engagement Rate]]+Table2[[#This Row],[Click through rate]])*100</f>
        <v>9.8740221176517018</v>
      </c>
    </row>
    <row r="57" spans="1:16" x14ac:dyDescent="0.25">
      <c r="A57" t="s">
        <v>98</v>
      </c>
      <c r="B57" t="s">
        <v>20</v>
      </c>
      <c r="C57" s="43">
        <v>45644</v>
      </c>
      <c r="D57" t="s">
        <v>26</v>
      </c>
      <c r="E57" t="s">
        <v>48</v>
      </c>
      <c r="F57" t="s">
        <v>32</v>
      </c>
      <c r="G57">
        <v>14775</v>
      </c>
      <c r="H57">
        <v>1220</v>
      </c>
      <c r="I57">
        <v>640</v>
      </c>
      <c r="J57">
        <v>1547</v>
      </c>
      <c r="K57">
        <v>28527</v>
      </c>
      <c r="L57">
        <v>183660</v>
      </c>
      <c r="M57" t="s">
        <v>52</v>
      </c>
      <c r="N57" s="44">
        <f t="shared" si="0"/>
        <v>9.0574975498203203E-2</v>
      </c>
      <c r="O57" s="44">
        <f>Table2[[#This Row],[Shares]]/Table2[[#This Row],[Impressions]]</f>
        <v>6.6427093542415329E-3</v>
      </c>
      <c r="P57">
        <f>(Table2[[#This Row],[Engagement Rate]]+Table2[[#This Row],[Click through rate]])*100</f>
        <v>9.721768485244473</v>
      </c>
    </row>
    <row r="58" spans="1:16" x14ac:dyDescent="0.25">
      <c r="A58" t="s">
        <v>99</v>
      </c>
      <c r="B58" t="s">
        <v>20</v>
      </c>
      <c r="C58" s="43">
        <v>45586</v>
      </c>
      <c r="D58" t="s">
        <v>31</v>
      </c>
      <c r="E58" t="s">
        <v>32</v>
      </c>
      <c r="F58" t="s">
        <v>57</v>
      </c>
      <c r="G58">
        <v>12015</v>
      </c>
      <c r="H58">
        <v>1196</v>
      </c>
      <c r="I58">
        <v>998</v>
      </c>
      <c r="J58">
        <v>1848</v>
      </c>
      <c r="K58">
        <v>44739</v>
      </c>
      <c r="L58">
        <v>161750</v>
      </c>
      <c r="M58" t="s">
        <v>52</v>
      </c>
      <c r="N58" s="44">
        <f t="shared" si="0"/>
        <v>8.7845440494590421E-2</v>
      </c>
      <c r="O58" s="44">
        <f>Table2[[#This Row],[Shares]]/Table2[[#This Row],[Impressions]]</f>
        <v>7.3941267387944362E-3</v>
      </c>
      <c r="P58">
        <f>(Table2[[#This Row],[Engagement Rate]]+Table2[[#This Row],[Click through rate]])*100</f>
        <v>9.5239567233384861</v>
      </c>
    </row>
    <row r="59" spans="1:16" x14ac:dyDescent="0.25">
      <c r="A59" t="s">
        <v>100</v>
      </c>
      <c r="B59" t="s">
        <v>25</v>
      </c>
      <c r="C59" s="43">
        <v>45762</v>
      </c>
      <c r="D59" t="s">
        <v>39</v>
      </c>
      <c r="E59" t="s">
        <v>27</v>
      </c>
      <c r="F59" t="s">
        <v>28</v>
      </c>
      <c r="G59">
        <v>5419</v>
      </c>
      <c r="H59">
        <v>1150</v>
      </c>
      <c r="I59">
        <v>656</v>
      </c>
      <c r="J59">
        <v>1990</v>
      </c>
      <c r="K59">
        <v>410</v>
      </c>
      <c r="L59">
        <v>158154</v>
      </c>
      <c r="M59" t="s">
        <v>29</v>
      </c>
      <c r="N59" s="44">
        <f t="shared" si="0"/>
        <v>4.5683321319726342E-2</v>
      </c>
      <c r="O59" s="44">
        <f>Table2[[#This Row],[Shares]]/Table2[[#This Row],[Impressions]]</f>
        <v>7.2713937048699369E-3</v>
      </c>
      <c r="P59">
        <f>(Table2[[#This Row],[Engagement Rate]]+Table2[[#This Row],[Click through rate]])*100</f>
        <v>5.2954715024596277</v>
      </c>
    </row>
    <row r="60" spans="1:16" x14ac:dyDescent="0.25">
      <c r="A60" t="s">
        <v>101</v>
      </c>
      <c r="B60" t="s">
        <v>14</v>
      </c>
      <c r="C60" s="43">
        <v>45465</v>
      </c>
      <c r="D60" t="s">
        <v>15</v>
      </c>
      <c r="E60" t="s">
        <v>43</v>
      </c>
      <c r="F60" t="s">
        <v>44</v>
      </c>
      <c r="G60">
        <v>16430</v>
      </c>
      <c r="H60">
        <v>488</v>
      </c>
      <c r="I60">
        <v>514</v>
      </c>
      <c r="J60">
        <v>1436</v>
      </c>
      <c r="K60">
        <v>30059</v>
      </c>
      <c r="L60">
        <v>223305</v>
      </c>
      <c r="M60" t="s">
        <v>34</v>
      </c>
      <c r="N60" s="44">
        <f t="shared" si="0"/>
        <v>7.8063634938760881E-2</v>
      </c>
      <c r="O60" s="44">
        <f>Table2[[#This Row],[Shares]]/Table2[[#This Row],[Impressions]]</f>
        <v>2.1853518729988133E-3</v>
      </c>
      <c r="P60">
        <f>(Table2[[#This Row],[Engagement Rate]]+Table2[[#This Row],[Click through rate]])*100</f>
        <v>8.0248986811759693</v>
      </c>
    </row>
    <row r="61" spans="1:16" x14ac:dyDescent="0.25">
      <c r="A61" t="s">
        <v>102</v>
      </c>
      <c r="B61" t="s">
        <v>25</v>
      </c>
      <c r="C61" s="43">
        <v>45685</v>
      </c>
      <c r="D61" t="s">
        <v>26</v>
      </c>
      <c r="E61" t="s">
        <v>43</v>
      </c>
      <c r="F61" t="s">
        <v>44</v>
      </c>
      <c r="G61">
        <v>9239</v>
      </c>
      <c r="H61">
        <v>1477</v>
      </c>
      <c r="I61">
        <v>631</v>
      </c>
      <c r="J61">
        <v>1556</v>
      </c>
      <c r="K61">
        <v>11580</v>
      </c>
      <c r="L61">
        <v>84738</v>
      </c>
      <c r="M61" t="s">
        <v>29</v>
      </c>
      <c r="N61" s="44">
        <f t="shared" si="0"/>
        <v>0.13390686586891359</v>
      </c>
      <c r="O61" s="44">
        <f>Table2[[#This Row],[Shares]]/Table2[[#This Row],[Impressions]]</f>
        <v>1.7430196606009109E-2</v>
      </c>
      <c r="P61">
        <f>(Table2[[#This Row],[Engagement Rate]]+Table2[[#This Row],[Click through rate]])*100</f>
        <v>15.13370624749227</v>
      </c>
    </row>
    <row r="62" spans="1:16" x14ac:dyDescent="0.25">
      <c r="A62" t="s">
        <v>103</v>
      </c>
      <c r="B62" t="s">
        <v>14</v>
      </c>
      <c r="C62" s="43">
        <v>45540</v>
      </c>
      <c r="D62" t="s">
        <v>39</v>
      </c>
      <c r="E62" t="s">
        <v>71</v>
      </c>
      <c r="G62">
        <v>16489</v>
      </c>
      <c r="H62">
        <v>395</v>
      </c>
      <c r="I62">
        <v>350</v>
      </c>
      <c r="J62">
        <v>2364</v>
      </c>
      <c r="K62">
        <v>43239</v>
      </c>
      <c r="L62">
        <v>73397</v>
      </c>
      <c r="M62" t="s">
        <v>52</v>
      </c>
      <c r="N62" s="44">
        <f t="shared" si="0"/>
        <v>0.23480523727127811</v>
      </c>
      <c r="O62" s="44">
        <f>Table2[[#This Row],[Shares]]/Table2[[#This Row],[Impressions]]</f>
        <v>5.381691349782689E-3</v>
      </c>
      <c r="P62">
        <f>(Table2[[#This Row],[Engagement Rate]]+Table2[[#This Row],[Click through rate]])*100</f>
        <v>24.018692862106082</v>
      </c>
    </row>
    <row r="63" spans="1:16" x14ac:dyDescent="0.25">
      <c r="A63" t="s">
        <v>104</v>
      </c>
      <c r="B63" t="s">
        <v>14</v>
      </c>
      <c r="C63" s="43">
        <v>45920</v>
      </c>
      <c r="D63" t="s">
        <v>15</v>
      </c>
      <c r="E63" t="s">
        <v>32</v>
      </c>
      <c r="F63" t="s">
        <v>57</v>
      </c>
      <c r="G63">
        <v>18633</v>
      </c>
      <c r="H63">
        <v>797</v>
      </c>
      <c r="I63">
        <v>303</v>
      </c>
      <c r="J63">
        <v>659</v>
      </c>
      <c r="K63">
        <v>7</v>
      </c>
      <c r="L63">
        <v>122189</v>
      </c>
      <c r="M63" t="s">
        <v>23</v>
      </c>
      <c r="N63" s="44">
        <f t="shared" si="0"/>
        <v>0.16149571565361859</v>
      </c>
      <c r="O63" s="44">
        <f>Table2[[#This Row],[Shares]]/Table2[[#This Row],[Impressions]]</f>
        <v>6.5226820744911573E-3</v>
      </c>
      <c r="P63">
        <f>(Table2[[#This Row],[Engagement Rate]]+Table2[[#This Row],[Click through rate]])*100</f>
        <v>16.801839772810975</v>
      </c>
    </row>
    <row r="64" spans="1:16" x14ac:dyDescent="0.25">
      <c r="A64" t="s">
        <v>105</v>
      </c>
      <c r="B64" t="s">
        <v>25</v>
      </c>
      <c r="C64" s="43">
        <v>45504</v>
      </c>
      <c r="D64" t="s">
        <v>15</v>
      </c>
      <c r="E64" t="s">
        <v>16</v>
      </c>
      <c r="F64" t="s">
        <v>17</v>
      </c>
      <c r="G64">
        <v>12357</v>
      </c>
      <c r="H64">
        <v>716</v>
      </c>
      <c r="I64">
        <v>599</v>
      </c>
      <c r="J64">
        <v>999</v>
      </c>
      <c r="K64">
        <v>89591</v>
      </c>
      <c r="L64">
        <v>116367</v>
      </c>
      <c r="M64" t="s">
        <v>18</v>
      </c>
      <c r="N64" s="44">
        <f t="shared" si="0"/>
        <v>0.11749035379446063</v>
      </c>
      <c r="O64" s="44">
        <f>Table2[[#This Row],[Shares]]/Table2[[#This Row],[Impressions]]</f>
        <v>6.1529471413716945E-3</v>
      </c>
      <c r="P64">
        <f>(Table2[[#This Row],[Engagement Rate]]+Table2[[#This Row],[Click through rate]])*100</f>
        <v>12.364330093583233</v>
      </c>
    </row>
    <row r="65" spans="1:16" x14ac:dyDescent="0.25">
      <c r="A65" t="s">
        <v>106</v>
      </c>
      <c r="B65" t="s">
        <v>25</v>
      </c>
      <c r="C65" s="43">
        <v>45521</v>
      </c>
      <c r="D65" t="s">
        <v>31</v>
      </c>
      <c r="E65" t="s">
        <v>37</v>
      </c>
      <c r="G65">
        <v>19154</v>
      </c>
      <c r="H65">
        <v>1064</v>
      </c>
      <c r="I65">
        <v>650</v>
      </c>
      <c r="J65">
        <v>747</v>
      </c>
      <c r="K65">
        <v>42667</v>
      </c>
      <c r="L65">
        <v>242332</v>
      </c>
      <c r="M65" t="s">
        <v>29</v>
      </c>
      <c r="N65" s="44">
        <f t="shared" si="0"/>
        <v>8.6113266097750191E-2</v>
      </c>
      <c r="O65" s="44">
        <f>Table2[[#This Row],[Shares]]/Table2[[#This Row],[Impressions]]</f>
        <v>4.3906706501823942E-3</v>
      </c>
      <c r="P65">
        <f>(Table2[[#This Row],[Engagement Rate]]+Table2[[#This Row],[Click through rate]])*100</f>
        <v>9.0503936747932592</v>
      </c>
    </row>
    <row r="66" spans="1:16" x14ac:dyDescent="0.25">
      <c r="A66" t="s">
        <v>107</v>
      </c>
      <c r="B66" t="s">
        <v>14</v>
      </c>
      <c r="C66" s="43">
        <v>45744</v>
      </c>
      <c r="D66" t="s">
        <v>26</v>
      </c>
      <c r="E66" t="s">
        <v>16</v>
      </c>
      <c r="F66" t="s">
        <v>17</v>
      </c>
      <c r="G66">
        <v>6363</v>
      </c>
      <c r="H66">
        <v>1341</v>
      </c>
      <c r="I66">
        <v>222</v>
      </c>
      <c r="J66">
        <v>2712</v>
      </c>
      <c r="K66">
        <v>19987</v>
      </c>
      <c r="L66">
        <v>160585</v>
      </c>
      <c r="M66" t="s">
        <v>29</v>
      </c>
      <c r="N66" s="44">
        <f t="shared" si="0"/>
        <v>4.9357038328611019E-2</v>
      </c>
      <c r="O66" s="44">
        <f>Table2[[#This Row],[Shares]]/Table2[[#This Row],[Impressions]]</f>
        <v>8.3507176884515984E-3</v>
      </c>
      <c r="P66">
        <f>(Table2[[#This Row],[Engagement Rate]]+Table2[[#This Row],[Click through rate]])*100</f>
        <v>5.7707756017062612</v>
      </c>
    </row>
    <row r="67" spans="1:16" x14ac:dyDescent="0.25">
      <c r="A67" t="s">
        <v>108</v>
      </c>
      <c r="B67" t="s">
        <v>47</v>
      </c>
      <c r="C67" s="43">
        <v>45499</v>
      </c>
      <c r="D67" t="s">
        <v>26</v>
      </c>
      <c r="E67" t="s">
        <v>43</v>
      </c>
      <c r="F67" t="s">
        <v>44</v>
      </c>
      <c r="G67">
        <v>12176</v>
      </c>
      <c r="H67">
        <v>1005</v>
      </c>
      <c r="I67">
        <v>862</v>
      </c>
      <c r="J67">
        <v>974</v>
      </c>
      <c r="K67">
        <v>2285</v>
      </c>
      <c r="L67">
        <v>116619</v>
      </c>
      <c r="M67" t="s">
        <v>34</v>
      </c>
      <c r="N67" s="44">
        <f t="shared" ref="N67:N130" si="1">(G67+H67+I67)/L67</f>
        <v>0.12041777068916729</v>
      </c>
      <c r="O67" s="44">
        <f>Table2[[#This Row],[Shares]]/Table2[[#This Row],[Impressions]]</f>
        <v>8.6178067038818716E-3</v>
      </c>
      <c r="P67">
        <f>(Table2[[#This Row],[Engagement Rate]]+Table2[[#This Row],[Click through rate]])*100</f>
        <v>12.903557739304915</v>
      </c>
    </row>
    <row r="68" spans="1:16" x14ac:dyDescent="0.25">
      <c r="A68" t="s">
        <v>109</v>
      </c>
      <c r="B68" t="s">
        <v>20</v>
      </c>
      <c r="C68" s="43">
        <v>45745</v>
      </c>
      <c r="D68" t="s">
        <v>31</v>
      </c>
      <c r="E68" t="s">
        <v>43</v>
      </c>
      <c r="F68" t="s">
        <v>44</v>
      </c>
      <c r="G68">
        <v>19461</v>
      </c>
      <c r="H68">
        <v>1382</v>
      </c>
      <c r="I68">
        <v>445</v>
      </c>
      <c r="J68">
        <v>1307</v>
      </c>
      <c r="K68">
        <v>84691</v>
      </c>
      <c r="L68">
        <v>151453</v>
      </c>
      <c r="M68" t="s">
        <v>34</v>
      </c>
      <c r="N68" s="44">
        <f t="shared" si="1"/>
        <v>0.14055845707909384</v>
      </c>
      <c r="O68" s="44">
        <f>Table2[[#This Row],[Shares]]/Table2[[#This Row],[Impressions]]</f>
        <v>9.1249430516397827E-3</v>
      </c>
      <c r="P68">
        <f>(Table2[[#This Row],[Engagement Rate]]+Table2[[#This Row],[Click through rate]])*100</f>
        <v>14.968340013073361</v>
      </c>
    </row>
    <row r="69" spans="1:16" x14ac:dyDescent="0.25">
      <c r="A69" t="s">
        <v>110</v>
      </c>
      <c r="B69" t="s">
        <v>25</v>
      </c>
      <c r="C69" s="43">
        <v>45634</v>
      </c>
      <c r="D69" t="s">
        <v>31</v>
      </c>
      <c r="E69" t="s">
        <v>21</v>
      </c>
      <c r="F69" t="s">
        <v>22</v>
      </c>
      <c r="G69">
        <v>10427</v>
      </c>
      <c r="H69">
        <v>1014</v>
      </c>
      <c r="I69">
        <v>166</v>
      </c>
      <c r="J69">
        <v>1649</v>
      </c>
      <c r="K69">
        <v>15145</v>
      </c>
      <c r="L69">
        <v>59816</v>
      </c>
      <c r="M69" t="s">
        <v>29</v>
      </c>
      <c r="N69" s="44">
        <f t="shared" si="1"/>
        <v>0.19404507155276179</v>
      </c>
      <c r="O69" s="44">
        <f>Table2[[#This Row],[Shares]]/Table2[[#This Row],[Impressions]]</f>
        <v>1.6951986090678078E-2</v>
      </c>
      <c r="P69">
        <f>(Table2[[#This Row],[Engagement Rate]]+Table2[[#This Row],[Click through rate]])*100</f>
        <v>21.099705764343987</v>
      </c>
    </row>
    <row r="70" spans="1:16" x14ac:dyDescent="0.25">
      <c r="A70" t="s">
        <v>111</v>
      </c>
      <c r="B70" t="s">
        <v>20</v>
      </c>
      <c r="C70" s="43">
        <v>45724</v>
      </c>
      <c r="D70" t="s">
        <v>26</v>
      </c>
      <c r="E70" t="s">
        <v>43</v>
      </c>
      <c r="F70" t="s">
        <v>44</v>
      </c>
      <c r="G70">
        <v>10580</v>
      </c>
      <c r="H70">
        <v>427</v>
      </c>
      <c r="I70">
        <v>790</v>
      </c>
      <c r="J70">
        <v>2814</v>
      </c>
      <c r="K70">
        <v>24916</v>
      </c>
      <c r="L70">
        <v>213312</v>
      </c>
      <c r="M70" t="s">
        <v>52</v>
      </c>
      <c r="N70" s="44">
        <f t="shared" si="1"/>
        <v>5.530396789678968E-2</v>
      </c>
      <c r="O70" s="44">
        <f>Table2[[#This Row],[Shares]]/Table2[[#This Row],[Impressions]]</f>
        <v>2.0017626762676268E-3</v>
      </c>
      <c r="P70">
        <f>(Table2[[#This Row],[Engagement Rate]]+Table2[[#This Row],[Click through rate]])*100</f>
        <v>5.7305730573057305</v>
      </c>
    </row>
    <row r="71" spans="1:16" x14ac:dyDescent="0.25">
      <c r="A71" t="s">
        <v>112</v>
      </c>
      <c r="B71" t="s">
        <v>47</v>
      </c>
      <c r="C71" s="43">
        <v>45749</v>
      </c>
      <c r="D71" t="s">
        <v>26</v>
      </c>
      <c r="E71" t="s">
        <v>48</v>
      </c>
      <c r="F71" t="s">
        <v>32</v>
      </c>
      <c r="G71">
        <v>6858</v>
      </c>
      <c r="H71">
        <v>415</v>
      </c>
      <c r="I71">
        <v>366</v>
      </c>
      <c r="J71">
        <v>2761</v>
      </c>
      <c r="K71">
        <v>2988</v>
      </c>
      <c r="L71">
        <v>177348</v>
      </c>
      <c r="M71" t="s">
        <v>18</v>
      </c>
      <c r="N71" s="44">
        <f t="shared" si="1"/>
        <v>4.3073505198818141E-2</v>
      </c>
      <c r="O71" s="44">
        <f>Table2[[#This Row],[Shares]]/Table2[[#This Row],[Impressions]]</f>
        <v>2.3400320274263031E-3</v>
      </c>
      <c r="P71">
        <f>(Table2[[#This Row],[Engagement Rate]]+Table2[[#This Row],[Click through rate]])*100</f>
        <v>4.5413537226244447</v>
      </c>
    </row>
    <row r="72" spans="1:16" x14ac:dyDescent="0.25">
      <c r="A72" t="s">
        <v>113</v>
      </c>
      <c r="B72" t="s">
        <v>47</v>
      </c>
      <c r="C72" s="43">
        <v>45537</v>
      </c>
      <c r="D72" t="s">
        <v>39</v>
      </c>
      <c r="E72" t="s">
        <v>32</v>
      </c>
      <c r="F72" t="s">
        <v>33</v>
      </c>
      <c r="G72">
        <v>12040</v>
      </c>
      <c r="H72">
        <v>1147</v>
      </c>
      <c r="I72">
        <v>210</v>
      </c>
      <c r="J72">
        <v>885</v>
      </c>
      <c r="K72">
        <v>30360</v>
      </c>
      <c r="L72">
        <v>119530</v>
      </c>
      <c r="M72" t="s">
        <v>34</v>
      </c>
      <c r="N72" s="44">
        <f t="shared" si="1"/>
        <v>0.1120806492094035</v>
      </c>
      <c r="O72" s="44">
        <f>Table2[[#This Row],[Shares]]/Table2[[#This Row],[Impressions]]</f>
        <v>9.5959173429264622E-3</v>
      </c>
      <c r="P72">
        <f>(Table2[[#This Row],[Engagement Rate]]+Table2[[#This Row],[Click through rate]])*100</f>
        <v>12.167656655232996</v>
      </c>
    </row>
    <row r="73" spans="1:16" x14ac:dyDescent="0.25">
      <c r="A73" t="s">
        <v>114</v>
      </c>
      <c r="B73" t="s">
        <v>47</v>
      </c>
      <c r="C73" s="43">
        <v>45719</v>
      </c>
      <c r="D73" t="s">
        <v>39</v>
      </c>
      <c r="E73" t="s">
        <v>32</v>
      </c>
      <c r="F73" t="s">
        <v>57</v>
      </c>
      <c r="G73">
        <v>24928</v>
      </c>
      <c r="H73">
        <v>214</v>
      </c>
      <c r="I73">
        <v>765</v>
      </c>
      <c r="J73">
        <v>1556</v>
      </c>
      <c r="K73">
        <v>5239</v>
      </c>
      <c r="L73">
        <v>194571</v>
      </c>
      <c r="M73" t="s">
        <v>52</v>
      </c>
      <c r="N73" s="44">
        <f t="shared" si="1"/>
        <v>0.13314933880177415</v>
      </c>
      <c r="O73" s="44">
        <f>Table2[[#This Row],[Shares]]/Table2[[#This Row],[Impressions]]</f>
        <v>1.0998555797112621E-3</v>
      </c>
      <c r="P73">
        <f>(Table2[[#This Row],[Engagement Rate]]+Table2[[#This Row],[Click through rate]])*100</f>
        <v>13.424919438148542</v>
      </c>
    </row>
    <row r="74" spans="1:16" x14ac:dyDescent="0.25">
      <c r="A74" t="s">
        <v>115</v>
      </c>
      <c r="B74" t="s">
        <v>25</v>
      </c>
      <c r="C74" s="43">
        <v>45921</v>
      </c>
      <c r="D74" t="s">
        <v>31</v>
      </c>
      <c r="E74" t="s">
        <v>16</v>
      </c>
      <c r="F74" t="s">
        <v>17</v>
      </c>
      <c r="G74">
        <v>23103</v>
      </c>
      <c r="H74">
        <v>1380</v>
      </c>
      <c r="I74">
        <v>191</v>
      </c>
      <c r="J74">
        <v>1547</v>
      </c>
      <c r="K74">
        <v>77798</v>
      </c>
      <c r="L74">
        <v>148856</v>
      </c>
      <c r="M74" t="s">
        <v>23</v>
      </c>
      <c r="N74" s="44">
        <f t="shared" si="1"/>
        <v>0.16575751061428495</v>
      </c>
      <c r="O74" s="44">
        <f>Table2[[#This Row],[Shares]]/Table2[[#This Row],[Impressions]]</f>
        <v>9.270704573547589E-3</v>
      </c>
      <c r="P74">
        <f>(Table2[[#This Row],[Engagement Rate]]+Table2[[#This Row],[Click through rate]])*100</f>
        <v>17.502821518783254</v>
      </c>
    </row>
    <row r="75" spans="1:16" x14ac:dyDescent="0.25">
      <c r="A75" t="s">
        <v>116</v>
      </c>
      <c r="B75" t="s">
        <v>47</v>
      </c>
      <c r="C75" s="43">
        <v>45593</v>
      </c>
      <c r="D75" t="s">
        <v>39</v>
      </c>
      <c r="E75" t="s">
        <v>32</v>
      </c>
      <c r="F75" t="s">
        <v>33</v>
      </c>
      <c r="G75">
        <v>21198</v>
      </c>
      <c r="H75">
        <v>1484</v>
      </c>
      <c r="I75">
        <v>174</v>
      </c>
      <c r="J75">
        <v>1293</v>
      </c>
      <c r="K75">
        <v>16330</v>
      </c>
      <c r="L75">
        <v>111635</v>
      </c>
      <c r="M75" t="s">
        <v>34</v>
      </c>
      <c r="N75" s="44">
        <f t="shared" si="1"/>
        <v>0.20473865723115511</v>
      </c>
      <c r="O75" s="44">
        <f>Table2[[#This Row],[Shares]]/Table2[[#This Row],[Impressions]]</f>
        <v>1.3293321986832087E-2</v>
      </c>
      <c r="P75">
        <f>(Table2[[#This Row],[Engagement Rate]]+Table2[[#This Row],[Click through rate]])*100</f>
        <v>21.80319792179872</v>
      </c>
    </row>
    <row r="76" spans="1:16" x14ac:dyDescent="0.25">
      <c r="A76" t="s">
        <v>117</v>
      </c>
      <c r="B76" t="s">
        <v>25</v>
      </c>
      <c r="C76" s="43">
        <v>45505</v>
      </c>
      <c r="D76" t="s">
        <v>15</v>
      </c>
      <c r="E76" t="s">
        <v>27</v>
      </c>
      <c r="F76" t="s">
        <v>28</v>
      </c>
      <c r="G76">
        <v>21758</v>
      </c>
      <c r="H76">
        <v>1380</v>
      </c>
      <c r="I76">
        <v>188</v>
      </c>
      <c r="J76">
        <v>1735</v>
      </c>
      <c r="K76">
        <v>20998</v>
      </c>
      <c r="L76">
        <v>147803</v>
      </c>
      <c r="M76" t="s">
        <v>52</v>
      </c>
      <c r="N76" s="44">
        <f t="shared" si="1"/>
        <v>0.15781817689762725</v>
      </c>
      <c r="O76" s="44">
        <f>Table2[[#This Row],[Shares]]/Table2[[#This Row],[Impressions]]</f>
        <v>9.3367522986678216E-3</v>
      </c>
      <c r="P76">
        <f>(Table2[[#This Row],[Engagement Rate]]+Table2[[#This Row],[Click through rate]])*100</f>
        <v>16.715492919629508</v>
      </c>
    </row>
    <row r="77" spans="1:16" x14ac:dyDescent="0.25">
      <c r="A77" t="s">
        <v>118</v>
      </c>
      <c r="B77" t="s">
        <v>47</v>
      </c>
      <c r="C77" s="43">
        <v>45603</v>
      </c>
      <c r="D77" t="s">
        <v>39</v>
      </c>
      <c r="E77" t="s">
        <v>37</v>
      </c>
      <c r="G77">
        <v>17254</v>
      </c>
      <c r="H77">
        <v>246</v>
      </c>
      <c r="I77">
        <v>952</v>
      </c>
      <c r="J77">
        <v>871</v>
      </c>
      <c r="K77">
        <v>14957</v>
      </c>
      <c r="L77">
        <v>75946</v>
      </c>
      <c r="M77" t="s">
        <v>52</v>
      </c>
      <c r="N77" s="44">
        <f t="shared" si="1"/>
        <v>0.24296210465330631</v>
      </c>
      <c r="O77" s="44">
        <f>Table2[[#This Row],[Shares]]/Table2[[#This Row],[Impressions]]</f>
        <v>3.2391436020330236E-3</v>
      </c>
      <c r="P77">
        <f>(Table2[[#This Row],[Engagement Rate]]+Table2[[#This Row],[Click through rate]])*100</f>
        <v>24.620124825533935</v>
      </c>
    </row>
    <row r="78" spans="1:16" x14ac:dyDescent="0.25">
      <c r="A78" t="s">
        <v>119</v>
      </c>
      <c r="B78" t="s">
        <v>20</v>
      </c>
      <c r="C78" s="43">
        <v>45720</v>
      </c>
      <c r="D78" t="s">
        <v>39</v>
      </c>
      <c r="E78" t="s">
        <v>48</v>
      </c>
      <c r="F78" t="s">
        <v>32</v>
      </c>
      <c r="G78">
        <v>13470</v>
      </c>
      <c r="H78">
        <v>523</v>
      </c>
      <c r="I78">
        <v>280</v>
      </c>
      <c r="J78">
        <v>2682</v>
      </c>
      <c r="K78">
        <v>8538</v>
      </c>
      <c r="L78">
        <v>95204</v>
      </c>
      <c r="M78" t="s">
        <v>18</v>
      </c>
      <c r="N78" s="44">
        <f t="shared" si="1"/>
        <v>0.14992017142136885</v>
      </c>
      <c r="O78" s="44">
        <f>Table2[[#This Row],[Shares]]/Table2[[#This Row],[Impressions]]</f>
        <v>5.4934666610646611E-3</v>
      </c>
      <c r="P78">
        <f>(Table2[[#This Row],[Engagement Rate]]+Table2[[#This Row],[Click through rate]])*100</f>
        <v>15.54136380824335</v>
      </c>
    </row>
    <row r="79" spans="1:16" x14ac:dyDescent="0.25">
      <c r="A79" t="s">
        <v>120</v>
      </c>
      <c r="B79" t="s">
        <v>20</v>
      </c>
      <c r="C79" s="43">
        <v>45460</v>
      </c>
      <c r="D79" t="s">
        <v>15</v>
      </c>
      <c r="E79" t="s">
        <v>40</v>
      </c>
      <c r="F79" t="s">
        <v>41</v>
      </c>
      <c r="G79">
        <v>3252</v>
      </c>
      <c r="H79">
        <v>1043</v>
      </c>
      <c r="I79">
        <v>647</v>
      </c>
      <c r="J79">
        <v>1545</v>
      </c>
      <c r="K79">
        <v>18859</v>
      </c>
      <c r="L79">
        <v>222958</v>
      </c>
      <c r="M79" t="s">
        <v>18</v>
      </c>
      <c r="N79" s="44">
        <f t="shared" si="1"/>
        <v>2.2165609666394567E-2</v>
      </c>
      <c r="O79" s="44">
        <f>Table2[[#This Row],[Shares]]/Table2[[#This Row],[Impressions]]</f>
        <v>4.6780111052305813E-3</v>
      </c>
      <c r="P79">
        <f>(Table2[[#This Row],[Engagement Rate]]+Table2[[#This Row],[Click through rate]])*100</f>
        <v>2.6843620771625147</v>
      </c>
    </row>
    <row r="80" spans="1:16" x14ac:dyDescent="0.25">
      <c r="A80" t="s">
        <v>121</v>
      </c>
      <c r="B80" t="s">
        <v>14</v>
      </c>
      <c r="C80" s="43">
        <v>45922</v>
      </c>
      <c r="D80" t="s">
        <v>31</v>
      </c>
      <c r="E80" t="s">
        <v>122</v>
      </c>
      <c r="F80" t="s">
        <v>123</v>
      </c>
      <c r="G80">
        <v>8996</v>
      </c>
      <c r="H80">
        <v>329</v>
      </c>
      <c r="I80">
        <v>378</v>
      </c>
      <c r="J80">
        <v>2384</v>
      </c>
      <c r="K80">
        <v>39404</v>
      </c>
      <c r="L80">
        <v>242724</v>
      </c>
      <c r="M80" t="s">
        <v>23</v>
      </c>
      <c r="N80" s="44">
        <f t="shared" si="1"/>
        <v>3.9975445361810122E-2</v>
      </c>
      <c r="O80" s="44">
        <f>Table2[[#This Row],[Shares]]/Table2[[#This Row],[Impressions]]</f>
        <v>1.3554489873271699E-3</v>
      </c>
      <c r="P80">
        <f>(Table2[[#This Row],[Engagement Rate]]+Table2[[#This Row],[Click through rate]])*100</f>
        <v>4.133089434913729</v>
      </c>
    </row>
    <row r="81" spans="1:16" x14ac:dyDescent="0.25">
      <c r="A81" t="s">
        <v>124</v>
      </c>
      <c r="B81" t="s">
        <v>20</v>
      </c>
      <c r="C81" s="43">
        <v>45456</v>
      </c>
      <c r="D81" t="s">
        <v>15</v>
      </c>
      <c r="E81" t="s">
        <v>16</v>
      </c>
      <c r="F81" t="s">
        <v>17</v>
      </c>
      <c r="G81">
        <v>14173</v>
      </c>
      <c r="H81">
        <v>294</v>
      </c>
      <c r="I81">
        <v>257</v>
      </c>
      <c r="J81">
        <v>1288</v>
      </c>
      <c r="K81">
        <v>39466</v>
      </c>
      <c r="L81">
        <v>55563</v>
      </c>
      <c r="M81" t="s">
        <v>52</v>
      </c>
      <c r="N81" s="44">
        <f t="shared" si="1"/>
        <v>0.26499649047027696</v>
      </c>
      <c r="O81" s="44">
        <f>Table2[[#This Row],[Shares]]/Table2[[#This Row],[Impressions]]</f>
        <v>5.2912909670104202E-3</v>
      </c>
      <c r="P81">
        <f>(Table2[[#This Row],[Engagement Rate]]+Table2[[#This Row],[Click through rate]])*100</f>
        <v>27.028778143728736</v>
      </c>
    </row>
    <row r="82" spans="1:16" x14ac:dyDescent="0.25">
      <c r="A82" t="s">
        <v>125</v>
      </c>
      <c r="B82" t="s">
        <v>14</v>
      </c>
      <c r="C82" s="43">
        <v>45584</v>
      </c>
      <c r="D82" t="s">
        <v>39</v>
      </c>
      <c r="E82" t="s">
        <v>32</v>
      </c>
      <c r="F82" t="s">
        <v>33</v>
      </c>
      <c r="G82">
        <v>6673</v>
      </c>
      <c r="H82">
        <v>826</v>
      </c>
      <c r="I82">
        <v>321</v>
      </c>
      <c r="J82">
        <v>577</v>
      </c>
      <c r="K82">
        <v>19262</v>
      </c>
      <c r="L82">
        <v>132324</v>
      </c>
      <c r="M82" t="s">
        <v>52</v>
      </c>
      <c r="N82" s="44">
        <f t="shared" si="1"/>
        <v>5.9097367068710133E-2</v>
      </c>
      <c r="O82" s="44">
        <f>Table2[[#This Row],[Shares]]/Table2[[#This Row],[Impressions]]</f>
        <v>6.2422538617333215E-3</v>
      </c>
      <c r="P82">
        <f>(Table2[[#This Row],[Engagement Rate]]+Table2[[#This Row],[Click through rate]])*100</f>
        <v>6.5339620930443463</v>
      </c>
    </row>
    <row r="83" spans="1:16" x14ac:dyDescent="0.25">
      <c r="A83" t="s">
        <v>126</v>
      </c>
      <c r="B83" t="s">
        <v>20</v>
      </c>
      <c r="C83" s="43">
        <v>45497</v>
      </c>
      <c r="D83" t="s">
        <v>31</v>
      </c>
      <c r="E83" t="s">
        <v>40</v>
      </c>
      <c r="F83" t="s">
        <v>41</v>
      </c>
      <c r="G83">
        <v>22914</v>
      </c>
      <c r="H83">
        <v>954</v>
      </c>
      <c r="I83">
        <v>584</v>
      </c>
      <c r="J83">
        <v>1519</v>
      </c>
      <c r="K83">
        <v>13637</v>
      </c>
      <c r="L83">
        <v>49847</v>
      </c>
      <c r="M83" t="s">
        <v>18</v>
      </c>
      <c r="N83" s="44">
        <f t="shared" si="1"/>
        <v>0.49054105563022848</v>
      </c>
      <c r="O83" s="44">
        <f>Table2[[#This Row],[Shares]]/Table2[[#This Row],[Impressions]]</f>
        <v>1.9138564005857926E-2</v>
      </c>
      <c r="P83">
        <f>(Table2[[#This Row],[Engagement Rate]]+Table2[[#This Row],[Click through rate]])*100</f>
        <v>50.967961963608644</v>
      </c>
    </row>
    <row r="84" spans="1:16" x14ac:dyDescent="0.25">
      <c r="A84" t="s">
        <v>127</v>
      </c>
      <c r="B84" t="s">
        <v>25</v>
      </c>
      <c r="C84" s="43">
        <v>45580</v>
      </c>
      <c r="D84" t="s">
        <v>39</v>
      </c>
      <c r="E84" t="s">
        <v>37</v>
      </c>
      <c r="G84">
        <v>17781</v>
      </c>
      <c r="H84">
        <v>993</v>
      </c>
      <c r="I84">
        <v>627</v>
      </c>
      <c r="J84">
        <v>2187</v>
      </c>
      <c r="K84">
        <v>9609</v>
      </c>
      <c r="L84">
        <v>66155</v>
      </c>
      <c r="M84" t="s">
        <v>34</v>
      </c>
      <c r="N84" s="44">
        <f t="shared" si="1"/>
        <v>0.29326581513113142</v>
      </c>
      <c r="O84" s="44">
        <f>Table2[[#This Row],[Shares]]/Table2[[#This Row],[Impressions]]</f>
        <v>1.5010203310407377E-2</v>
      </c>
      <c r="P84">
        <f>(Table2[[#This Row],[Engagement Rate]]+Table2[[#This Row],[Click through rate]])*100</f>
        <v>30.827601844153879</v>
      </c>
    </row>
    <row r="85" spans="1:16" x14ac:dyDescent="0.25">
      <c r="A85" t="s">
        <v>128</v>
      </c>
      <c r="B85" t="s">
        <v>20</v>
      </c>
      <c r="C85" s="43">
        <v>45635</v>
      </c>
      <c r="D85" t="s">
        <v>15</v>
      </c>
      <c r="E85" t="s">
        <v>21</v>
      </c>
      <c r="F85" t="s">
        <v>22</v>
      </c>
      <c r="G85">
        <v>15051</v>
      </c>
      <c r="H85">
        <v>268</v>
      </c>
      <c r="I85">
        <v>251</v>
      </c>
      <c r="J85">
        <v>783</v>
      </c>
      <c r="K85">
        <v>34154</v>
      </c>
      <c r="L85">
        <v>119671</v>
      </c>
      <c r="M85" t="s">
        <v>34</v>
      </c>
      <c r="N85" s="44">
        <f t="shared" si="1"/>
        <v>0.13010670922779954</v>
      </c>
      <c r="O85" s="44">
        <f>Table2[[#This Row],[Shares]]/Table2[[#This Row],[Impressions]]</f>
        <v>2.2394732224181296E-3</v>
      </c>
      <c r="P85">
        <f>(Table2[[#This Row],[Engagement Rate]]+Table2[[#This Row],[Click through rate]])*100</f>
        <v>13.234618245021768</v>
      </c>
    </row>
    <row r="86" spans="1:16" x14ac:dyDescent="0.25">
      <c r="A86" t="s">
        <v>129</v>
      </c>
      <c r="B86" t="s">
        <v>14</v>
      </c>
      <c r="C86" s="43">
        <v>45766</v>
      </c>
      <c r="D86" t="s">
        <v>15</v>
      </c>
      <c r="E86" t="s">
        <v>40</v>
      </c>
      <c r="F86" t="s">
        <v>41</v>
      </c>
      <c r="G86">
        <v>8881</v>
      </c>
      <c r="H86">
        <v>210</v>
      </c>
      <c r="I86">
        <v>673</v>
      </c>
      <c r="J86">
        <v>1565</v>
      </c>
      <c r="K86">
        <v>24847</v>
      </c>
      <c r="L86">
        <v>156891</v>
      </c>
      <c r="M86" t="s">
        <v>29</v>
      </c>
      <c r="N86" s="44">
        <f t="shared" si="1"/>
        <v>6.223429004850501E-2</v>
      </c>
      <c r="O86" s="44">
        <f>Table2[[#This Row],[Shares]]/Table2[[#This Row],[Impressions]]</f>
        <v>1.3385089010841923E-3</v>
      </c>
      <c r="P86">
        <f>(Table2[[#This Row],[Engagement Rate]]+Table2[[#This Row],[Click through rate]])*100</f>
        <v>6.3572798949589195</v>
      </c>
    </row>
    <row r="87" spans="1:16" x14ac:dyDescent="0.25">
      <c r="A87" t="s">
        <v>130</v>
      </c>
      <c r="B87" t="s">
        <v>14</v>
      </c>
      <c r="C87" s="43">
        <v>45684</v>
      </c>
      <c r="D87" t="s">
        <v>39</v>
      </c>
      <c r="E87" t="s">
        <v>48</v>
      </c>
      <c r="F87" t="s">
        <v>32</v>
      </c>
      <c r="G87">
        <v>8949</v>
      </c>
      <c r="H87">
        <v>1477</v>
      </c>
      <c r="I87">
        <v>424</v>
      </c>
      <c r="J87">
        <v>1030</v>
      </c>
      <c r="K87">
        <v>58052</v>
      </c>
      <c r="L87">
        <v>123310</v>
      </c>
      <c r="M87" t="s">
        <v>18</v>
      </c>
      <c r="N87" s="44">
        <f t="shared" si="1"/>
        <v>8.7989619657773091E-2</v>
      </c>
      <c r="O87" s="44">
        <f>Table2[[#This Row],[Shares]]/Table2[[#This Row],[Impressions]]</f>
        <v>1.1977941772767821E-2</v>
      </c>
      <c r="P87">
        <f>(Table2[[#This Row],[Engagement Rate]]+Table2[[#This Row],[Click through rate]])*100</f>
        <v>9.9967561430540925</v>
      </c>
    </row>
    <row r="88" spans="1:16" x14ac:dyDescent="0.25">
      <c r="A88" t="s">
        <v>131</v>
      </c>
      <c r="B88" t="s">
        <v>47</v>
      </c>
      <c r="C88" s="43">
        <v>45449</v>
      </c>
      <c r="D88" t="s">
        <v>26</v>
      </c>
      <c r="E88" t="s">
        <v>48</v>
      </c>
      <c r="F88" t="s">
        <v>32</v>
      </c>
      <c r="G88">
        <v>11521</v>
      </c>
      <c r="H88">
        <v>1071</v>
      </c>
      <c r="I88">
        <v>762</v>
      </c>
      <c r="J88">
        <v>2539</v>
      </c>
      <c r="K88">
        <v>12701</v>
      </c>
      <c r="L88">
        <v>238350</v>
      </c>
      <c r="M88" t="s">
        <v>29</v>
      </c>
      <c r="N88" s="44">
        <f t="shared" si="1"/>
        <v>5.6026851269142017E-2</v>
      </c>
      <c r="O88" s="44">
        <f>Table2[[#This Row],[Shares]]/Table2[[#This Row],[Impressions]]</f>
        <v>4.4933920704845814E-3</v>
      </c>
      <c r="P88">
        <f>(Table2[[#This Row],[Engagement Rate]]+Table2[[#This Row],[Click through rate]])*100</f>
        <v>6.0520243339626596</v>
      </c>
    </row>
    <row r="89" spans="1:16" x14ac:dyDescent="0.25">
      <c r="A89" t="s">
        <v>132</v>
      </c>
      <c r="B89" t="s">
        <v>25</v>
      </c>
      <c r="C89" s="43">
        <v>45480</v>
      </c>
      <c r="D89" t="s">
        <v>26</v>
      </c>
      <c r="E89" t="s">
        <v>21</v>
      </c>
      <c r="F89" t="s">
        <v>22</v>
      </c>
      <c r="G89">
        <v>24625</v>
      </c>
      <c r="H89">
        <v>749</v>
      </c>
      <c r="I89">
        <v>193</v>
      </c>
      <c r="J89">
        <v>1340</v>
      </c>
      <c r="K89">
        <v>4890</v>
      </c>
      <c r="L89">
        <v>189381</v>
      </c>
      <c r="M89" t="s">
        <v>18</v>
      </c>
      <c r="N89" s="44">
        <f t="shared" si="1"/>
        <v>0.13500298340382616</v>
      </c>
      <c r="O89" s="44">
        <f>Table2[[#This Row],[Shares]]/Table2[[#This Row],[Impressions]]</f>
        <v>3.9549902049308009E-3</v>
      </c>
      <c r="P89">
        <f>(Table2[[#This Row],[Engagement Rate]]+Table2[[#This Row],[Click through rate]])*100</f>
        <v>13.895797360875697</v>
      </c>
    </row>
    <row r="90" spans="1:16" x14ac:dyDescent="0.25">
      <c r="A90" t="s">
        <v>133</v>
      </c>
      <c r="B90" t="s">
        <v>20</v>
      </c>
      <c r="C90" s="43">
        <v>45923</v>
      </c>
      <c r="D90" t="s">
        <v>15</v>
      </c>
      <c r="E90" t="s">
        <v>122</v>
      </c>
      <c r="F90" t="s">
        <v>123</v>
      </c>
      <c r="G90">
        <v>10017</v>
      </c>
      <c r="H90">
        <v>1357</v>
      </c>
      <c r="I90">
        <v>966</v>
      </c>
      <c r="J90">
        <v>2871</v>
      </c>
      <c r="K90">
        <v>14800</v>
      </c>
      <c r="L90">
        <v>171691</v>
      </c>
      <c r="M90" t="s">
        <v>23</v>
      </c>
      <c r="N90" s="44">
        <f t="shared" si="1"/>
        <v>7.1873307278774071E-2</v>
      </c>
      <c r="O90" s="44">
        <f>Table2[[#This Row],[Shares]]/Table2[[#This Row],[Impressions]]</f>
        <v>7.9037340338165667E-3</v>
      </c>
      <c r="P90">
        <f>(Table2[[#This Row],[Engagement Rate]]+Table2[[#This Row],[Click through rate]])*100</f>
        <v>7.9777041312590642</v>
      </c>
    </row>
    <row r="91" spans="1:16" x14ac:dyDescent="0.25">
      <c r="A91" t="s">
        <v>134</v>
      </c>
      <c r="B91" t="s">
        <v>47</v>
      </c>
      <c r="C91" s="43">
        <v>45446</v>
      </c>
      <c r="D91" t="s">
        <v>15</v>
      </c>
      <c r="E91" t="s">
        <v>32</v>
      </c>
      <c r="F91" t="s">
        <v>57</v>
      </c>
      <c r="G91">
        <v>8941</v>
      </c>
      <c r="H91">
        <v>911</v>
      </c>
      <c r="I91">
        <v>166</v>
      </c>
      <c r="J91">
        <v>1217</v>
      </c>
      <c r="K91">
        <v>68817</v>
      </c>
      <c r="L91">
        <v>221180</v>
      </c>
      <c r="M91" t="s">
        <v>52</v>
      </c>
      <c r="N91" s="44">
        <f t="shared" si="1"/>
        <v>4.5293426168731353E-2</v>
      </c>
      <c r="O91" s="44">
        <f>Table2[[#This Row],[Shares]]/Table2[[#This Row],[Impressions]]</f>
        <v>4.118817252916177E-3</v>
      </c>
      <c r="P91">
        <f>(Table2[[#This Row],[Engagement Rate]]+Table2[[#This Row],[Click through rate]])*100</f>
        <v>4.9412243421647535</v>
      </c>
    </row>
    <row r="92" spans="1:16" x14ac:dyDescent="0.25">
      <c r="A92" t="s">
        <v>135</v>
      </c>
      <c r="B92" t="s">
        <v>20</v>
      </c>
      <c r="C92" s="43">
        <v>45924</v>
      </c>
      <c r="D92" t="s">
        <v>26</v>
      </c>
      <c r="E92" t="s">
        <v>40</v>
      </c>
      <c r="F92" t="s">
        <v>41</v>
      </c>
      <c r="G92">
        <v>12209</v>
      </c>
      <c r="H92">
        <v>222</v>
      </c>
      <c r="I92">
        <v>479</v>
      </c>
      <c r="J92">
        <v>2748</v>
      </c>
      <c r="K92">
        <v>24615</v>
      </c>
      <c r="L92">
        <v>74707</v>
      </c>
      <c r="M92" t="s">
        <v>23</v>
      </c>
      <c r="N92" s="44">
        <f t="shared" si="1"/>
        <v>0.17280843829895459</v>
      </c>
      <c r="O92" s="44">
        <f>Table2[[#This Row],[Shares]]/Table2[[#This Row],[Impressions]]</f>
        <v>2.971609086163278E-3</v>
      </c>
      <c r="P92">
        <f>(Table2[[#This Row],[Engagement Rate]]+Table2[[#This Row],[Click through rate]])*100</f>
        <v>17.578004738511787</v>
      </c>
    </row>
    <row r="93" spans="1:16" x14ac:dyDescent="0.25">
      <c r="A93" t="s">
        <v>136</v>
      </c>
      <c r="B93" t="s">
        <v>20</v>
      </c>
      <c r="C93" s="43">
        <v>45586</v>
      </c>
      <c r="D93" t="s">
        <v>26</v>
      </c>
      <c r="E93" t="s">
        <v>21</v>
      </c>
      <c r="F93" t="s">
        <v>22</v>
      </c>
      <c r="G93">
        <v>19715</v>
      </c>
      <c r="H93">
        <v>1014</v>
      </c>
      <c r="I93">
        <v>718</v>
      </c>
      <c r="J93">
        <v>1185</v>
      </c>
      <c r="K93">
        <v>37625</v>
      </c>
      <c r="L93">
        <v>191409</v>
      </c>
      <c r="M93" t="s">
        <v>18</v>
      </c>
      <c r="N93" s="44">
        <f t="shared" si="1"/>
        <v>0.11204802282024356</v>
      </c>
      <c r="O93" s="44">
        <f>Table2[[#This Row],[Shares]]/Table2[[#This Row],[Impressions]]</f>
        <v>5.2975565412284693E-3</v>
      </c>
      <c r="P93">
        <f>(Table2[[#This Row],[Engagement Rate]]+Table2[[#This Row],[Click through rate]])*100</f>
        <v>11.734557936147203</v>
      </c>
    </row>
    <row r="94" spans="1:16" x14ac:dyDescent="0.25">
      <c r="A94" t="s">
        <v>137</v>
      </c>
      <c r="B94" t="s">
        <v>47</v>
      </c>
      <c r="C94" s="43">
        <v>45637</v>
      </c>
      <c r="D94" t="s">
        <v>39</v>
      </c>
      <c r="E94" t="s">
        <v>48</v>
      </c>
      <c r="F94" t="s">
        <v>32</v>
      </c>
      <c r="G94">
        <v>22645</v>
      </c>
      <c r="H94">
        <v>545</v>
      </c>
      <c r="I94">
        <v>972</v>
      </c>
      <c r="J94">
        <v>321</v>
      </c>
      <c r="K94">
        <v>8396</v>
      </c>
      <c r="L94">
        <v>121537</v>
      </c>
      <c r="M94" t="s">
        <v>52</v>
      </c>
      <c r="N94" s="44">
        <f t="shared" si="1"/>
        <v>0.19880365649966678</v>
      </c>
      <c r="O94" s="44">
        <f>Table2[[#This Row],[Shares]]/Table2[[#This Row],[Impressions]]</f>
        <v>4.4842311394883861E-3</v>
      </c>
      <c r="P94">
        <f>(Table2[[#This Row],[Engagement Rate]]+Table2[[#This Row],[Click through rate]])*100</f>
        <v>20.328788763915519</v>
      </c>
    </row>
    <row r="95" spans="1:16" x14ac:dyDescent="0.25">
      <c r="A95" t="s">
        <v>138</v>
      </c>
      <c r="B95" t="s">
        <v>47</v>
      </c>
      <c r="C95" s="43">
        <v>45603</v>
      </c>
      <c r="D95" t="s">
        <v>39</v>
      </c>
      <c r="E95" t="s">
        <v>48</v>
      </c>
      <c r="F95" t="s">
        <v>32</v>
      </c>
      <c r="G95">
        <v>11550</v>
      </c>
      <c r="H95">
        <v>501</v>
      </c>
      <c r="I95">
        <v>646</v>
      </c>
      <c r="J95">
        <v>773</v>
      </c>
      <c r="K95">
        <v>17841</v>
      </c>
      <c r="L95">
        <v>237576</v>
      </c>
      <c r="M95" t="s">
        <v>34</v>
      </c>
      <c r="N95" s="44">
        <f t="shared" si="1"/>
        <v>5.3443950567397383E-2</v>
      </c>
      <c r="O95" s="44">
        <f>Table2[[#This Row],[Shares]]/Table2[[#This Row],[Impressions]]</f>
        <v>2.1087988685725831E-3</v>
      </c>
      <c r="P95">
        <f>(Table2[[#This Row],[Engagement Rate]]+Table2[[#This Row],[Click through rate]])*100</f>
        <v>5.5552749435969968</v>
      </c>
    </row>
    <row r="96" spans="1:16" x14ac:dyDescent="0.25">
      <c r="A96" t="s">
        <v>139</v>
      </c>
      <c r="B96" t="s">
        <v>47</v>
      </c>
      <c r="C96" s="43">
        <v>45604</v>
      </c>
      <c r="D96" t="s">
        <v>26</v>
      </c>
      <c r="E96" t="s">
        <v>32</v>
      </c>
      <c r="F96" t="s">
        <v>33</v>
      </c>
      <c r="G96">
        <v>23499</v>
      </c>
      <c r="H96">
        <v>562</v>
      </c>
      <c r="I96">
        <v>964</v>
      </c>
      <c r="J96">
        <v>2557</v>
      </c>
      <c r="K96">
        <v>56890</v>
      </c>
      <c r="L96">
        <v>218686</v>
      </c>
      <c r="M96" t="s">
        <v>34</v>
      </c>
      <c r="N96" s="44">
        <f t="shared" si="1"/>
        <v>0.11443347996671026</v>
      </c>
      <c r="O96" s="44">
        <f>Table2[[#This Row],[Shares]]/Table2[[#This Row],[Impressions]]</f>
        <v>2.56989473491673E-3</v>
      </c>
      <c r="P96">
        <f>(Table2[[#This Row],[Engagement Rate]]+Table2[[#This Row],[Click through rate]])*100</f>
        <v>11.700337470162699</v>
      </c>
    </row>
    <row r="97" spans="1:16" x14ac:dyDescent="0.25">
      <c r="A97" t="s">
        <v>140</v>
      </c>
      <c r="B97" t="s">
        <v>47</v>
      </c>
      <c r="C97" s="43">
        <v>45545</v>
      </c>
      <c r="D97" t="s">
        <v>39</v>
      </c>
      <c r="E97" t="s">
        <v>43</v>
      </c>
      <c r="F97" t="s">
        <v>44</v>
      </c>
      <c r="G97">
        <v>6637</v>
      </c>
      <c r="H97">
        <v>595</v>
      </c>
      <c r="I97">
        <v>161</v>
      </c>
      <c r="J97">
        <v>2653</v>
      </c>
      <c r="K97">
        <v>19334</v>
      </c>
      <c r="L97">
        <v>131155</v>
      </c>
      <c r="M97" t="s">
        <v>29</v>
      </c>
      <c r="N97" s="44">
        <f t="shared" si="1"/>
        <v>5.6368419046166747E-2</v>
      </c>
      <c r="O97" s="44">
        <f>Table2[[#This Row],[Shares]]/Table2[[#This Row],[Impressions]]</f>
        <v>4.5366169799092677E-3</v>
      </c>
      <c r="P97">
        <f>(Table2[[#This Row],[Engagement Rate]]+Table2[[#This Row],[Click through rate]])*100</f>
        <v>6.0905036026076012</v>
      </c>
    </row>
    <row r="98" spans="1:16" x14ac:dyDescent="0.25">
      <c r="A98" t="s">
        <v>141</v>
      </c>
      <c r="B98" t="s">
        <v>47</v>
      </c>
      <c r="C98" s="43">
        <v>45517</v>
      </c>
      <c r="D98" t="s">
        <v>39</v>
      </c>
      <c r="E98" t="s">
        <v>122</v>
      </c>
      <c r="F98" t="s">
        <v>123</v>
      </c>
      <c r="G98">
        <v>6854</v>
      </c>
      <c r="H98">
        <v>417</v>
      </c>
      <c r="I98">
        <v>467</v>
      </c>
      <c r="J98">
        <v>1003</v>
      </c>
      <c r="K98">
        <v>61333</v>
      </c>
      <c r="L98">
        <v>40281</v>
      </c>
      <c r="M98" t="s">
        <v>18</v>
      </c>
      <c r="N98" s="44">
        <f t="shared" si="1"/>
        <v>0.19210049402944315</v>
      </c>
      <c r="O98" s="44">
        <f>Table2[[#This Row],[Shares]]/Table2[[#This Row],[Impressions]]</f>
        <v>1.0352275266254561E-2</v>
      </c>
      <c r="P98">
        <f>(Table2[[#This Row],[Engagement Rate]]+Table2[[#This Row],[Click through rate]])*100</f>
        <v>20.245276929569773</v>
      </c>
    </row>
    <row r="99" spans="1:16" x14ac:dyDescent="0.25">
      <c r="A99" t="s">
        <v>142</v>
      </c>
      <c r="B99" t="s">
        <v>20</v>
      </c>
      <c r="C99" s="43">
        <v>45453</v>
      </c>
      <c r="D99" t="s">
        <v>31</v>
      </c>
      <c r="E99" t="s">
        <v>40</v>
      </c>
      <c r="F99" t="s">
        <v>41</v>
      </c>
      <c r="G99">
        <v>21561</v>
      </c>
      <c r="H99">
        <v>340</v>
      </c>
      <c r="I99">
        <v>741</v>
      </c>
      <c r="J99">
        <v>986</v>
      </c>
      <c r="K99">
        <v>24826</v>
      </c>
      <c r="L99">
        <v>198492</v>
      </c>
      <c r="M99" t="s">
        <v>18</v>
      </c>
      <c r="N99" s="44">
        <f t="shared" si="1"/>
        <v>0.11407008846704149</v>
      </c>
      <c r="O99" s="44">
        <f>Table2[[#This Row],[Shares]]/Table2[[#This Row],[Impressions]]</f>
        <v>1.7129153819801302E-3</v>
      </c>
      <c r="P99">
        <f>(Table2[[#This Row],[Engagement Rate]]+Table2[[#This Row],[Click through rate]])*100</f>
        <v>11.57830038490216</v>
      </c>
    </row>
    <row r="100" spans="1:16" x14ac:dyDescent="0.25">
      <c r="A100" t="s">
        <v>143</v>
      </c>
      <c r="B100" t="s">
        <v>47</v>
      </c>
      <c r="C100" s="43">
        <v>45475</v>
      </c>
      <c r="D100" t="s">
        <v>39</v>
      </c>
      <c r="E100" t="s">
        <v>40</v>
      </c>
      <c r="F100" t="s">
        <v>41</v>
      </c>
      <c r="G100">
        <v>12320</v>
      </c>
      <c r="H100">
        <v>1157</v>
      </c>
      <c r="I100">
        <v>365</v>
      </c>
      <c r="J100">
        <v>584</v>
      </c>
      <c r="K100">
        <v>66634</v>
      </c>
      <c r="L100">
        <v>210102</v>
      </c>
      <c r="M100" t="s">
        <v>34</v>
      </c>
      <c r="N100" s="44">
        <f t="shared" si="1"/>
        <v>6.5882285746922925E-2</v>
      </c>
      <c r="O100" s="44">
        <f>Table2[[#This Row],[Shares]]/Table2[[#This Row],[Impressions]]</f>
        <v>5.5068490542688787E-3</v>
      </c>
      <c r="P100">
        <f>(Table2[[#This Row],[Engagement Rate]]+Table2[[#This Row],[Click through rate]])*100</f>
        <v>7.1389134801191805</v>
      </c>
    </row>
    <row r="101" spans="1:16" x14ac:dyDescent="0.25">
      <c r="A101" t="s">
        <v>144</v>
      </c>
      <c r="B101" t="s">
        <v>25</v>
      </c>
      <c r="C101" s="43">
        <v>45925</v>
      </c>
      <c r="D101" t="s">
        <v>15</v>
      </c>
      <c r="E101" t="s">
        <v>37</v>
      </c>
      <c r="G101">
        <v>20564</v>
      </c>
      <c r="H101">
        <v>1433</v>
      </c>
      <c r="I101">
        <v>488</v>
      </c>
      <c r="J101">
        <v>1015</v>
      </c>
      <c r="K101">
        <v>24333</v>
      </c>
      <c r="L101">
        <v>172130</v>
      </c>
      <c r="M101" t="s">
        <v>23</v>
      </c>
      <c r="N101" s="44">
        <f t="shared" si="1"/>
        <v>0.13062801371056759</v>
      </c>
      <c r="O101" s="44">
        <f>Table2[[#This Row],[Shares]]/Table2[[#This Row],[Impressions]]</f>
        <v>8.3251031197350833E-3</v>
      </c>
      <c r="P101">
        <f>(Table2[[#This Row],[Engagement Rate]]+Table2[[#This Row],[Click through rate]])*100</f>
        <v>13.895311683030268</v>
      </c>
    </row>
    <row r="102" spans="1:16" x14ac:dyDescent="0.25">
      <c r="A102" t="s">
        <v>145</v>
      </c>
      <c r="B102" t="s">
        <v>14</v>
      </c>
      <c r="C102" s="43">
        <v>45583</v>
      </c>
      <c r="D102" t="s">
        <v>39</v>
      </c>
      <c r="E102" t="s">
        <v>21</v>
      </c>
      <c r="F102" t="s">
        <v>22</v>
      </c>
      <c r="G102">
        <v>6892</v>
      </c>
      <c r="H102">
        <v>1184</v>
      </c>
      <c r="I102">
        <v>925</v>
      </c>
      <c r="J102">
        <v>1062</v>
      </c>
      <c r="K102">
        <v>75008</v>
      </c>
      <c r="L102">
        <v>116260</v>
      </c>
      <c r="M102" t="s">
        <v>52</v>
      </c>
      <c r="N102" s="44">
        <f t="shared" si="1"/>
        <v>7.7421297092723204E-2</v>
      </c>
      <c r="O102" s="44">
        <f>Table2[[#This Row],[Shares]]/Table2[[#This Row],[Impressions]]</f>
        <v>1.0184070187510752E-2</v>
      </c>
      <c r="P102">
        <f>(Table2[[#This Row],[Engagement Rate]]+Table2[[#This Row],[Click through rate]])*100</f>
        <v>8.7605367280233946</v>
      </c>
    </row>
    <row r="103" spans="1:16" x14ac:dyDescent="0.25">
      <c r="A103" t="s">
        <v>146</v>
      </c>
      <c r="B103" t="s">
        <v>47</v>
      </c>
      <c r="C103" s="43">
        <v>45926</v>
      </c>
      <c r="D103" t="s">
        <v>39</v>
      </c>
      <c r="E103" t="s">
        <v>37</v>
      </c>
      <c r="G103">
        <v>9043</v>
      </c>
      <c r="H103">
        <v>1192</v>
      </c>
      <c r="I103">
        <v>810</v>
      </c>
      <c r="J103">
        <v>1550</v>
      </c>
      <c r="K103">
        <v>5221</v>
      </c>
      <c r="L103">
        <v>199476</v>
      </c>
      <c r="M103" t="s">
        <v>23</v>
      </c>
      <c r="N103" s="44">
        <f t="shared" si="1"/>
        <v>5.5370069582305642E-2</v>
      </c>
      <c r="O103" s="44">
        <f>Table2[[#This Row],[Shares]]/Table2[[#This Row],[Impressions]]</f>
        <v>5.9756562192945515E-3</v>
      </c>
      <c r="P103">
        <f>(Table2[[#This Row],[Engagement Rate]]+Table2[[#This Row],[Click through rate]])*100</f>
        <v>6.1345725801600191</v>
      </c>
    </row>
    <row r="104" spans="1:16" x14ac:dyDescent="0.25">
      <c r="A104" t="s">
        <v>147</v>
      </c>
      <c r="B104" t="s">
        <v>47</v>
      </c>
      <c r="C104" s="43">
        <v>45927</v>
      </c>
      <c r="D104" t="s">
        <v>26</v>
      </c>
      <c r="E104" t="s">
        <v>21</v>
      </c>
      <c r="F104" t="s">
        <v>22</v>
      </c>
      <c r="G104">
        <v>18521</v>
      </c>
      <c r="H104">
        <v>1027</v>
      </c>
      <c r="I104">
        <v>230</v>
      </c>
      <c r="J104">
        <v>1247</v>
      </c>
      <c r="K104">
        <v>39588</v>
      </c>
      <c r="L104">
        <v>200928</v>
      </c>
      <c r="M104" t="s">
        <v>23</v>
      </c>
      <c r="N104" s="44">
        <f t="shared" si="1"/>
        <v>9.8433269628921807E-2</v>
      </c>
      <c r="O104" s="44">
        <f>Table2[[#This Row],[Shares]]/Table2[[#This Row],[Impressions]]</f>
        <v>5.1112836438923399E-3</v>
      </c>
      <c r="P104">
        <f>(Table2[[#This Row],[Engagement Rate]]+Table2[[#This Row],[Click through rate]])*100</f>
        <v>10.354455327281414</v>
      </c>
    </row>
    <row r="105" spans="1:16" x14ac:dyDescent="0.25">
      <c r="A105" t="s">
        <v>148</v>
      </c>
      <c r="B105" t="s">
        <v>20</v>
      </c>
      <c r="C105" s="43">
        <v>45739</v>
      </c>
      <c r="D105" t="s">
        <v>15</v>
      </c>
      <c r="E105" t="s">
        <v>27</v>
      </c>
      <c r="F105" t="s">
        <v>28</v>
      </c>
      <c r="G105">
        <v>24711</v>
      </c>
      <c r="H105">
        <v>882</v>
      </c>
      <c r="I105">
        <v>876</v>
      </c>
      <c r="J105">
        <v>2728</v>
      </c>
      <c r="K105">
        <v>32015</v>
      </c>
      <c r="L105">
        <v>180272</v>
      </c>
      <c r="M105" t="s">
        <v>34</v>
      </c>
      <c r="N105" s="44">
        <f t="shared" si="1"/>
        <v>0.1468281263867933</v>
      </c>
      <c r="O105" s="44">
        <f>Table2[[#This Row],[Shares]]/Table2[[#This Row],[Impressions]]</f>
        <v>4.8926067276116088E-3</v>
      </c>
      <c r="P105">
        <f>(Table2[[#This Row],[Engagement Rate]]+Table2[[#This Row],[Click through rate]])*100</f>
        <v>15.17207331144049</v>
      </c>
    </row>
    <row r="106" spans="1:16" x14ac:dyDescent="0.25">
      <c r="A106" t="s">
        <v>149</v>
      </c>
      <c r="B106" t="s">
        <v>47</v>
      </c>
      <c r="C106" s="43">
        <v>45457</v>
      </c>
      <c r="D106" t="s">
        <v>39</v>
      </c>
      <c r="E106" t="s">
        <v>48</v>
      </c>
      <c r="F106" t="s">
        <v>32</v>
      </c>
      <c r="G106">
        <v>21856</v>
      </c>
      <c r="H106">
        <v>1203</v>
      </c>
      <c r="I106">
        <v>634</v>
      </c>
      <c r="J106">
        <v>2807</v>
      </c>
      <c r="K106">
        <v>3647</v>
      </c>
      <c r="L106">
        <v>104178</v>
      </c>
      <c r="M106" t="s">
        <v>34</v>
      </c>
      <c r="N106" s="44">
        <f t="shared" si="1"/>
        <v>0.22742805582752595</v>
      </c>
      <c r="O106" s="44">
        <f>Table2[[#This Row],[Shares]]/Table2[[#This Row],[Impressions]]</f>
        <v>1.1547543627253356E-2</v>
      </c>
      <c r="P106">
        <f>(Table2[[#This Row],[Engagement Rate]]+Table2[[#This Row],[Click through rate]])*100</f>
        <v>23.89755994547793</v>
      </c>
    </row>
    <row r="107" spans="1:16" x14ac:dyDescent="0.25">
      <c r="A107" t="s">
        <v>150</v>
      </c>
      <c r="B107" t="s">
        <v>47</v>
      </c>
      <c r="C107" s="43">
        <v>45692</v>
      </c>
      <c r="D107" t="s">
        <v>39</v>
      </c>
      <c r="E107" t="s">
        <v>43</v>
      </c>
      <c r="F107" t="s">
        <v>44</v>
      </c>
      <c r="G107">
        <v>23833</v>
      </c>
      <c r="H107">
        <v>555</v>
      </c>
      <c r="I107">
        <v>523</v>
      </c>
      <c r="J107">
        <v>1330</v>
      </c>
      <c r="K107">
        <v>69141</v>
      </c>
      <c r="L107">
        <v>73997</v>
      </c>
      <c r="M107" t="s">
        <v>34</v>
      </c>
      <c r="N107" s="44">
        <f t="shared" si="1"/>
        <v>0.33664878305877266</v>
      </c>
      <c r="O107" s="44">
        <f>Table2[[#This Row],[Shares]]/Table2[[#This Row],[Impressions]]</f>
        <v>7.5003040663810692E-3</v>
      </c>
      <c r="P107">
        <f>(Table2[[#This Row],[Engagement Rate]]+Table2[[#This Row],[Click through rate]])*100</f>
        <v>34.414908712515377</v>
      </c>
    </row>
    <row r="108" spans="1:16" x14ac:dyDescent="0.25">
      <c r="A108" t="s">
        <v>151</v>
      </c>
      <c r="B108" t="s">
        <v>47</v>
      </c>
      <c r="C108" s="43">
        <v>45464</v>
      </c>
      <c r="D108" t="s">
        <v>31</v>
      </c>
      <c r="E108" t="s">
        <v>32</v>
      </c>
      <c r="F108" t="s">
        <v>33</v>
      </c>
      <c r="G108">
        <v>21216</v>
      </c>
      <c r="H108">
        <v>1207</v>
      </c>
      <c r="I108">
        <v>859</v>
      </c>
      <c r="J108">
        <v>328</v>
      </c>
      <c r="K108">
        <v>91296</v>
      </c>
      <c r="L108">
        <v>196683</v>
      </c>
      <c r="M108" t="s">
        <v>29</v>
      </c>
      <c r="N108" s="44">
        <f t="shared" si="1"/>
        <v>0.1183732198512327</v>
      </c>
      <c r="O108" s="44">
        <f>Table2[[#This Row],[Shares]]/Table2[[#This Row],[Impressions]]</f>
        <v>6.1367784709405494E-3</v>
      </c>
      <c r="P108">
        <f>(Table2[[#This Row],[Engagement Rate]]+Table2[[#This Row],[Click through rate]])*100</f>
        <v>12.450999832217324</v>
      </c>
    </row>
    <row r="109" spans="1:16" x14ac:dyDescent="0.25">
      <c r="A109" t="s">
        <v>152</v>
      </c>
      <c r="B109" t="s">
        <v>20</v>
      </c>
      <c r="C109" s="43">
        <v>45928</v>
      </c>
      <c r="D109" t="s">
        <v>39</v>
      </c>
      <c r="E109" t="s">
        <v>43</v>
      </c>
      <c r="F109" t="s">
        <v>44</v>
      </c>
      <c r="G109">
        <v>21963</v>
      </c>
      <c r="H109">
        <v>1356</v>
      </c>
      <c r="I109">
        <v>349</v>
      </c>
      <c r="J109">
        <v>1206</v>
      </c>
      <c r="K109">
        <v>51755</v>
      </c>
      <c r="L109">
        <v>159273</v>
      </c>
      <c r="M109" t="s">
        <v>23</v>
      </c>
      <c r="N109" s="44">
        <f t="shared" si="1"/>
        <v>0.14860020216860359</v>
      </c>
      <c r="O109" s="44">
        <f>Table2[[#This Row],[Shares]]/Table2[[#This Row],[Impressions]]</f>
        <v>8.5136840519108702E-3</v>
      </c>
      <c r="P109">
        <f>(Table2[[#This Row],[Engagement Rate]]+Table2[[#This Row],[Click through rate]])*100</f>
        <v>15.711388622051444</v>
      </c>
    </row>
    <row r="110" spans="1:16" x14ac:dyDescent="0.25">
      <c r="A110" t="s">
        <v>153</v>
      </c>
      <c r="B110" t="s">
        <v>47</v>
      </c>
      <c r="C110" s="43">
        <v>45512</v>
      </c>
      <c r="D110" t="s">
        <v>39</v>
      </c>
      <c r="E110" t="s">
        <v>43</v>
      </c>
      <c r="F110" t="s">
        <v>44</v>
      </c>
      <c r="G110">
        <v>24355</v>
      </c>
      <c r="H110">
        <v>1087</v>
      </c>
      <c r="I110">
        <v>686</v>
      </c>
      <c r="J110">
        <v>2426</v>
      </c>
      <c r="K110">
        <v>24963</v>
      </c>
      <c r="L110">
        <v>212307</v>
      </c>
      <c r="M110" t="s">
        <v>18</v>
      </c>
      <c r="N110" s="44">
        <f t="shared" si="1"/>
        <v>0.1230670679723231</v>
      </c>
      <c r="O110" s="44">
        <f>Table2[[#This Row],[Shares]]/Table2[[#This Row],[Impressions]]</f>
        <v>5.1199442317022047E-3</v>
      </c>
      <c r="P110">
        <f>(Table2[[#This Row],[Engagement Rate]]+Table2[[#This Row],[Click through rate]])*100</f>
        <v>12.818701220402531</v>
      </c>
    </row>
    <row r="111" spans="1:16" x14ac:dyDescent="0.25">
      <c r="A111" t="s">
        <v>154</v>
      </c>
      <c r="B111" t="s">
        <v>14</v>
      </c>
      <c r="C111" s="43">
        <v>45502</v>
      </c>
      <c r="D111" t="s">
        <v>31</v>
      </c>
      <c r="E111" t="s">
        <v>43</v>
      </c>
      <c r="F111" t="s">
        <v>44</v>
      </c>
      <c r="G111">
        <v>6164</v>
      </c>
      <c r="H111">
        <v>326</v>
      </c>
      <c r="I111">
        <v>615</v>
      </c>
      <c r="J111">
        <v>2806</v>
      </c>
      <c r="K111">
        <v>38579</v>
      </c>
      <c r="L111">
        <v>206129</v>
      </c>
      <c r="M111" t="s">
        <v>52</v>
      </c>
      <c r="N111" s="44">
        <f t="shared" si="1"/>
        <v>3.4468706489625425E-2</v>
      </c>
      <c r="O111" s="44">
        <f>Table2[[#This Row],[Shares]]/Table2[[#This Row],[Impressions]]</f>
        <v>1.5815338938237706E-3</v>
      </c>
      <c r="P111">
        <f>(Table2[[#This Row],[Engagement Rate]]+Table2[[#This Row],[Click through rate]])*100</f>
        <v>3.6050240383449195</v>
      </c>
    </row>
    <row r="112" spans="1:16" x14ac:dyDescent="0.25">
      <c r="A112" t="s">
        <v>155</v>
      </c>
      <c r="B112" t="s">
        <v>20</v>
      </c>
      <c r="C112" s="43">
        <v>45619</v>
      </c>
      <c r="D112" t="s">
        <v>26</v>
      </c>
      <c r="E112" t="s">
        <v>37</v>
      </c>
      <c r="G112">
        <v>9941</v>
      </c>
      <c r="H112">
        <v>1329</v>
      </c>
      <c r="I112">
        <v>238</v>
      </c>
      <c r="J112">
        <v>869</v>
      </c>
      <c r="K112">
        <v>40281</v>
      </c>
      <c r="L112">
        <v>172311</v>
      </c>
      <c r="M112" t="s">
        <v>29</v>
      </c>
      <c r="N112" s="44">
        <f t="shared" si="1"/>
        <v>6.6786217943137702E-2</v>
      </c>
      <c r="O112" s="44">
        <f>Table2[[#This Row],[Shares]]/Table2[[#This Row],[Impressions]]</f>
        <v>7.7127983703884255E-3</v>
      </c>
      <c r="P112">
        <f>(Table2[[#This Row],[Engagement Rate]]+Table2[[#This Row],[Click through rate]])*100</f>
        <v>7.4499016313526125</v>
      </c>
    </row>
    <row r="113" spans="1:16" x14ac:dyDescent="0.25">
      <c r="A113" t="s">
        <v>156</v>
      </c>
      <c r="B113" t="s">
        <v>14</v>
      </c>
      <c r="C113" s="43">
        <v>45570</v>
      </c>
      <c r="D113" t="s">
        <v>39</v>
      </c>
      <c r="E113" t="s">
        <v>21</v>
      </c>
      <c r="F113" t="s">
        <v>22</v>
      </c>
      <c r="G113">
        <v>16388</v>
      </c>
      <c r="H113">
        <v>1208</v>
      </c>
      <c r="I113">
        <v>417</v>
      </c>
      <c r="J113">
        <v>2306</v>
      </c>
      <c r="K113">
        <v>16865</v>
      </c>
      <c r="L113">
        <v>236733</v>
      </c>
      <c r="M113" t="s">
        <v>18</v>
      </c>
      <c r="N113" s="44">
        <f t="shared" si="1"/>
        <v>7.6089940988370866E-2</v>
      </c>
      <c r="O113" s="44">
        <f>Table2[[#This Row],[Shares]]/Table2[[#This Row],[Impressions]]</f>
        <v>5.1027951320686176E-3</v>
      </c>
      <c r="P113">
        <f>(Table2[[#This Row],[Engagement Rate]]+Table2[[#This Row],[Click through rate]])*100</f>
        <v>8.1192736120439477</v>
      </c>
    </row>
    <row r="114" spans="1:16" x14ac:dyDescent="0.25">
      <c r="A114" t="s">
        <v>157</v>
      </c>
      <c r="B114" t="s">
        <v>20</v>
      </c>
      <c r="C114" s="43">
        <v>45929</v>
      </c>
      <c r="D114" t="s">
        <v>31</v>
      </c>
      <c r="E114" t="s">
        <v>62</v>
      </c>
      <c r="F114" t="s">
        <v>37</v>
      </c>
      <c r="G114">
        <v>7569</v>
      </c>
      <c r="H114">
        <v>803</v>
      </c>
      <c r="I114">
        <v>804</v>
      </c>
      <c r="J114">
        <v>1753</v>
      </c>
      <c r="K114">
        <v>43582</v>
      </c>
      <c r="L114">
        <v>166945</v>
      </c>
      <c r="M114" t="s">
        <v>23</v>
      </c>
      <c r="N114" s="44">
        <f t="shared" si="1"/>
        <v>5.4964209769684629E-2</v>
      </c>
      <c r="O114" s="44">
        <f>Table2[[#This Row],[Shares]]/Table2[[#This Row],[Impressions]]</f>
        <v>4.809967354517955E-3</v>
      </c>
      <c r="P114">
        <f>(Table2[[#This Row],[Engagement Rate]]+Table2[[#This Row],[Click through rate]])*100</f>
        <v>5.9774177124202588</v>
      </c>
    </row>
    <row r="115" spans="1:16" x14ac:dyDescent="0.25">
      <c r="A115" t="s">
        <v>158</v>
      </c>
      <c r="B115" t="s">
        <v>47</v>
      </c>
      <c r="C115" s="43">
        <v>45610</v>
      </c>
      <c r="D115" t="s">
        <v>15</v>
      </c>
      <c r="E115" t="s">
        <v>27</v>
      </c>
      <c r="F115" t="s">
        <v>28</v>
      </c>
      <c r="G115">
        <v>6300</v>
      </c>
      <c r="H115">
        <v>1213</v>
      </c>
      <c r="I115">
        <v>720</v>
      </c>
      <c r="J115">
        <v>1037</v>
      </c>
      <c r="K115">
        <v>39569</v>
      </c>
      <c r="L115">
        <v>85272</v>
      </c>
      <c r="M115" t="s">
        <v>34</v>
      </c>
      <c r="N115" s="44">
        <f t="shared" si="1"/>
        <v>9.6549863964724647E-2</v>
      </c>
      <c r="O115" s="44">
        <f>Table2[[#This Row],[Shares]]/Table2[[#This Row],[Impressions]]</f>
        <v>1.4225068017637676E-2</v>
      </c>
      <c r="P115">
        <f>(Table2[[#This Row],[Engagement Rate]]+Table2[[#This Row],[Click through rate]])*100</f>
        <v>11.077493198236233</v>
      </c>
    </row>
    <row r="116" spans="1:16" x14ac:dyDescent="0.25">
      <c r="A116" t="s">
        <v>159</v>
      </c>
      <c r="B116" t="s">
        <v>14</v>
      </c>
      <c r="C116" s="43">
        <v>45930</v>
      </c>
      <c r="D116" t="s">
        <v>26</v>
      </c>
      <c r="E116" t="s">
        <v>16</v>
      </c>
      <c r="F116" t="s">
        <v>17</v>
      </c>
      <c r="G116">
        <v>8269</v>
      </c>
      <c r="H116">
        <v>250</v>
      </c>
      <c r="I116">
        <v>638</v>
      </c>
      <c r="J116">
        <v>815</v>
      </c>
      <c r="K116">
        <v>41991</v>
      </c>
      <c r="L116">
        <v>129393</v>
      </c>
      <c r="M116" t="s">
        <v>23</v>
      </c>
      <c r="N116" s="44">
        <f t="shared" si="1"/>
        <v>7.0768897853825175E-2</v>
      </c>
      <c r="O116" s="44">
        <f>Table2[[#This Row],[Shares]]/Table2[[#This Row],[Impressions]]</f>
        <v>1.932098336076913E-3</v>
      </c>
      <c r="P116">
        <f>(Table2[[#This Row],[Engagement Rate]]+Table2[[#This Row],[Click through rate]])*100</f>
        <v>7.2700996189902085</v>
      </c>
    </row>
    <row r="117" spans="1:16" x14ac:dyDescent="0.25">
      <c r="A117" t="s">
        <v>160</v>
      </c>
      <c r="B117" t="s">
        <v>20</v>
      </c>
      <c r="C117" s="43">
        <v>45734</v>
      </c>
      <c r="D117" t="s">
        <v>15</v>
      </c>
      <c r="E117" t="s">
        <v>43</v>
      </c>
      <c r="F117" t="s">
        <v>44</v>
      </c>
      <c r="G117">
        <v>5818</v>
      </c>
      <c r="H117">
        <v>1252</v>
      </c>
      <c r="I117">
        <v>687</v>
      </c>
      <c r="J117">
        <v>2300</v>
      </c>
      <c r="K117">
        <v>25081</v>
      </c>
      <c r="L117">
        <v>101212</v>
      </c>
      <c r="M117" t="s">
        <v>52</v>
      </c>
      <c r="N117" s="44">
        <f t="shared" si="1"/>
        <v>7.6641109749832043E-2</v>
      </c>
      <c r="O117" s="44">
        <f>Table2[[#This Row],[Shares]]/Table2[[#This Row],[Impressions]]</f>
        <v>1.2370074694700233E-2</v>
      </c>
      <c r="P117">
        <f>(Table2[[#This Row],[Engagement Rate]]+Table2[[#This Row],[Click through rate]])*100</f>
        <v>8.9011184444532283</v>
      </c>
    </row>
    <row r="118" spans="1:16" x14ac:dyDescent="0.25">
      <c r="A118" t="s">
        <v>161</v>
      </c>
      <c r="B118" t="s">
        <v>25</v>
      </c>
      <c r="C118" s="43">
        <v>45600</v>
      </c>
      <c r="D118" t="s">
        <v>15</v>
      </c>
      <c r="E118" t="s">
        <v>32</v>
      </c>
      <c r="F118" t="s">
        <v>57</v>
      </c>
      <c r="G118">
        <v>14015</v>
      </c>
      <c r="H118">
        <v>978</v>
      </c>
      <c r="I118">
        <v>196</v>
      </c>
      <c r="J118">
        <v>2744</v>
      </c>
      <c r="K118">
        <v>20190</v>
      </c>
      <c r="L118">
        <v>186470</v>
      </c>
      <c r="M118" t="s">
        <v>29</v>
      </c>
      <c r="N118" s="44">
        <f t="shared" si="1"/>
        <v>8.1455462004611998E-2</v>
      </c>
      <c r="O118" s="44">
        <f>Table2[[#This Row],[Shares]]/Table2[[#This Row],[Impressions]]</f>
        <v>5.244811497828069E-3</v>
      </c>
      <c r="P118">
        <f>(Table2[[#This Row],[Engagement Rate]]+Table2[[#This Row],[Click through rate]])*100</f>
        <v>8.6700273502440073</v>
      </c>
    </row>
    <row r="119" spans="1:16" x14ac:dyDescent="0.25">
      <c r="A119" t="s">
        <v>162</v>
      </c>
      <c r="B119" t="s">
        <v>47</v>
      </c>
      <c r="C119" s="43">
        <v>45600</v>
      </c>
      <c r="D119" t="s">
        <v>31</v>
      </c>
      <c r="E119" t="s">
        <v>37</v>
      </c>
      <c r="G119">
        <v>14234</v>
      </c>
      <c r="H119">
        <v>1013</v>
      </c>
      <c r="I119">
        <v>437</v>
      </c>
      <c r="J119">
        <v>338</v>
      </c>
      <c r="K119">
        <v>67754</v>
      </c>
      <c r="L119">
        <v>160030</v>
      </c>
      <c r="M119" t="s">
        <v>29</v>
      </c>
      <c r="N119" s="44">
        <f t="shared" si="1"/>
        <v>9.8006623758045364E-2</v>
      </c>
      <c r="O119" s="44">
        <f>Table2[[#This Row],[Shares]]/Table2[[#This Row],[Impressions]]</f>
        <v>6.3300631131662814E-3</v>
      </c>
      <c r="P119">
        <f>(Table2[[#This Row],[Engagement Rate]]+Table2[[#This Row],[Click through rate]])*100</f>
        <v>10.433668687121164</v>
      </c>
    </row>
    <row r="120" spans="1:16" x14ac:dyDescent="0.25">
      <c r="A120" t="s">
        <v>163</v>
      </c>
      <c r="B120" t="s">
        <v>20</v>
      </c>
      <c r="C120" s="43">
        <v>45695</v>
      </c>
      <c r="D120" t="s">
        <v>39</v>
      </c>
      <c r="E120" t="s">
        <v>122</v>
      </c>
      <c r="F120" t="s">
        <v>123</v>
      </c>
      <c r="G120">
        <v>20290</v>
      </c>
      <c r="H120">
        <v>619</v>
      </c>
      <c r="I120">
        <v>927</v>
      </c>
      <c r="J120">
        <v>1186</v>
      </c>
      <c r="K120">
        <v>8924</v>
      </c>
      <c r="L120">
        <v>96503</v>
      </c>
      <c r="M120" t="s">
        <v>52</v>
      </c>
      <c r="N120" s="44">
        <f t="shared" si="1"/>
        <v>0.22627275835984373</v>
      </c>
      <c r="O120" s="44">
        <f>Table2[[#This Row],[Shares]]/Table2[[#This Row],[Impressions]]</f>
        <v>6.4143083634705658E-3</v>
      </c>
      <c r="P120">
        <f>(Table2[[#This Row],[Engagement Rate]]+Table2[[#This Row],[Click through rate]])*100</f>
        <v>23.26870667233143</v>
      </c>
    </row>
    <row r="121" spans="1:16" x14ac:dyDescent="0.25">
      <c r="A121" t="s">
        <v>164</v>
      </c>
      <c r="B121" t="s">
        <v>25</v>
      </c>
      <c r="C121" s="43">
        <v>45586</v>
      </c>
      <c r="D121" t="s">
        <v>31</v>
      </c>
      <c r="E121" t="s">
        <v>32</v>
      </c>
      <c r="F121" t="s">
        <v>33</v>
      </c>
      <c r="G121">
        <v>8254</v>
      </c>
      <c r="H121">
        <v>1405</v>
      </c>
      <c r="I121">
        <v>165</v>
      </c>
      <c r="J121">
        <v>2504</v>
      </c>
      <c r="K121">
        <v>8081</v>
      </c>
      <c r="L121">
        <v>177710</v>
      </c>
      <c r="M121" t="s">
        <v>18</v>
      </c>
      <c r="N121" s="44">
        <f t="shared" si="1"/>
        <v>5.5281075910190762E-2</v>
      </c>
      <c r="O121" s="44">
        <f>Table2[[#This Row],[Shares]]/Table2[[#This Row],[Impressions]]</f>
        <v>7.9061392155759386E-3</v>
      </c>
      <c r="P121">
        <f>(Table2[[#This Row],[Engagement Rate]]+Table2[[#This Row],[Click through rate]])*100</f>
        <v>6.3187215125766691</v>
      </c>
    </row>
    <row r="122" spans="1:16" x14ac:dyDescent="0.25">
      <c r="A122" t="s">
        <v>165</v>
      </c>
      <c r="B122" t="s">
        <v>20</v>
      </c>
      <c r="C122" s="43">
        <v>45502</v>
      </c>
      <c r="D122" t="s">
        <v>31</v>
      </c>
      <c r="E122" t="s">
        <v>16</v>
      </c>
      <c r="F122" t="s">
        <v>17</v>
      </c>
      <c r="G122">
        <v>19144</v>
      </c>
      <c r="H122">
        <v>1182</v>
      </c>
      <c r="I122">
        <v>860</v>
      </c>
      <c r="J122">
        <v>1398</v>
      </c>
      <c r="K122">
        <v>4185</v>
      </c>
      <c r="L122">
        <v>46570</v>
      </c>
      <c r="M122" t="s">
        <v>18</v>
      </c>
      <c r="N122" s="44">
        <f t="shared" si="1"/>
        <v>0.454928065278076</v>
      </c>
      <c r="O122" s="44">
        <f>Table2[[#This Row],[Shares]]/Table2[[#This Row],[Impressions]]</f>
        <v>2.5381146660940521E-2</v>
      </c>
      <c r="P122">
        <f>(Table2[[#This Row],[Engagement Rate]]+Table2[[#This Row],[Click through rate]])*100</f>
        <v>48.030921193901655</v>
      </c>
    </row>
    <row r="123" spans="1:16" x14ac:dyDescent="0.25">
      <c r="A123" t="s">
        <v>166</v>
      </c>
      <c r="B123" t="s">
        <v>25</v>
      </c>
      <c r="C123" s="43">
        <v>45567</v>
      </c>
      <c r="D123" t="s">
        <v>31</v>
      </c>
      <c r="E123" t="s">
        <v>62</v>
      </c>
      <c r="F123" t="s">
        <v>37</v>
      </c>
      <c r="G123">
        <v>9350</v>
      </c>
      <c r="H123">
        <v>1024</v>
      </c>
      <c r="I123">
        <v>550</v>
      </c>
      <c r="J123">
        <v>2123</v>
      </c>
      <c r="K123">
        <v>53916</v>
      </c>
      <c r="L123">
        <v>108785</v>
      </c>
      <c r="M123" t="s">
        <v>29</v>
      </c>
      <c r="N123" s="44">
        <f t="shared" si="1"/>
        <v>0.10041825619340902</v>
      </c>
      <c r="O123" s="44">
        <f>Table2[[#This Row],[Shares]]/Table2[[#This Row],[Impressions]]</f>
        <v>9.4130624626556966E-3</v>
      </c>
      <c r="P123">
        <f>(Table2[[#This Row],[Engagement Rate]]+Table2[[#This Row],[Click through rate]])*100</f>
        <v>10.983131865606472</v>
      </c>
    </row>
    <row r="124" spans="1:16" x14ac:dyDescent="0.25">
      <c r="A124" t="s">
        <v>167</v>
      </c>
      <c r="B124" t="s">
        <v>47</v>
      </c>
      <c r="C124" s="43">
        <v>45457</v>
      </c>
      <c r="D124" t="s">
        <v>31</v>
      </c>
      <c r="E124" t="s">
        <v>32</v>
      </c>
      <c r="F124" t="s">
        <v>57</v>
      </c>
      <c r="G124">
        <v>17183</v>
      </c>
      <c r="H124">
        <v>1224</v>
      </c>
      <c r="I124">
        <v>943</v>
      </c>
      <c r="J124">
        <v>2010</v>
      </c>
      <c r="K124">
        <v>21481</v>
      </c>
      <c r="L124">
        <v>49110</v>
      </c>
      <c r="M124" t="s">
        <v>29</v>
      </c>
      <c r="N124" s="44">
        <f t="shared" si="1"/>
        <v>0.39401343921808185</v>
      </c>
      <c r="O124" s="44">
        <f>Table2[[#This Row],[Shares]]/Table2[[#This Row],[Impressions]]</f>
        <v>2.4923640806353085E-2</v>
      </c>
      <c r="P124">
        <f>(Table2[[#This Row],[Engagement Rate]]+Table2[[#This Row],[Click through rate]])*100</f>
        <v>41.893708002443489</v>
      </c>
    </row>
    <row r="125" spans="1:16" x14ac:dyDescent="0.25">
      <c r="A125" t="s">
        <v>168</v>
      </c>
      <c r="B125" t="s">
        <v>14</v>
      </c>
      <c r="C125" s="43">
        <v>45753</v>
      </c>
      <c r="D125" t="s">
        <v>26</v>
      </c>
      <c r="E125" t="s">
        <v>62</v>
      </c>
      <c r="F125" t="s">
        <v>37</v>
      </c>
      <c r="G125">
        <v>8238</v>
      </c>
      <c r="H125">
        <v>766</v>
      </c>
      <c r="I125">
        <v>235</v>
      </c>
      <c r="J125">
        <v>1273</v>
      </c>
      <c r="K125">
        <v>4706</v>
      </c>
      <c r="L125">
        <v>119141</v>
      </c>
      <c r="M125" t="s">
        <v>34</v>
      </c>
      <c r="N125" s="44">
        <f t="shared" si="1"/>
        <v>7.7546772311798629E-2</v>
      </c>
      <c r="O125" s="44">
        <f>Table2[[#This Row],[Shares]]/Table2[[#This Row],[Impressions]]</f>
        <v>6.4293568125162624E-3</v>
      </c>
      <c r="P125">
        <f>(Table2[[#This Row],[Engagement Rate]]+Table2[[#This Row],[Click through rate]])*100</f>
        <v>8.3976129124314891</v>
      </c>
    </row>
    <row r="126" spans="1:16" x14ac:dyDescent="0.25">
      <c r="A126" t="s">
        <v>169</v>
      </c>
      <c r="B126" t="s">
        <v>25</v>
      </c>
      <c r="C126" s="43">
        <v>45543</v>
      </c>
      <c r="D126" t="s">
        <v>39</v>
      </c>
      <c r="E126" t="s">
        <v>16</v>
      </c>
      <c r="F126" t="s">
        <v>17</v>
      </c>
      <c r="G126">
        <v>8090</v>
      </c>
      <c r="H126">
        <v>570</v>
      </c>
      <c r="I126">
        <v>399</v>
      </c>
      <c r="J126">
        <v>1862</v>
      </c>
      <c r="K126">
        <v>34088</v>
      </c>
      <c r="L126">
        <v>52115</v>
      </c>
      <c r="M126" t="s">
        <v>18</v>
      </c>
      <c r="N126" s="44">
        <f t="shared" si="1"/>
        <v>0.17382711311522595</v>
      </c>
      <c r="O126" s="44">
        <f>Table2[[#This Row],[Shares]]/Table2[[#This Row],[Impressions]]</f>
        <v>1.0937350091144583E-2</v>
      </c>
      <c r="P126">
        <f>(Table2[[#This Row],[Engagement Rate]]+Table2[[#This Row],[Click through rate]])*100</f>
        <v>18.476446320637052</v>
      </c>
    </row>
    <row r="127" spans="1:16" x14ac:dyDescent="0.25">
      <c r="A127" t="s">
        <v>170</v>
      </c>
      <c r="B127" t="s">
        <v>20</v>
      </c>
      <c r="C127" s="43">
        <v>45744</v>
      </c>
      <c r="D127" t="s">
        <v>15</v>
      </c>
      <c r="E127" t="s">
        <v>43</v>
      </c>
      <c r="F127" t="s">
        <v>44</v>
      </c>
      <c r="G127">
        <v>13637</v>
      </c>
      <c r="H127">
        <v>1135</v>
      </c>
      <c r="I127">
        <v>540</v>
      </c>
      <c r="J127">
        <v>1288</v>
      </c>
      <c r="K127">
        <v>45183</v>
      </c>
      <c r="L127">
        <v>79062</v>
      </c>
      <c r="M127" t="s">
        <v>52</v>
      </c>
      <c r="N127" s="44">
        <f t="shared" si="1"/>
        <v>0.19367079001290127</v>
      </c>
      <c r="O127" s="44">
        <f>Table2[[#This Row],[Shares]]/Table2[[#This Row],[Impressions]]</f>
        <v>1.435582201310364E-2</v>
      </c>
      <c r="P127">
        <f>(Table2[[#This Row],[Engagement Rate]]+Table2[[#This Row],[Click through rate]])*100</f>
        <v>20.802661202600493</v>
      </c>
    </row>
    <row r="128" spans="1:16" x14ac:dyDescent="0.25">
      <c r="A128" t="s">
        <v>171</v>
      </c>
      <c r="B128" t="s">
        <v>47</v>
      </c>
      <c r="C128" s="43">
        <v>45684</v>
      </c>
      <c r="D128" t="s">
        <v>15</v>
      </c>
      <c r="E128" t="s">
        <v>32</v>
      </c>
      <c r="F128" t="s">
        <v>57</v>
      </c>
      <c r="G128">
        <v>24415</v>
      </c>
      <c r="H128">
        <v>860</v>
      </c>
      <c r="I128">
        <v>931</v>
      </c>
      <c r="J128">
        <v>320</v>
      </c>
      <c r="K128">
        <v>65049</v>
      </c>
      <c r="L128">
        <v>62911</v>
      </c>
      <c r="M128" t="s">
        <v>18</v>
      </c>
      <c r="N128" s="44">
        <f t="shared" si="1"/>
        <v>0.41655672298962027</v>
      </c>
      <c r="O128" s="44">
        <f>Table2[[#This Row],[Shares]]/Table2[[#This Row],[Impressions]]</f>
        <v>1.3670105386975251E-2</v>
      </c>
      <c r="P128">
        <f>(Table2[[#This Row],[Engagement Rate]]+Table2[[#This Row],[Click through rate]])*100</f>
        <v>43.022682837659552</v>
      </c>
    </row>
    <row r="129" spans="1:16" x14ac:dyDescent="0.25">
      <c r="A129" t="s">
        <v>172</v>
      </c>
      <c r="B129" t="s">
        <v>25</v>
      </c>
      <c r="C129" s="43">
        <v>45667</v>
      </c>
      <c r="D129" t="s">
        <v>39</v>
      </c>
      <c r="E129" t="s">
        <v>62</v>
      </c>
      <c r="F129" t="s">
        <v>37</v>
      </c>
      <c r="G129">
        <v>14647</v>
      </c>
      <c r="H129">
        <v>1168</v>
      </c>
      <c r="I129">
        <v>484</v>
      </c>
      <c r="J129">
        <v>2650</v>
      </c>
      <c r="K129">
        <v>27217</v>
      </c>
      <c r="L129">
        <v>144061</v>
      </c>
      <c r="M129" t="s">
        <v>34</v>
      </c>
      <c r="N129" s="44">
        <f t="shared" si="1"/>
        <v>0.11313957281984714</v>
      </c>
      <c r="O129" s="44">
        <f>Table2[[#This Row],[Shares]]/Table2[[#This Row],[Impressions]]</f>
        <v>8.1076766092141525E-3</v>
      </c>
      <c r="P129">
        <f>(Table2[[#This Row],[Engagement Rate]]+Table2[[#This Row],[Click through rate]])*100</f>
        <v>12.124724942906129</v>
      </c>
    </row>
    <row r="130" spans="1:16" x14ac:dyDescent="0.25">
      <c r="A130" t="s">
        <v>173</v>
      </c>
      <c r="B130" t="s">
        <v>20</v>
      </c>
      <c r="C130" s="43">
        <v>45494</v>
      </c>
      <c r="D130" t="s">
        <v>15</v>
      </c>
      <c r="E130" t="s">
        <v>32</v>
      </c>
      <c r="F130" t="s">
        <v>33</v>
      </c>
      <c r="G130">
        <v>11911</v>
      </c>
      <c r="H130">
        <v>1360</v>
      </c>
      <c r="I130">
        <v>778</v>
      </c>
      <c r="J130">
        <v>1168</v>
      </c>
      <c r="K130">
        <v>16483</v>
      </c>
      <c r="L130">
        <v>72556</v>
      </c>
      <c r="M130" t="s">
        <v>29</v>
      </c>
      <c r="N130" s="44">
        <f t="shared" si="1"/>
        <v>0.19362974805667346</v>
      </c>
      <c r="O130" s="44">
        <f>Table2[[#This Row],[Shares]]/Table2[[#This Row],[Impressions]]</f>
        <v>1.874414245548266E-2</v>
      </c>
      <c r="P130">
        <f>(Table2[[#This Row],[Engagement Rate]]+Table2[[#This Row],[Click through rate]])*100</f>
        <v>21.237389051215612</v>
      </c>
    </row>
    <row r="131" spans="1:16" x14ac:dyDescent="0.25">
      <c r="A131" t="s">
        <v>174</v>
      </c>
      <c r="B131" t="s">
        <v>20</v>
      </c>
      <c r="C131" s="43">
        <v>45564</v>
      </c>
      <c r="D131" t="s">
        <v>39</v>
      </c>
      <c r="E131" t="s">
        <v>21</v>
      </c>
      <c r="F131" t="s">
        <v>22</v>
      </c>
      <c r="G131">
        <v>10472</v>
      </c>
      <c r="H131">
        <v>401</v>
      </c>
      <c r="I131">
        <v>668</v>
      </c>
      <c r="J131">
        <v>383</v>
      </c>
      <c r="K131">
        <v>37571</v>
      </c>
      <c r="L131">
        <v>249203</v>
      </c>
      <c r="M131" t="s">
        <v>29</v>
      </c>
      <c r="N131" s="44">
        <f t="shared" ref="N131:N194" si="2">(G131+H131+I131)/L131</f>
        <v>4.6311641513143903E-2</v>
      </c>
      <c r="O131" s="44">
        <f>Table2[[#This Row],[Shares]]/Table2[[#This Row],[Impressions]]</f>
        <v>1.6091299061407767E-3</v>
      </c>
      <c r="P131">
        <f>(Table2[[#This Row],[Engagement Rate]]+Table2[[#This Row],[Click through rate]])*100</f>
        <v>4.792077141928468</v>
      </c>
    </row>
    <row r="132" spans="1:16" x14ac:dyDescent="0.25">
      <c r="A132" t="s">
        <v>175</v>
      </c>
      <c r="B132" t="s">
        <v>20</v>
      </c>
      <c r="C132" s="43">
        <v>45586</v>
      </c>
      <c r="D132" t="s">
        <v>15</v>
      </c>
      <c r="E132" t="s">
        <v>48</v>
      </c>
      <c r="F132" t="s">
        <v>32</v>
      </c>
      <c r="G132">
        <v>20271</v>
      </c>
      <c r="H132">
        <v>512</v>
      </c>
      <c r="I132">
        <v>286</v>
      </c>
      <c r="J132">
        <v>1982</v>
      </c>
      <c r="K132">
        <v>43225</v>
      </c>
      <c r="L132">
        <v>168335</v>
      </c>
      <c r="M132" t="s">
        <v>34</v>
      </c>
      <c r="N132" s="44">
        <f t="shared" si="2"/>
        <v>0.12516113701844536</v>
      </c>
      <c r="O132" s="44">
        <f>Table2[[#This Row],[Shares]]/Table2[[#This Row],[Impressions]]</f>
        <v>3.041554044019366E-3</v>
      </c>
      <c r="P132">
        <f>(Table2[[#This Row],[Engagement Rate]]+Table2[[#This Row],[Click through rate]])*100</f>
        <v>12.820269106246474</v>
      </c>
    </row>
    <row r="133" spans="1:16" x14ac:dyDescent="0.25">
      <c r="A133" t="s">
        <v>176</v>
      </c>
      <c r="B133" t="s">
        <v>25</v>
      </c>
      <c r="C133" s="43">
        <v>45720</v>
      </c>
      <c r="D133" t="s">
        <v>31</v>
      </c>
      <c r="E133" t="s">
        <v>21</v>
      </c>
      <c r="F133" t="s">
        <v>22</v>
      </c>
      <c r="G133">
        <v>5266</v>
      </c>
      <c r="H133">
        <v>316</v>
      </c>
      <c r="I133">
        <v>837</v>
      </c>
      <c r="J133">
        <v>2276</v>
      </c>
      <c r="K133">
        <v>20967</v>
      </c>
      <c r="L133">
        <v>41969</v>
      </c>
      <c r="M133" t="s">
        <v>52</v>
      </c>
      <c r="N133" s="44">
        <f t="shared" si="2"/>
        <v>0.1529462222116324</v>
      </c>
      <c r="O133" s="44">
        <f>Table2[[#This Row],[Shares]]/Table2[[#This Row],[Impressions]]</f>
        <v>7.5293669136743784E-3</v>
      </c>
      <c r="P133">
        <f>(Table2[[#This Row],[Engagement Rate]]+Table2[[#This Row],[Click through rate]])*100</f>
        <v>16.047558912530675</v>
      </c>
    </row>
    <row r="134" spans="1:16" x14ac:dyDescent="0.25">
      <c r="A134" t="s">
        <v>177</v>
      </c>
      <c r="B134" t="s">
        <v>25</v>
      </c>
      <c r="C134" s="43">
        <v>45694</v>
      </c>
      <c r="D134" t="s">
        <v>15</v>
      </c>
      <c r="E134" t="s">
        <v>16</v>
      </c>
      <c r="F134" t="s">
        <v>17</v>
      </c>
      <c r="G134">
        <v>2666</v>
      </c>
      <c r="H134">
        <v>1136</v>
      </c>
      <c r="I134">
        <v>989</v>
      </c>
      <c r="J134">
        <v>1710</v>
      </c>
      <c r="K134">
        <v>36467</v>
      </c>
      <c r="L134">
        <v>83753</v>
      </c>
      <c r="M134" t="s">
        <v>29</v>
      </c>
      <c r="N134" s="44">
        <f t="shared" si="2"/>
        <v>5.7203921053574198E-2</v>
      </c>
      <c r="O134" s="44">
        <f>Table2[[#This Row],[Shares]]/Table2[[#This Row],[Impressions]]</f>
        <v>1.3563693240839133E-2</v>
      </c>
      <c r="P134">
        <f>(Table2[[#This Row],[Engagement Rate]]+Table2[[#This Row],[Click through rate]])*100</f>
        <v>7.0767614294413335</v>
      </c>
    </row>
    <row r="135" spans="1:16" x14ac:dyDescent="0.25">
      <c r="A135" t="s">
        <v>178</v>
      </c>
      <c r="B135" t="s">
        <v>25</v>
      </c>
      <c r="C135" s="43">
        <v>45931</v>
      </c>
      <c r="D135" t="s">
        <v>39</v>
      </c>
      <c r="E135" t="s">
        <v>37</v>
      </c>
      <c r="G135">
        <v>6188</v>
      </c>
      <c r="H135">
        <v>774</v>
      </c>
      <c r="I135">
        <v>647</v>
      </c>
      <c r="J135">
        <v>1830</v>
      </c>
      <c r="K135">
        <v>55436</v>
      </c>
      <c r="L135">
        <v>175542</v>
      </c>
      <c r="M135" t="s">
        <v>23</v>
      </c>
      <c r="N135" s="44">
        <f t="shared" si="2"/>
        <v>4.3345752013763089E-2</v>
      </c>
      <c r="O135" s="44">
        <f>Table2[[#This Row],[Shares]]/Table2[[#This Row],[Impressions]]</f>
        <v>4.4092012168028168E-3</v>
      </c>
      <c r="P135">
        <f>(Table2[[#This Row],[Engagement Rate]]+Table2[[#This Row],[Click through rate]])*100</f>
        <v>4.7754953230565906</v>
      </c>
    </row>
    <row r="136" spans="1:16" x14ac:dyDescent="0.25">
      <c r="A136" t="s">
        <v>179</v>
      </c>
      <c r="B136" t="s">
        <v>14</v>
      </c>
      <c r="C136" s="43">
        <v>45624</v>
      </c>
      <c r="D136" t="s">
        <v>39</v>
      </c>
      <c r="E136" t="s">
        <v>48</v>
      </c>
      <c r="F136" t="s">
        <v>32</v>
      </c>
      <c r="G136">
        <v>19055</v>
      </c>
      <c r="H136">
        <v>443</v>
      </c>
      <c r="I136">
        <v>976</v>
      </c>
      <c r="J136">
        <v>869</v>
      </c>
      <c r="K136">
        <v>75437</v>
      </c>
      <c r="L136">
        <v>161863</v>
      </c>
      <c r="M136" t="s">
        <v>29</v>
      </c>
      <c r="N136" s="44">
        <f t="shared" si="2"/>
        <v>0.12648968572187591</v>
      </c>
      <c r="O136" s="44">
        <f>Table2[[#This Row],[Shares]]/Table2[[#This Row],[Impressions]]</f>
        <v>2.7368824252608686E-3</v>
      </c>
      <c r="P136">
        <f>(Table2[[#This Row],[Engagement Rate]]+Table2[[#This Row],[Click through rate]])*100</f>
        <v>12.92265681471368</v>
      </c>
    </row>
    <row r="137" spans="1:16" x14ac:dyDescent="0.25">
      <c r="A137" t="s">
        <v>180</v>
      </c>
      <c r="B137" t="s">
        <v>25</v>
      </c>
      <c r="C137" s="43">
        <v>45932</v>
      </c>
      <c r="D137" t="s">
        <v>39</v>
      </c>
      <c r="E137" t="s">
        <v>27</v>
      </c>
      <c r="F137" t="s">
        <v>28</v>
      </c>
      <c r="G137">
        <v>12161</v>
      </c>
      <c r="H137">
        <v>736</v>
      </c>
      <c r="I137">
        <v>876</v>
      </c>
      <c r="J137">
        <v>1233</v>
      </c>
      <c r="K137">
        <v>21337</v>
      </c>
      <c r="L137">
        <v>50225</v>
      </c>
      <c r="M137" t="s">
        <v>23</v>
      </c>
      <c r="N137" s="44">
        <f t="shared" si="2"/>
        <v>0.27422598307615731</v>
      </c>
      <c r="O137" s="44">
        <f>Table2[[#This Row],[Shares]]/Table2[[#This Row],[Impressions]]</f>
        <v>1.4654056744649079E-2</v>
      </c>
      <c r="P137">
        <f>(Table2[[#This Row],[Engagement Rate]]+Table2[[#This Row],[Click through rate]])*100</f>
        <v>28.88800398208064</v>
      </c>
    </row>
    <row r="138" spans="1:16" x14ac:dyDescent="0.25">
      <c r="A138" t="s">
        <v>181</v>
      </c>
      <c r="B138" t="s">
        <v>25</v>
      </c>
      <c r="C138" s="43">
        <v>45504</v>
      </c>
      <c r="D138" t="s">
        <v>39</v>
      </c>
      <c r="E138" t="s">
        <v>32</v>
      </c>
      <c r="F138" t="s">
        <v>33</v>
      </c>
      <c r="G138">
        <v>13314</v>
      </c>
      <c r="H138">
        <v>274</v>
      </c>
      <c r="I138">
        <v>626</v>
      </c>
      <c r="J138">
        <v>2280</v>
      </c>
      <c r="K138">
        <v>14639</v>
      </c>
      <c r="L138">
        <v>163008</v>
      </c>
      <c r="M138" t="s">
        <v>34</v>
      </c>
      <c r="N138" s="44">
        <f t="shared" si="2"/>
        <v>8.7198174322732622E-2</v>
      </c>
      <c r="O138" s="44">
        <f>Table2[[#This Row],[Shares]]/Table2[[#This Row],[Impressions]]</f>
        <v>1.6808990969768354E-3</v>
      </c>
      <c r="P138">
        <f>(Table2[[#This Row],[Engagement Rate]]+Table2[[#This Row],[Click through rate]])*100</f>
        <v>8.8879073419709442</v>
      </c>
    </row>
    <row r="139" spans="1:16" x14ac:dyDescent="0.25">
      <c r="A139" t="s">
        <v>182</v>
      </c>
      <c r="B139" t="s">
        <v>25</v>
      </c>
      <c r="C139" s="43">
        <v>45745</v>
      </c>
      <c r="D139" t="s">
        <v>39</v>
      </c>
      <c r="E139" t="s">
        <v>27</v>
      </c>
      <c r="F139" t="s">
        <v>28</v>
      </c>
      <c r="G139">
        <v>23508</v>
      </c>
      <c r="H139">
        <v>585</v>
      </c>
      <c r="I139">
        <v>743</v>
      </c>
      <c r="J139">
        <v>2155</v>
      </c>
      <c r="K139">
        <v>3704</v>
      </c>
      <c r="L139">
        <v>194268</v>
      </c>
      <c r="M139" t="s">
        <v>34</v>
      </c>
      <c r="N139" s="44">
        <f t="shared" si="2"/>
        <v>0.1278440093067309</v>
      </c>
      <c r="O139" s="44">
        <f>Table2[[#This Row],[Shares]]/Table2[[#This Row],[Impressions]]</f>
        <v>3.0113039718327257E-3</v>
      </c>
      <c r="P139">
        <f>(Table2[[#This Row],[Engagement Rate]]+Table2[[#This Row],[Click through rate]])*100</f>
        <v>13.085531327856362</v>
      </c>
    </row>
    <row r="140" spans="1:16" x14ac:dyDescent="0.25">
      <c r="A140" t="s">
        <v>183</v>
      </c>
      <c r="B140" t="s">
        <v>14</v>
      </c>
      <c r="C140" s="43">
        <v>45594</v>
      </c>
      <c r="D140" t="s">
        <v>26</v>
      </c>
      <c r="E140" t="s">
        <v>32</v>
      </c>
      <c r="F140" t="s">
        <v>57</v>
      </c>
      <c r="G140">
        <v>23969</v>
      </c>
      <c r="H140">
        <v>1433</v>
      </c>
      <c r="I140">
        <v>372</v>
      </c>
      <c r="J140">
        <v>1092</v>
      </c>
      <c r="K140">
        <v>32147</v>
      </c>
      <c r="L140">
        <v>145823</v>
      </c>
      <c r="M140" t="s">
        <v>29</v>
      </c>
      <c r="N140" s="44">
        <f t="shared" si="2"/>
        <v>0.17674852389540743</v>
      </c>
      <c r="O140" s="44">
        <f>Table2[[#This Row],[Shares]]/Table2[[#This Row],[Impressions]]</f>
        <v>9.8269820261549963E-3</v>
      </c>
      <c r="P140">
        <f>(Table2[[#This Row],[Engagement Rate]]+Table2[[#This Row],[Click through rate]])*100</f>
        <v>18.657550592156245</v>
      </c>
    </row>
    <row r="141" spans="1:16" x14ac:dyDescent="0.25">
      <c r="A141" t="s">
        <v>184</v>
      </c>
      <c r="B141" t="s">
        <v>25</v>
      </c>
      <c r="C141" s="43">
        <v>45488</v>
      </c>
      <c r="D141" t="s">
        <v>26</v>
      </c>
      <c r="E141" t="s">
        <v>40</v>
      </c>
      <c r="F141" t="s">
        <v>41</v>
      </c>
      <c r="G141">
        <v>14891</v>
      </c>
      <c r="H141">
        <v>674</v>
      </c>
      <c r="I141">
        <v>521</v>
      </c>
      <c r="J141">
        <v>1091</v>
      </c>
      <c r="K141">
        <v>18101</v>
      </c>
      <c r="L141">
        <v>53669</v>
      </c>
      <c r="M141" t="s">
        <v>18</v>
      </c>
      <c r="N141" s="44">
        <f t="shared" si="2"/>
        <v>0.29972609886526674</v>
      </c>
      <c r="O141" s="44">
        <f>Table2[[#This Row],[Shares]]/Table2[[#This Row],[Impressions]]</f>
        <v>1.2558460191171813E-2</v>
      </c>
      <c r="P141">
        <f>(Table2[[#This Row],[Engagement Rate]]+Table2[[#This Row],[Click through rate]])*100</f>
        <v>31.228455905643855</v>
      </c>
    </row>
    <row r="142" spans="1:16" x14ac:dyDescent="0.25">
      <c r="A142" t="s">
        <v>185</v>
      </c>
      <c r="B142" t="s">
        <v>20</v>
      </c>
      <c r="C142" s="43">
        <v>45933</v>
      </c>
      <c r="D142" t="s">
        <v>15</v>
      </c>
      <c r="E142" t="s">
        <v>48</v>
      </c>
      <c r="F142" t="s">
        <v>32</v>
      </c>
      <c r="G142">
        <v>6777</v>
      </c>
      <c r="H142">
        <v>617</v>
      </c>
      <c r="I142">
        <v>551</v>
      </c>
      <c r="J142">
        <v>2109</v>
      </c>
      <c r="K142">
        <v>18559</v>
      </c>
      <c r="L142">
        <v>208452</v>
      </c>
      <c r="M142" t="s">
        <v>23</v>
      </c>
      <c r="N142" s="44">
        <f t="shared" si="2"/>
        <v>3.8114290100358834E-2</v>
      </c>
      <c r="O142" s="44">
        <f>Table2[[#This Row],[Shares]]/Table2[[#This Row],[Impressions]]</f>
        <v>2.9599140329668221E-3</v>
      </c>
      <c r="P142">
        <f>(Table2[[#This Row],[Engagement Rate]]+Table2[[#This Row],[Click through rate]])*100</f>
        <v>4.1074204133325658</v>
      </c>
    </row>
    <row r="143" spans="1:16" x14ac:dyDescent="0.25">
      <c r="A143" t="s">
        <v>186</v>
      </c>
      <c r="B143" t="s">
        <v>25</v>
      </c>
      <c r="C143" s="43">
        <v>45741</v>
      </c>
      <c r="D143" t="s">
        <v>39</v>
      </c>
      <c r="E143" t="s">
        <v>27</v>
      </c>
      <c r="F143" t="s">
        <v>28</v>
      </c>
      <c r="G143">
        <v>5900</v>
      </c>
      <c r="H143">
        <v>546</v>
      </c>
      <c r="I143">
        <v>592</v>
      </c>
      <c r="J143">
        <v>1594</v>
      </c>
      <c r="K143">
        <v>38627</v>
      </c>
      <c r="L143">
        <v>164398</v>
      </c>
      <c r="M143" t="s">
        <v>52</v>
      </c>
      <c r="N143" s="44">
        <f t="shared" si="2"/>
        <v>4.2810739790021778E-2</v>
      </c>
      <c r="O143" s="44">
        <f>Table2[[#This Row],[Shares]]/Table2[[#This Row],[Impressions]]</f>
        <v>3.3212082872054404E-3</v>
      </c>
      <c r="P143">
        <f>(Table2[[#This Row],[Engagement Rate]]+Table2[[#This Row],[Click through rate]])*100</f>
        <v>4.6131948077227216</v>
      </c>
    </row>
    <row r="144" spans="1:16" x14ac:dyDescent="0.25">
      <c r="A144" t="s">
        <v>187</v>
      </c>
      <c r="B144" t="s">
        <v>20</v>
      </c>
      <c r="C144" s="43">
        <v>45567</v>
      </c>
      <c r="D144" t="s">
        <v>15</v>
      </c>
      <c r="E144" t="s">
        <v>27</v>
      </c>
      <c r="F144" t="s">
        <v>28</v>
      </c>
      <c r="G144">
        <v>15716</v>
      </c>
      <c r="H144">
        <v>839</v>
      </c>
      <c r="I144">
        <v>639</v>
      </c>
      <c r="J144">
        <v>2839</v>
      </c>
      <c r="K144">
        <v>349</v>
      </c>
      <c r="L144">
        <v>150677</v>
      </c>
      <c r="M144" t="s">
        <v>29</v>
      </c>
      <c r="N144" s="44">
        <f t="shared" si="2"/>
        <v>0.11411164278556117</v>
      </c>
      <c r="O144" s="44">
        <f>Table2[[#This Row],[Shares]]/Table2[[#This Row],[Impressions]]</f>
        <v>5.5682021808238814E-3</v>
      </c>
      <c r="P144">
        <f>(Table2[[#This Row],[Engagement Rate]]+Table2[[#This Row],[Click through rate]])*100</f>
        <v>11.967984496638504</v>
      </c>
    </row>
    <row r="145" spans="1:16" x14ac:dyDescent="0.25">
      <c r="A145" t="s">
        <v>188</v>
      </c>
      <c r="B145" t="s">
        <v>20</v>
      </c>
      <c r="C145" s="43">
        <v>45593</v>
      </c>
      <c r="D145" t="s">
        <v>39</v>
      </c>
      <c r="E145" t="s">
        <v>62</v>
      </c>
      <c r="F145" t="s">
        <v>37</v>
      </c>
      <c r="G145">
        <v>8981</v>
      </c>
      <c r="H145">
        <v>1138</v>
      </c>
      <c r="I145">
        <v>764</v>
      </c>
      <c r="J145">
        <v>2555</v>
      </c>
      <c r="K145">
        <v>92810</v>
      </c>
      <c r="L145">
        <v>88320</v>
      </c>
      <c r="M145" t="s">
        <v>52</v>
      </c>
      <c r="N145" s="44">
        <f t="shared" si="2"/>
        <v>0.1232223731884058</v>
      </c>
      <c r="O145" s="44">
        <f>Table2[[#This Row],[Shares]]/Table2[[#This Row],[Impressions]]</f>
        <v>1.2884963768115942E-2</v>
      </c>
      <c r="P145">
        <f>(Table2[[#This Row],[Engagement Rate]]+Table2[[#This Row],[Click through rate]])*100</f>
        <v>13.610733695652174</v>
      </c>
    </row>
    <row r="146" spans="1:16" x14ac:dyDescent="0.25">
      <c r="A146" t="s">
        <v>189</v>
      </c>
      <c r="B146" t="s">
        <v>20</v>
      </c>
      <c r="C146" s="43">
        <v>45516</v>
      </c>
      <c r="D146" t="s">
        <v>39</v>
      </c>
      <c r="E146" t="s">
        <v>21</v>
      </c>
      <c r="F146" t="s">
        <v>22</v>
      </c>
      <c r="G146">
        <v>8376</v>
      </c>
      <c r="H146">
        <v>1154</v>
      </c>
      <c r="I146">
        <v>422</v>
      </c>
      <c r="J146">
        <v>1907</v>
      </c>
      <c r="K146">
        <v>36874</v>
      </c>
      <c r="L146">
        <v>218486</v>
      </c>
      <c r="M146" t="s">
        <v>29</v>
      </c>
      <c r="N146" s="44">
        <f t="shared" si="2"/>
        <v>4.5549829279679245E-2</v>
      </c>
      <c r="O146" s="44">
        <f>Table2[[#This Row],[Shares]]/Table2[[#This Row],[Impressions]]</f>
        <v>5.2818029530496231E-3</v>
      </c>
      <c r="P146">
        <f>(Table2[[#This Row],[Engagement Rate]]+Table2[[#This Row],[Click through rate]])*100</f>
        <v>5.0831632232728863</v>
      </c>
    </row>
    <row r="147" spans="1:16" x14ac:dyDescent="0.25">
      <c r="A147" t="s">
        <v>190</v>
      </c>
      <c r="B147" t="s">
        <v>14</v>
      </c>
      <c r="C147" s="43">
        <v>45448</v>
      </c>
      <c r="D147" t="s">
        <v>26</v>
      </c>
      <c r="E147" t="s">
        <v>62</v>
      </c>
      <c r="F147" t="s">
        <v>37</v>
      </c>
      <c r="G147">
        <v>18907</v>
      </c>
      <c r="H147">
        <v>1075</v>
      </c>
      <c r="I147">
        <v>675</v>
      </c>
      <c r="J147">
        <v>1383</v>
      </c>
      <c r="K147">
        <v>17875</v>
      </c>
      <c r="L147">
        <v>186649</v>
      </c>
      <c r="M147" t="s">
        <v>18</v>
      </c>
      <c r="N147" s="44">
        <f t="shared" si="2"/>
        <v>0.11067297440650634</v>
      </c>
      <c r="O147" s="44">
        <f>Table2[[#This Row],[Shares]]/Table2[[#This Row],[Impressions]]</f>
        <v>5.7594736644718163E-3</v>
      </c>
      <c r="P147">
        <f>(Table2[[#This Row],[Engagement Rate]]+Table2[[#This Row],[Click through rate]])*100</f>
        <v>11.643244807097815</v>
      </c>
    </row>
    <row r="148" spans="1:16" x14ac:dyDescent="0.25">
      <c r="A148" t="s">
        <v>191</v>
      </c>
      <c r="B148" t="s">
        <v>14</v>
      </c>
      <c r="C148" s="43">
        <v>45586</v>
      </c>
      <c r="D148" t="s">
        <v>26</v>
      </c>
      <c r="E148" t="s">
        <v>48</v>
      </c>
      <c r="F148" t="s">
        <v>32</v>
      </c>
      <c r="G148">
        <v>20777</v>
      </c>
      <c r="H148">
        <v>962</v>
      </c>
      <c r="I148">
        <v>308</v>
      </c>
      <c r="J148">
        <v>2777</v>
      </c>
      <c r="K148">
        <v>25529</v>
      </c>
      <c r="L148">
        <v>165354</v>
      </c>
      <c r="M148" t="s">
        <v>18</v>
      </c>
      <c r="N148" s="44">
        <f t="shared" si="2"/>
        <v>0.13333212380710477</v>
      </c>
      <c r="O148" s="44">
        <f>Table2[[#This Row],[Shares]]/Table2[[#This Row],[Impressions]]</f>
        <v>5.8178211594518423E-3</v>
      </c>
      <c r="P148">
        <f>(Table2[[#This Row],[Engagement Rate]]+Table2[[#This Row],[Click through rate]])*100</f>
        <v>13.914994496655661</v>
      </c>
    </row>
    <row r="149" spans="1:16" x14ac:dyDescent="0.25">
      <c r="A149" t="s">
        <v>192</v>
      </c>
      <c r="B149" t="s">
        <v>14</v>
      </c>
      <c r="C149" s="43">
        <v>45762</v>
      </c>
      <c r="D149" t="s">
        <v>31</v>
      </c>
      <c r="E149" t="s">
        <v>48</v>
      </c>
      <c r="F149" t="s">
        <v>32</v>
      </c>
      <c r="G149">
        <v>20977</v>
      </c>
      <c r="H149">
        <v>1402</v>
      </c>
      <c r="I149">
        <v>301</v>
      </c>
      <c r="J149">
        <v>1284</v>
      </c>
      <c r="K149">
        <v>24620</v>
      </c>
      <c r="L149">
        <v>128009</v>
      </c>
      <c r="M149" t="s">
        <v>18</v>
      </c>
      <c r="N149" s="44">
        <f t="shared" si="2"/>
        <v>0.17717504237983267</v>
      </c>
      <c r="O149" s="44">
        <f>Table2[[#This Row],[Shares]]/Table2[[#This Row],[Impressions]]</f>
        <v>1.0952354912545212E-2</v>
      </c>
      <c r="P149">
        <f>(Table2[[#This Row],[Engagement Rate]]+Table2[[#This Row],[Click through rate]])*100</f>
        <v>18.812739729237787</v>
      </c>
    </row>
    <row r="150" spans="1:16" x14ac:dyDescent="0.25">
      <c r="A150" t="s">
        <v>193</v>
      </c>
      <c r="B150" t="s">
        <v>25</v>
      </c>
      <c r="C150" s="43">
        <v>45459</v>
      </c>
      <c r="D150" t="s">
        <v>26</v>
      </c>
      <c r="E150" t="s">
        <v>16</v>
      </c>
      <c r="F150" t="s">
        <v>17</v>
      </c>
      <c r="G150">
        <v>12160</v>
      </c>
      <c r="H150">
        <v>1405</v>
      </c>
      <c r="I150">
        <v>769</v>
      </c>
      <c r="J150">
        <v>1980</v>
      </c>
      <c r="K150">
        <v>33174</v>
      </c>
      <c r="L150">
        <v>226481</v>
      </c>
      <c r="M150" t="s">
        <v>18</v>
      </c>
      <c r="N150" s="44">
        <f t="shared" si="2"/>
        <v>6.329007731332871E-2</v>
      </c>
      <c r="O150" s="44">
        <f>Table2[[#This Row],[Shares]]/Table2[[#This Row],[Impressions]]</f>
        <v>6.2036108989275036E-3</v>
      </c>
      <c r="P150">
        <f>(Table2[[#This Row],[Engagement Rate]]+Table2[[#This Row],[Click through rate]])*100</f>
        <v>6.9493688212256206</v>
      </c>
    </row>
    <row r="151" spans="1:16" x14ac:dyDescent="0.25">
      <c r="A151" t="s">
        <v>194</v>
      </c>
      <c r="B151" t="s">
        <v>20</v>
      </c>
      <c r="C151" s="43">
        <v>45526</v>
      </c>
      <c r="D151" t="s">
        <v>31</v>
      </c>
      <c r="E151" t="s">
        <v>62</v>
      </c>
      <c r="F151" t="s">
        <v>37</v>
      </c>
      <c r="G151">
        <v>16124</v>
      </c>
      <c r="H151">
        <v>863</v>
      </c>
      <c r="I151">
        <v>337</v>
      </c>
      <c r="J151">
        <v>819</v>
      </c>
      <c r="K151">
        <v>85788</v>
      </c>
      <c r="L151">
        <v>68625</v>
      </c>
      <c r="M151" t="s">
        <v>34</v>
      </c>
      <c r="N151" s="44">
        <f t="shared" si="2"/>
        <v>0.25244444444444447</v>
      </c>
      <c r="O151" s="44">
        <f>Table2[[#This Row],[Shares]]/Table2[[#This Row],[Impressions]]</f>
        <v>1.257559198542805E-2</v>
      </c>
      <c r="P151">
        <f>(Table2[[#This Row],[Engagement Rate]]+Table2[[#This Row],[Click through rate]])*100</f>
        <v>26.502003642987255</v>
      </c>
    </row>
    <row r="152" spans="1:16" x14ac:dyDescent="0.25">
      <c r="A152" t="s">
        <v>195</v>
      </c>
      <c r="B152" t="s">
        <v>14</v>
      </c>
      <c r="C152" s="43">
        <v>45499</v>
      </c>
      <c r="D152" t="s">
        <v>31</v>
      </c>
      <c r="E152" t="s">
        <v>71</v>
      </c>
      <c r="G152">
        <v>18282</v>
      </c>
      <c r="H152">
        <v>224</v>
      </c>
      <c r="I152">
        <v>962</v>
      </c>
      <c r="J152">
        <v>890</v>
      </c>
      <c r="K152">
        <v>35105</v>
      </c>
      <c r="L152">
        <v>64089</v>
      </c>
      <c r="M152" t="s">
        <v>34</v>
      </c>
      <c r="N152" s="44">
        <f t="shared" si="2"/>
        <v>0.30376507669022768</v>
      </c>
      <c r="O152" s="44">
        <f>Table2[[#This Row],[Shares]]/Table2[[#This Row],[Impressions]]</f>
        <v>3.4951395715333363E-3</v>
      </c>
      <c r="P152">
        <f>(Table2[[#This Row],[Engagement Rate]]+Table2[[#This Row],[Click through rate]])*100</f>
        <v>30.726021626176102</v>
      </c>
    </row>
    <row r="153" spans="1:16" x14ac:dyDescent="0.25">
      <c r="A153" t="s">
        <v>196</v>
      </c>
      <c r="B153" t="s">
        <v>14</v>
      </c>
      <c r="C153" s="43">
        <v>45934</v>
      </c>
      <c r="D153" t="s">
        <v>31</v>
      </c>
      <c r="E153" t="s">
        <v>122</v>
      </c>
      <c r="F153" t="s">
        <v>123</v>
      </c>
      <c r="G153">
        <v>12488</v>
      </c>
      <c r="H153">
        <v>1403</v>
      </c>
      <c r="I153">
        <v>247</v>
      </c>
      <c r="J153">
        <v>1350</v>
      </c>
      <c r="K153">
        <v>28370</v>
      </c>
      <c r="L153">
        <v>76487</v>
      </c>
      <c r="M153" t="s">
        <v>23</v>
      </c>
      <c r="N153" s="44">
        <f t="shared" si="2"/>
        <v>0.18484186855282597</v>
      </c>
      <c r="O153" s="44">
        <f>Table2[[#This Row],[Shares]]/Table2[[#This Row],[Impressions]]</f>
        <v>1.8342986389844027E-2</v>
      </c>
      <c r="P153">
        <f>(Table2[[#This Row],[Engagement Rate]]+Table2[[#This Row],[Click through rate]])*100</f>
        <v>20.318485494266998</v>
      </c>
    </row>
    <row r="154" spans="1:16" x14ac:dyDescent="0.25">
      <c r="A154" t="s">
        <v>197</v>
      </c>
      <c r="B154" t="s">
        <v>25</v>
      </c>
      <c r="C154" s="43">
        <v>45658</v>
      </c>
      <c r="D154" t="s">
        <v>31</v>
      </c>
      <c r="E154" t="s">
        <v>21</v>
      </c>
      <c r="F154" t="s">
        <v>22</v>
      </c>
      <c r="G154">
        <v>24574</v>
      </c>
      <c r="H154">
        <v>909</v>
      </c>
      <c r="I154">
        <v>280</v>
      </c>
      <c r="J154">
        <v>2009</v>
      </c>
      <c r="K154">
        <v>6221</v>
      </c>
      <c r="L154">
        <v>236910</v>
      </c>
      <c r="M154" t="s">
        <v>52</v>
      </c>
      <c r="N154" s="44">
        <f t="shared" si="2"/>
        <v>0.10874593727575872</v>
      </c>
      <c r="O154" s="44">
        <f>Table2[[#This Row],[Shares]]/Table2[[#This Row],[Impressions]]</f>
        <v>3.8369000886412561E-3</v>
      </c>
      <c r="P154">
        <f>(Table2[[#This Row],[Engagement Rate]]+Table2[[#This Row],[Click through rate]])*100</f>
        <v>11.258283736439997</v>
      </c>
    </row>
    <row r="155" spans="1:16" x14ac:dyDescent="0.25">
      <c r="A155" t="s">
        <v>198</v>
      </c>
      <c r="B155" t="s">
        <v>14</v>
      </c>
      <c r="C155" s="43">
        <v>45574</v>
      </c>
      <c r="D155" t="s">
        <v>31</v>
      </c>
      <c r="E155" t="s">
        <v>48</v>
      </c>
      <c r="F155" t="s">
        <v>32</v>
      </c>
      <c r="G155">
        <v>7240</v>
      </c>
      <c r="H155">
        <v>1384</v>
      </c>
      <c r="I155">
        <v>954</v>
      </c>
      <c r="J155">
        <v>2335</v>
      </c>
      <c r="K155">
        <v>6757</v>
      </c>
      <c r="L155">
        <v>150448</v>
      </c>
      <c r="M155" t="s">
        <v>29</v>
      </c>
      <c r="N155" s="44">
        <f t="shared" si="2"/>
        <v>6.3663192598106988E-2</v>
      </c>
      <c r="O155" s="44">
        <f>Table2[[#This Row],[Shares]]/Table2[[#This Row],[Impressions]]</f>
        <v>9.1991917473146865E-3</v>
      </c>
      <c r="P155">
        <f>(Table2[[#This Row],[Engagement Rate]]+Table2[[#This Row],[Click through rate]])*100</f>
        <v>7.2862384345421676</v>
      </c>
    </row>
    <row r="156" spans="1:16" x14ac:dyDescent="0.25">
      <c r="A156" t="s">
        <v>199</v>
      </c>
      <c r="B156" t="s">
        <v>25</v>
      </c>
      <c r="C156" s="43">
        <v>45647</v>
      </c>
      <c r="D156" t="s">
        <v>15</v>
      </c>
      <c r="E156" t="s">
        <v>16</v>
      </c>
      <c r="F156" t="s">
        <v>17</v>
      </c>
      <c r="G156">
        <v>12453</v>
      </c>
      <c r="H156">
        <v>376</v>
      </c>
      <c r="I156">
        <v>320</v>
      </c>
      <c r="J156">
        <v>2546</v>
      </c>
      <c r="K156">
        <v>22617</v>
      </c>
      <c r="L156">
        <v>90138</v>
      </c>
      <c r="M156" t="s">
        <v>29</v>
      </c>
      <c r="N156" s="44">
        <f t="shared" si="2"/>
        <v>0.14587632297144379</v>
      </c>
      <c r="O156" s="44">
        <f>Table2[[#This Row],[Shares]]/Table2[[#This Row],[Impressions]]</f>
        <v>4.1713816592336191E-3</v>
      </c>
      <c r="P156">
        <f>(Table2[[#This Row],[Engagement Rate]]+Table2[[#This Row],[Click through rate]])*100</f>
        <v>15.004770463067739</v>
      </c>
    </row>
    <row r="157" spans="1:16" x14ac:dyDescent="0.25">
      <c r="A157" t="s">
        <v>200</v>
      </c>
      <c r="B157" t="s">
        <v>47</v>
      </c>
      <c r="C157" s="43">
        <v>45587</v>
      </c>
      <c r="D157" t="s">
        <v>26</v>
      </c>
      <c r="E157" t="s">
        <v>40</v>
      </c>
      <c r="F157" t="s">
        <v>41</v>
      </c>
      <c r="G157">
        <v>12478</v>
      </c>
      <c r="H157">
        <v>484</v>
      </c>
      <c r="I157">
        <v>332</v>
      </c>
      <c r="J157">
        <v>2734</v>
      </c>
      <c r="K157">
        <v>43338</v>
      </c>
      <c r="L157">
        <v>213895</v>
      </c>
      <c r="M157" t="s">
        <v>34</v>
      </c>
      <c r="N157" s="44">
        <f t="shared" si="2"/>
        <v>6.2151990462610156E-2</v>
      </c>
      <c r="O157" s="44">
        <f>Table2[[#This Row],[Shares]]/Table2[[#This Row],[Impressions]]</f>
        <v>2.262792491643096E-3</v>
      </c>
      <c r="P157">
        <f>(Table2[[#This Row],[Engagement Rate]]+Table2[[#This Row],[Click through rate]])*100</f>
        <v>6.4414782954253251</v>
      </c>
    </row>
    <row r="158" spans="1:16" x14ac:dyDescent="0.25">
      <c r="A158" t="s">
        <v>201</v>
      </c>
      <c r="B158" t="s">
        <v>14</v>
      </c>
      <c r="C158" s="43">
        <v>45496</v>
      </c>
      <c r="D158" t="s">
        <v>31</v>
      </c>
      <c r="E158" t="s">
        <v>62</v>
      </c>
      <c r="F158" t="s">
        <v>37</v>
      </c>
      <c r="G158">
        <v>24877</v>
      </c>
      <c r="H158">
        <v>262</v>
      </c>
      <c r="I158">
        <v>513</v>
      </c>
      <c r="J158">
        <v>648</v>
      </c>
      <c r="K158">
        <v>47544</v>
      </c>
      <c r="L158">
        <v>208280</v>
      </c>
      <c r="M158" t="s">
        <v>29</v>
      </c>
      <c r="N158" s="44">
        <f t="shared" si="2"/>
        <v>0.12316112924908777</v>
      </c>
      <c r="O158" s="44">
        <f>Table2[[#This Row],[Shares]]/Table2[[#This Row],[Impressions]]</f>
        <v>1.257922028039178E-3</v>
      </c>
      <c r="P158">
        <f>(Table2[[#This Row],[Engagement Rate]]+Table2[[#This Row],[Click through rate]])*100</f>
        <v>12.441905127712696</v>
      </c>
    </row>
    <row r="159" spans="1:16" x14ac:dyDescent="0.25">
      <c r="A159" t="s">
        <v>202</v>
      </c>
      <c r="B159" t="s">
        <v>47</v>
      </c>
      <c r="C159" s="43">
        <v>45515</v>
      </c>
      <c r="D159" t="s">
        <v>39</v>
      </c>
      <c r="E159" t="s">
        <v>21</v>
      </c>
      <c r="F159" t="s">
        <v>22</v>
      </c>
      <c r="G159">
        <v>14394</v>
      </c>
      <c r="H159">
        <v>1202</v>
      </c>
      <c r="I159">
        <v>188</v>
      </c>
      <c r="J159">
        <v>1259</v>
      </c>
      <c r="K159">
        <v>21925</v>
      </c>
      <c r="L159">
        <v>94061</v>
      </c>
      <c r="M159" t="s">
        <v>34</v>
      </c>
      <c r="N159" s="44">
        <f t="shared" si="2"/>
        <v>0.1678059982351878</v>
      </c>
      <c r="O159" s="44">
        <f>Table2[[#This Row],[Shares]]/Table2[[#This Row],[Impressions]]</f>
        <v>1.2778941325310171E-2</v>
      </c>
      <c r="P159">
        <f>(Table2[[#This Row],[Engagement Rate]]+Table2[[#This Row],[Click through rate]])*100</f>
        <v>18.058493956049798</v>
      </c>
    </row>
    <row r="160" spans="1:16" x14ac:dyDescent="0.25">
      <c r="A160" t="s">
        <v>203</v>
      </c>
      <c r="B160" t="s">
        <v>25</v>
      </c>
      <c r="C160" s="43">
        <v>45935</v>
      </c>
      <c r="D160" t="s">
        <v>26</v>
      </c>
      <c r="E160" t="s">
        <v>40</v>
      </c>
      <c r="F160" t="s">
        <v>41</v>
      </c>
      <c r="G160">
        <v>21262</v>
      </c>
      <c r="H160">
        <v>861</v>
      </c>
      <c r="I160">
        <v>676</v>
      </c>
      <c r="J160">
        <v>2263</v>
      </c>
      <c r="K160">
        <v>12085</v>
      </c>
      <c r="L160">
        <v>201731</v>
      </c>
      <c r="M160" t="s">
        <v>23</v>
      </c>
      <c r="N160" s="44">
        <f t="shared" si="2"/>
        <v>0.11301683925623726</v>
      </c>
      <c r="O160" s="44">
        <f>Table2[[#This Row],[Shares]]/Table2[[#This Row],[Impressions]]</f>
        <v>4.2680599412088377E-3</v>
      </c>
      <c r="P160">
        <f>(Table2[[#This Row],[Engagement Rate]]+Table2[[#This Row],[Click through rate]])*100</f>
        <v>11.728489919744609</v>
      </c>
    </row>
    <row r="161" spans="1:16" x14ac:dyDescent="0.25">
      <c r="A161" t="s">
        <v>204</v>
      </c>
      <c r="B161" t="s">
        <v>20</v>
      </c>
      <c r="C161" s="43">
        <v>45528</v>
      </c>
      <c r="D161" t="s">
        <v>26</v>
      </c>
      <c r="E161" t="s">
        <v>62</v>
      </c>
      <c r="F161" t="s">
        <v>37</v>
      </c>
      <c r="G161">
        <v>22527</v>
      </c>
      <c r="H161">
        <v>865</v>
      </c>
      <c r="I161">
        <v>646</v>
      </c>
      <c r="J161">
        <v>992</v>
      </c>
      <c r="K161">
        <v>18654</v>
      </c>
      <c r="L161">
        <v>141376</v>
      </c>
      <c r="M161" t="s">
        <v>52</v>
      </c>
      <c r="N161" s="44">
        <f t="shared" si="2"/>
        <v>0.17002885921231325</v>
      </c>
      <c r="O161" s="44">
        <f>Table2[[#This Row],[Shares]]/Table2[[#This Row],[Impressions]]</f>
        <v>6.1184359438660029E-3</v>
      </c>
      <c r="P161">
        <f>(Table2[[#This Row],[Engagement Rate]]+Table2[[#This Row],[Click through rate]])*100</f>
        <v>17.614729515617924</v>
      </c>
    </row>
    <row r="162" spans="1:16" x14ac:dyDescent="0.25">
      <c r="A162" t="s">
        <v>205</v>
      </c>
      <c r="B162" t="s">
        <v>14</v>
      </c>
      <c r="C162" s="43">
        <v>45936</v>
      </c>
      <c r="D162" t="s">
        <v>31</v>
      </c>
      <c r="E162" t="s">
        <v>27</v>
      </c>
      <c r="F162" t="s">
        <v>28</v>
      </c>
      <c r="G162">
        <v>22028</v>
      </c>
      <c r="H162">
        <v>355</v>
      </c>
      <c r="I162">
        <v>665</v>
      </c>
      <c r="J162">
        <v>1859</v>
      </c>
      <c r="K162">
        <v>50565</v>
      </c>
      <c r="L162">
        <v>202962</v>
      </c>
      <c r="M162" t="s">
        <v>23</v>
      </c>
      <c r="N162" s="44">
        <f t="shared" si="2"/>
        <v>0.11355820301337197</v>
      </c>
      <c r="O162" s="44">
        <f>Table2[[#This Row],[Shares]]/Table2[[#This Row],[Impressions]]</f>
        <v>1.7490958898710104E-3</v>
      </c>
      <c r="P162">
        <f>(Table2[[#This Row],[Engagement Rate]]+Table2[[#This Row],[Click through rate]])*100</f>
        <v>11.530729890324299</v>
      </c>
    </row>
    <row r="163" spans="1:16" x14ac:dyDescent="0.25">
      <c r="A163" t="s">
        <v>206</v>
      </c>
      <c r="B163" t="s">
        <v>25</v>
      </c>
      <c r="C163" s="43">
        <v>45748</v>
      </c>
      <c r="D163" t="s">
        <v>15</v>
      </c>
      <c r="E163" t="s">
        <v>40</v>
      </c>
      <c r="F163" t="s">
        <v>41</v>
      </c>
      <c r="G163">
        <v>6432</v>
      </c>
      <c r="H163">
        <v>1272</v>
      </c>
      <c r="I163">
        <v>498</v>
      </c>
      <c r="J163">
        <v>677</v>
      </c>
      <c r="K163">
        <v>47305</v>
      </c>
      <c r="L163">
        <v>119134</v>
      </c>
      <c r="M163" t="s">
        <v>18</v>
      </c>
      <c r="N163" s="44">
        <f t="shared" si="2"/>
        <v>6.8846844729464299E-2</v>
      </c>
      <c r="O163" s="44">
        <f>Table2[[#This Row],[Shares]]/Table2[[#This Row],[Impressions]]</f>
        <v>1.0677052730538721E-2</v>
      </c>
      <c r="P163">
        <f>(Table2[[#This Row],[Engagement Rate]]+Table2[[#This Row],[Click through rate]])*100</f>
        <v>7.9523897460003017</v>
      </c>
    </row>
    <row r="164" spans="1:16" x14ac:dyDescent="0.25">
      <c r="A164" t="s">
        <v>207</v>
      </c>
      <c r="B164" t="s">
        <v>20</v>
      </c>
      <c r="C164" s="43">
        <v>45755</v>
      </c>
      <c r="D164" t="s">
        <v>31</v>
      </c>
      <c r="E164" t="s">
        <v>16</v>
      </c>
      <c r="F164" t="s">
        <v>17</v>
      </c>
      <c r="G164">
        <v>15568</v>
      </c>
      <c r="H164">
        <v>1166</v>
      </c>
      <c r="I164">
        <v>546</v>
      </c>
      <c r="J164">
        <v>826</v>
      </c>
      <c r="K164">
        <v>21836</v>
      </c>
      <c r="L164">
        <v>87055</v>
      </c>
      <c r="M164" t="s">
        <v>18</v>
      </c>
      <c r="N164" s="44">
        <f t="shared" si="2"/>
        <v>0.19849520418126471</v>
      </c>
      <c r="O164" s="44">
        <f>Table2[[#This Row],[Shares]]/Table2[[#This Row],[Impressions]]</f>
        <v>1.3393831485842283E-2</v>
      </c>
      <c r="P164">
        <f>(Table2[[#This Row],[Engagement Rate]]+Table2[[#This Row],[Click through rate]])*100</f>
        <v>21.1889035667107</v>
      </c>
    </row>
    <row r="165" spans="1:16" x14ac:dyDescent="0.25">
      <c r="A165" t="s">
        <v>208</v>
      </c>
      <c r="B165" t="s">
        <v>20</v>
      </c>
      <c r="C165" s="43">
        <v>45715</v>
      </c>
      <c r="D165" t="s">
        <v>15</v>
      </c>
      <c r="E165" t="s">
        <v>21</v>
      </c>
      <c r="F165" t="s">
        <v>22</v>
      </c>
      <c r="G165">
        <v>16178</v>
      </c>
      <c r="H165">
        <v>1048</v>
      </c>
      <c r="I165">
        <v>871</v>
      </c>
      <c r="J165">
        <v>2553</v>
      </c>
      <c r="K165">
        <v>39025</v>
      </c>
      <c r="L165">
        <v>59508</v>
      </c>
      <c r="M165" t="s">
        <v>18</v>
      </c>
      <c r="N165" s="44">
        <f t="shared" si="2"/>
        <v>0.30411037171472743</v>
      </c>
      <c r="O165" s="44">
        <f>Table2[[#This Row],[Shares]]/Table2[[#This Row],[Impressions]]</f>
        <v>1.7611077502184581E-2</v>
      </c>
      <c r="P165">
        <f>(Table2[[#This Row],[Engagement Rate]]+Table2[[#This Row],[Click through rate]])*100</f>
        <v>32.172144921691206</v>
      </c>
    </row>
    <row r="166" spans="1:16" x14ac:dyDescent="0.25">
      <c r="A166" t="s">
        <v>209</v>
      </c>
      <c r="B166" t="s">
        <v>47</v>
      </c>
      <c r="C166" s="43">
        <v>45937</v>
      </c>
      <c r="D166" t="s">
        <v>39</v>
      </c>
      <c r="E166" t="s">
        <v>43</v>
      </c>
      <c r="F166" t="s">
        <v>44</v>
      </c>
      <c r="G166">
        <v>19660</v>
      </c>
      <c r="H166">
        <v>1307</v>
      </c>
      <c r="I166">
        <v>310</v>
      </c>
      <c r="J166">
        <v>2802</v>
      </c>
      <c r="K166">
        <v>22171</v>
      </c>
      <c r="L166">
        <v>213359</v>
      </c>
      <c r="M166" t="s">
        <v>23</v>
      </c>
      <c r="N166" s="44">
        <f t="shared" si="2"/>
        <v>9.9723939463533293E-2</v>
      </c>
      <c r="O166" s="44">
        <f>Table2[[#This Row],[Shares]]/Table2[[#This Row],[Impressions]]</f>
        <v>6.1258254866211406E-3</v>
      </c>
      <c r="P166">
        <f>(Table2[[#This Row],[Engagement Rate]]+Table2[[#This Row],[Click through rate]])*100</f>
        <v>10.584976495015445</v>
      </c>
    </row>
    <row r="167" spans="1:16" x14ac:dyDescent="0.25">
      <c r="A167" t="s">
        <v>210</v>
      </c>
      <c r="B167" t="s">
        <v>25</v>
      </c>
      <c r="C167" s="43">
        <v>45704</v>
      </c>
      <c r="D167" t="s">
        <v>26</v>
      </c>
      <c r="E167" t="s">
        <v>32</v>
      </c>
      <c r="F167" t="s">
        <v>57</v>
      </c>
      <c r="G167">
        <v>24195</v>
      </c>
      <c r="H167">
        <v>888</v>
      </c>
      <c r="I167">
        <v>165</v>
      </c>
      <c r="J167">
        <v>1559</v>
      </c>
      <c r="K167">
        <v>11596</v>
      </c>
      <c r="L167">
        <v>249988</v>
      </c>
      <c r="M167" t="s">
        <v>29</v>
      </c>
      <c r="N167" s="44">
        <f t="shared" si="2"/>
        <v>0.10099684784869674</v>
      </c>
      <c r="O167" s="44">
        <f>Table2[[#This Row],[Shares]]/Table2[[#This Row],[Impressions]]</f>
        <v>3.5521705041842008E-3</v>
      </c>
      <c r="P167">
        <f>(Table2[[#This Row],[Engagement Rate]]+Table2[[#This Row],[Click through rate]])*100</f>
        <v>10.454901835288094</v>
      </c>
    </row>
    <row r="168" spans="1:16" x14ac:dyDescent="0.25">
      <c r="A168" t="s">
        <v>211</v>
      </c>
      <c r="B168" t="s">
        <v>20</v>
      </c>
      <c r="C168" s="43">
        <v>45624</v>
      </c>
      <c r="D168" t="s">
        <v>39</v>
      </c>
      <c r="E168" t="s">
        <v>32</v>
      </c>
      <c r="F168" t="s">
        <v>57</v>
      </c>
      <c r="G168">
        <v>2302</v>
      </c>
      <c r="H168">
        <v>347</v>
      </c>
      <c r="I168">
        <v>642</v>
      </c>
      <c r="J168">
        <v>2175</v>
      </c>
      <c r="K168">
        <v>56378</v>
      </c>
      <c r="L168">
        <v>198056</v>
      </c>
      <c r="M168" t="s">
        <v>52</v>
      </c>
      <c r="N168" s="44">
        <f t="shared" si="2"/>
        <v>1.6616512501514722E-2</v>
      </c>
      <c r="O168" s="44">
        <f>Table2[[#This Row],[Shares]]/Table2[[#This Row],[Impressions]]</f>
        <v>1.752029728965545E-3</v>
      </c>
      <c r="P168">
        <f>(Table2[[#This Row],[Engagement Rate]]+Table2[[#This Row],[Click through rate]])*100</f>
        <v>1.8368542230480269</v>
      </c>
    </row>
    <row r="169" spans="1:16" x14ac:dyDescent="0.25">
      <c r="A169" t="s">
        <v>212</v>
      </c>
      <c r="B169" t="s">
        <v>14</v>
      </c>
      <c r="C169" s="43">
        <v>45608</v>
      </c>
      <c r="D169" t="s">
        <v>15</v>
      </c>
      <c r="E169" t="s">
        <v>21</v>
      </c>
      <c r="F169" t="s">
        <v>22</v>
      </c>
      <c r="G169">
        <v>19022</v>
      </c>
      <c r="H169">
        <v>541</v>
      </c>
      <c r="I169">
        <v>575</v>
      </c>
      <c r="J169">
        <v>2063</v>
      </c>
      <c r="K169">
        <v>42743</v>
      </c>
      <c r="L169">
        <v>150169</v>
      </c>
      <c r="M169" t="s">
        <v>18</v>
      </c>
      <c r="N169" s="44">
        <f t="shared" si="2"/>
        <v>0.13410224480418728</v>
      </c>
      <c r="O169" s="44">
        <f>Table2[[#This Row],[Shares]]/Table2[[#This Row],[Impressions]]</f>
        <v>3.6026077286257481E-3</v>
      </c>
      <c r="P169">
        <f>(Table2[[#This Row],[Engagement Rate]]+Table2[[#This Row],[Click through rate]])*100</f>
        <v>13.770485253281302</v>
      </c>
    </row>
    <row r="170" spans="1:16" x14ac:dyDescent="0.25">
      <c r="A170" t="s">
        <v>213</v>
      </c>
      <c r="B170" t="s">
        <v>14</v>
      </c>
      <c r="C170" s="43">
        <v>45629</v>
      </c>
      <c r="D170" t="s">
        <v>15</v>
      </c>
      <c r="E170" t="s">
        <v>40</v>
      </c>
      <c r="F170" t="s">
        <v>41</v>
      </c>
      <c r="G170">
        <v>2055</v>
      </c>
      <c r="H170">
        <v>675</v>
      </c>
      <c r="I170">
        <v>257</v>
      </c>
      <c r="J170">
        <v>820</v>
      </c>
      <c r="K170">
        <v>33534</v>
      </c>
      <c r="L170">
        <v>48125</v>
      </c>
      <c r="M170" t="s">
        <v>18</v>
      </c>
      <c r="N170" s="44">
        <f t="shared" si="2"/>
        <v>6.2067532467532466E-2</v>
      </c>
      <c r="O170" s="44">
        <f>Table2[[#This Row],[Shares]]/Table2[[#This Row],[Impressions]]</f>
        <v>1.4025974025974027E-2</v>
      </c>
      <c r="P170">
        <f>(Table2[[#This Row],[Engagement Rate]]+Table2[[#This Row],[Click through rate]])*100</f>
        <v>7.6093506493506489</v>
      </c>
    </row>
    <row r="171" spans="1:16" x14ac:dyDescent="0.25">
      <c r="A171" t="s">
        <v>214</v>
      </c>
      <c r="B171" t="s">
        <v>47</v>
      </c>
      <c r="C171" s="43">
        <v>45775</v>
      </c>
      <c r="D171" t="s">
        <v>39</v>
      </c>
      <c r="E171" t="s">
        <v>62</v>
      </c>
      <c r="F171" t="s">
        <v>37</v>
      </c>
      <c r="G171">
        <v>15013</v>
      </c>
      <c r="H171">
        <v>1286</v>
      </c>
      <c r="I171">
        <v>599</v>
      </c>
      <c r="J171">
        <v>2001</v>
      </c>
      <c r="K171">
        <v>67839</v>
      </c>
      <c r="L171">
        <v>76059</v>
      </c>
      <c r="M171" t="s">
        <v>18</v>
      </c>
      <c r="N171" s="44">
        <f t="shared" si="2"/>
        <v>0.22216963147030594</v>
      </c>
      <c r="O171" s="44">
        <f>Table2[[#This Row],[Shares]]/Table2[[#This Row],[Impressions]]</f>
        <v>1.6907926741082581E-2</v>
      </c>
      <c r="P171">
        <f>(Table2[[#This Row],[Engagement Rate]]+Table2[[#This Row],[Click through rate]])*100</f>
        <v>23.907755821138853</v>
      </c>
    </row>
    <row r="172" spans="1:16" x14ac:dyDescent="0.25">
      <c r="A172" t="s">
        <v>215</v>
      </c>
      <c r="B172" t="s">
        <v>20</v>
      </c>
      <c r="C172" s="43">
        <v>45657</v>
      </c>
      <c r="D172" t="s">
        <v>15</v>
      </c>
      <c r="E172" t="s">
        <v>16</v>
      </c>
      <c r="F172" t="s">
        <v>17</v>
      </c>
      <c r="G172">
        <v>10717</v>
      </c>
      <c r="H172">
        <v>760</v>
      </c>
      <c r="I172">
        <v>460</v>
      </c>
      <c r="J172">
        <v>1316</v>
      </c>
      <c r="K172">
        <v>18164</v>
      </c>
      <c r="L172">
        <v>240641</v>
      </c>
      <c r="M172" t="s">
        <v>52</v>
      </c>
      <c r="N172" s="44">
        <f t="shared" si="2"/>
        <v>4.9605013277039242E-2</v>
      </c>
      <c r="O172" s="44">
        <f>Table2[[#This Row],[Shares]]/Table2[[#This Row],[Impressions]]</f>
        <v>3.1582315565510449E-3</v>
      </c>
      <c r="P172">
        <f>(Table2[[#This Row],[Engagement Rate]]+Table2[[#This Row],[Click through rate]])*100</f>
        <v>5.276324483359029</v>
      </c>
    </row>
    <row r="173" spans="1:16" x14ac:dyDescent="0.25">
      <c r="A173" t="s">
        <v>216</v>
      </c>
      <c r="B173" t="s">
        <v>25</v>
      </c>
      <c r="C173" s="43">
        <v>45518</v>
      </c>
      <c r="D173" t="s">
        <v>39</v>
      </c>
      <c r="E173" t="s">
        <v>122</v>
      </c>
      <c r="F173" t="s">
        <v>123</v>
      </c>
      <c r="G173">
        <v>10150</v>
      </c>
      <c r="H173">
        <v>526</v>
      </c>
      <c r="I173">
        <v>888</v>
      </c>
      <c r="J173">
        <v>1313</v>
      </c>
      <c r="K173">
        <v>51605</v>
      </c>
      <c r="L173">
        <v>143409</v>
      </c>
      <c r="M173" t="s">
        <v>18</v>
      </c>
      <c r="N173" s="44">
        <f t="shared" si="2"/>
        <v>8.0636501195880311E-2</v>
      </c>
      <c r="O173" s="44">
        <f>Table2[[#This Row],[Shares]]/Table2[[#This Row],[Impressions]]</f>
        <v>3.6678311681972542E-3</v>
      </c>
      <c r="P173">
        <f>(Table2[[#This Row],[Engagement Rate]]+Table2[[#This Row],[Click through rate]])*100</f>
        <v>8.4304332364077563</v>
      </c>
    </row>
    <row r="174" spans="1:16" x14ac:dyDescent="0.25">
      <c r="A174" t="s">
        <v>217</v>
      </c>
      <c r="B174" t="s">
        <v>14</v>
      </c>
      <c r="C174" s="43">
        <v>45631</v>
      </c>
      <c r="D174" t="s">
        <v>26</v>
      </c>
      <c r="E174" t="s">
        <v>32</v>
      </c>
      <c r="F174" t="s">
        <v>57</v>
      </c>
      <c r="G174">
        <v>4125</v>
      </c>
      <c r="H174">
        <v>1364</v>
      </c>
      <c r="I174">
        <v>319</v>
      </c>
      <c r="J174">
        <v>2848</v>
      </c>
      <c r="K174">
        <v>15379</v>
      </c>
      <c r="L174">
        <v>188159</v>
      </c>
      <c r="M174" t="s">
        <v>52</v>
      </c>
      <c r="N174" s="44">
        <f t="shared" si="2"/>
        <v>3.0867510988047343E-2</v>
      </c>
      <c r="O174" s="44">
        <f>Table2[[#This Row],[Shares]]/Table2[[#This Row],[Impressions]]</f>
        <v>7.2491881865868763E-3</v>
      </c>
      <c r="P174">
        <f>(Table2[[#This Row],[Engagement Rate]]+Table2[[#This Row],[Click through rate]])*100</f>
        <v>3.8116699174634219</v>
      </c>
    </row>
    <row r="175" spans="1:16" x14ac:dyDescent="0.25">
      <c r="A175" t="s">
        <v>218</v>
      </c>
      <c r="B175" t="s">
        <v>20</v>
      </c>
      <c r="C175" s="43">
        <v>45465</v>
      </c>
      <c r="D175" t="s">
        <v>39</v>
      </c>
      <c r="E175" t="s">
        <v>16</v>
      </c>
      <c r="F175" t="s">
        <v>17</v>
      </c>
      <c r="G175">
        <v>13479</v>
      </c>
      <c r="H175">
        <v>1189</v>
      </c>
      <c r="I175">
        <v>695</v>
      </c>
      <c r="J175">
        <v>416</v>
      </c>
      <c r="K175">
        <v>30229</v>
      </c>
      <c r="L175">
        <v>45704</v>
      </c>
      <c r="M175" t="s">
        <v>18</v>
      </c>
      <c r="N175" s="44">
        <f t="shared" si="2"/>
        <v>0.33614125678277612</v>
      </c>
      <c r="O175" s="44">
        <f>Table2[[#This Row],[Shares]]/Table2[[#This Row],[Impressions]]</f>
        <v>2.6015228426395941E-2</v>
      </c>
      <c r="P175">
        <f>(Table2[[#This Row],[Engagement Rate]]+Table2[[#This Row],[Click through rate]])*100</f>
        <v>36.215648520917206</v>
      </c>
    </row>
    <row r="176" spans="1:16" x14ac:dyDescent="0.25">
      <c r="A176" t="s">
        <v>219</v>
      </c>
      <c r="B176" t="s">
        <v>20</v>
      </c>
      <c r="C176" s="43">
        <v>45938</v>
      </c>
      <c r="D176" t="s">
        <v>26</v>
      </c>
      <c r="E176" t="s">
        <v>32</v>
      </c>
      <c r="F176" t="s">
        <v>57</v>
      </c>
      <c r="G176">
        <v>17745</v>
      </c>
      <c r="H176">
        <v>414</v>
      </c>
      <c r="I176">
        <v>563</v>
      </c>
      <c r="J176">
        <v>2733</v>
      </c>
      <c r="K176">
        <v>995</v>
      </c>
      <c r="L176">
        <v>231648</v>
      </c>
      <c r="M176" t="s">
        <v>23</v>
      </c>
      <c r="N176" s="44">
        <f t="shared" si="2"/>
        <v>8.0820900676889074E-2</v>
      </c>
      <c r="O176" s="44">
        <f>Table2[[#This Row],[Shares]]/Table2[[#This Row],[Impressions]]</f>
        <v>1.787194363862412E-3</v>
      </c>
      <c r="P176">
        <f>(Table2[[#This Row],[Engagement Rate]]+Table2[[#This Row],[Click through rate]])*100</f>
        <v>8.2608095040751497</v>
      </c>
    </row>
    <row r="177" spans="1:16" x14ac:dyDescent="0.25">
      <c r="A177" t="s">
        <v>220</v>
      </c>
      <c r="B177" t="s">
        <v>47</v>
      </c>
      <c r="C177" s="43">
        <v>45939</v>
      </c>
      <c r="D177" t="s">
        <v>39</v>
      </c>
      <c r="E177" t="s">
        <v>27</v>
      </c>
      <c r="F177" t="s">
        <v>28</v>
      </c>
      <c r="G177">
        <v>18748</v>
      </c>
      <c r="H177">
        <v>634</v>
      </c>
      <c r="I177">
        <v>400</v>
      </c>
      <c r="J177">
        <v>1667</v>
      </c>
      <c r="K177">
        <v>75813</v>
      </c>
      <c r="L177">
        <v>244456</v>
      </c>
      <c r="M177" t="s">
        <v>23</v>
      </c>
      <c r="N177" s="44">
        <f t="shared" si="2"/>
        <v>8.0922538207284747E-2</v>
      </c>
      <c r="O177" s="44">
        <f>Table2[[#This Row],[Shares]]/Table2[[#This Row],[Impressions]]</f>
        <v>2.5935137611676541E-3</v>
      </c>
      <c r="P177">
        <f>(Table2[[#This Row],[Engagement Rate]]+Table2[[#This Row],[Click through rate]])*100</f>
        <v>8.3516051968452398</v>
      </c>
    </row>
    <row r="178" spans="1:16" x14ac:dyDescent="0.25">
      <c r="A178" t="s">
        <v>221</v>
      </c>
      <c r="B178" t="s">
        <v>14</v>
      </c>
      <c r="C178" s="43">
        <v>45483</v>
      </c>
      <c r="D178" t="s">
        <v>15</v>
      </c>
      <c r="E178" t="s">
        <v>62</v>
      </c>
      <c r="F178" t="s">
        <v>37</v>
      </c>
      <c r="G178">
        <v>8809</v>
      </c>
      <c r="H178">
        <v>1151</v>
      </c>
      <c r="I178">
        <v>908</v>
      </c>
      <c r="J178">
        <v>883</v>
      </c>
      <c r="K178">
        <v>42921</v>
      </c>
      <c r="L178">
        <v>151279</v>
      </c>
      <c r="M178" t="s">
        <v>52</v>
      </c>
      <c r="N178" s="44">
        <f t="shared" si="2"/>
        <v>7.1840771025720687E-2</v>
      </c>
      <c r="O178" s="44">
        <f>Table2[[#This Row],[Shares]]/Table2[[#This Row],[Impressions]]</f>
        <v>7.6084585434858772E-3</v>
      </c>
      <c r="P178">
        <f>(Table2[[#This Row],[Engagement Rate]]+Table2[[#This Row],[Click through rate]])*100</f>
        <v>7.9449229569206565</v>
      </c>
    </row>
    <row r="179" spans="1:16" x14ac:dyDescent="0.25">
      <c r="A179" t="s">
        <v>222</v>
      </c>
      <c r="B179" t="s">
        <v>14</v>
      </c>
      <c r="C179" s="43">
        <v>45940</v>
      </c>
      <c r="D179" t="s">
        <v>39</v>
      </c>
      <c r="E179" t="s">
        <v>27</v>
      </c>
      <c r="F179" t="s">
        <v>28</v>
      </c>
      <c r="G179">
        <v>6621</v>
      </c>
      <c r="H179">
        <v>922</v>
      </c>
      <c r="I179">
        <v>930</v>
      </c>
      <c r="J179">
        <v>694</v>
      </c>
      <c r="K179">
        <v>839</v>
      </c>
      <c r="L179">
        <v>243532</v>
      </c>
      <c r="M179" t="s">
        <v>23</v>
      </c>
      <c r="N179" s="44">
        <f t="shared" si="2"/>
        <v>3.479214230573395E-2</v>
      </c>
      <c r="O179" s="44">
        <f>Table2[[#This Row],[Shares]]/Table2[[#This Row],[Impressions]]</f>
        <v>3.7859501010134191E-3</v>
      </c>
      <c r="P179">
        <f>(Table2[[#This Row],[Engagement Rate]]+Table2[[#This Row],[Click through rate]])*100</f>
        <v>3.8578092406747366</v>
      </c>
    </row>
    <row r="180" spans="1:16" x14ac:dyDescent="0.25">
      <c r="A180" t="s">
        <v>223</v>
      </c>
      <c r="B180" t="s">
        <v>25</v>
      </c>
      <c r="C180" s="43">
        <v>45488</v>
      </c>
      <c r="D180" t="s">
        <v>15</v>
      </c>
      <c r="E180" t="s">
        <v>32</v>
      </c>
      <c r="F180" t="s">
        <v>57</v>
      </c>
      <c r="G180">
        <v>17034</v>
      </c>
      <c r="H180">
        <v>231</v>
      </c>
      <c r="I180">
        <v>290</v>
      </c>
      <c r="J180">
        <v>1387</v>
      </c>
      <c r="K180">
        <v>63550</v>
      </c>
      <c r="L180">
        <v>198280</v>
      </c>
      <c r="M180" t="s">
        <v>52</v>
      </c>
      <c r="N180" s="44">
        <f t="shared" si="2"/>
        <v>8.8536413153116805E-2</v>
      </c>
      <c r="O180" s="44">
        <f>Table2[[#This Row],[Shares]]/Table2[[#This Row],[Impressions]]</f>
        <v>1.1650191648174299E-3</v>
      </c>
      <c r="P180">
        <f>(Table2[[#This Row],[Engagement Rate]]+Table2[[#This Row],[Click through rate]])*100</f>
        <v>8.9701432317934238</v>
      </c>
    </row>
    <row r="181" spans="1:16" x14ac:dyDescent="0.25">
      <c r="A181" t="s">
        <v>224</v>
      </c>
      <c r="B181" t="s">
        <v>14</v>
      </c>
      <c r="C181" s="43">
        <v>45941</v>
      </c>
      <c r="D181" t="s">
        <v>39</v>
      </c>
      <c r="E181" t="s">
        <v>43</v>
      </c>
      <c r="F181" t="s">
        <v>44</v>
      </c>
      <c r="G181">
        <v>15623</v>
      </c>
      <c r="H181">
        <v>869</v>
      </c>
      <c r="I181">
        <v>423</v>
      </c>
      <c r="J181">
        <v>371</v>
      </c>
      <c r="K181">
        <v>47579</v>
      </c>
      <c r="L181">
        <v>158516</v>
      </c>
      <c r="M181" t="s">
        <v>23</v>
      </c>
      <c r="N181" s="44">
        <f t="shared" si="2"/>
        <v>0.10670847106916652</v>
      </c>
      <c r="O181" s="44">
        <f>Table2[[#This Row],[Shares]]/Table2[[#This Row],[Impressions]]</f>
        <v>5.4820964445229502E-3</v>
      </c>
      <c r="P181">
        <f>(Table2[[#This Row],[Engagement Rate]]+Table2[[#This Row],[Click through rate]])*100</f>
        <v>11.219056751368948</v>
      </c>
    </row>
    <row r="182" spans="1:16" x14ac:dyDescent="0.25">
      <c r="A182" t="s">
        <v>225</v>
      </c>
      <c r="B182" t="s">
        <v>25</v>
      </c>
      <c r="C182" s="43">
        <v>45942</v>
      </c>
      <c r="D182" t="s">
        <v>39</v>
      </c>
      <c r="E182" t="s">
        <v>43</v>
      </c>
      <c r="F182" t="s">
        <v>44</v>
      </c>
      <c r="G182">
        <v>7126</v>
      </c>
      <c r="H182">
        <v>484</v>
      </c>
      <c r="I182">
        <v>565</v>
      </c>
      <c r="J182">
        <v>573</v>
      </c>
      <c r="K182">
        <v>7389</v>
      </c>
      <c r="L182">
        <v>237096</v>
      </c>
      <c r="M182" t="s">
        <v>23</v>
      </c>
      <c r="N182" s="44">
        <f t="shared" si="2"/>
        <v>3.4479704423524646E-2</v>
      </c>
      <c r="O182" s="44">
        <f>Table2[[#This Row],[Shares]]/Table2[[#This Row],[Impressions]]</f>
        <v>2.0413672099065358E-3</v>
      </c>
      <c r="P182">
        <f>(Table2[[#This Row],[Engagement Rate]]+Table2[[#This Row],[Click through rate]])*100</f>
        <v>3.6521071633431186</v>
      </c>
    </row>
    <row r="183" spans="1:16" x14ac:dyDescent="0.25">
      <c r="A183" t="s">
        <v>226</v>
      </c>
      <c r="B183" t="s">
        <v>14</v>
      </c>
      <c r="C183" s="43">
        <v>45504</v>
      </c>
      <c r="D183" t="s">
        <v>31</v>
      </c>
      <c r="E183" t="s">
        <v>27</v>
      </c>
      <c r="F183" t="s">
        <v>28</v>
      </c>
      <c r="G183">
        <v>7122</v>
      </c>
      <c r="H183">
        <v>628</v>
      </c>
      <c r="I183">
        <v>757</v>
      </c>
      <c r="J183">
        <v>2313</v>
      </c>
      <c r="K183">
        <v>50924</v>
      </c>
      <c r="L183">
        <v>210954</v>
      </c>
      <c r="M183" t="s">
        <v>52</v>
      </c>
      <c r="N183" s="44">
        <f t="shared" si="2"/>
        <v>4.0326327066564277E-2</v>
      </c>
      <c r="O183" s="44">
        <f>Table2[[#This Row],[Shares]]/Table2[[#This Row],[Impressions]]</f>
        <v>2.9769523213591591E-3</v>
      </c>
      <c r="P183">
        <f>(Table2[[#This Row],[Engagement Rate]]+Table2[[#This Row],[Click through rate]])*100</f>
        <v>4.3303279387923439</v>
      </c>
    </row>
    <row r="184" spans="1:16" x14ac:dyDescent="0.25">
      <c r="A184" t="s">
        <v>227</v>
      </c>
      <c r="B184" t="s">
        <v>47</v>
      </c>
      <c r="C184" s="43">
        <v>45643</v>
      </c>
      <c r="D184" t="s">
        <v>15</v>
      </c>
      <c r="E184" t="s">
        <v>43</v>
      </c>
      <c r="F184" t="s">
        <v>44</v>
      </c>
      <c r="G184">
        <v>20030</v>
      </c>
      <c r="H184">
        <v>485</v>
      </c>
      <c r="I184">
        <v>888</v>
      </c>
      <c r="J184">
        <v>1643</v>
      </c>
      <c r="K184">
        <v>4322</v>
      </c>
      <c r="L184">
        <v>196995</v>
      </c>
      <c r="M184" t="s">
        <v>29</v>
      </c>
      <c r="N184" s="44">
        <f t="shared" si="2"/>
        <v>0.10864742759968526</v>
      </c>
      <c r="O184" s="44">
        <f>Table2[[#This Row],[Shares]]/Table2[[#This Row],[Impressions]]</f>
        <v>2.4619914211020584E-3</v>
      </c>
      <c r="P184">
        <f>(Table2[[#This Row],[Engagement Rate]]+Table2[[#This Row],[Click through rate]])*100</f>
        <v>11.110941902078732</v>
      </c>
    </row>
    <row r="185" spans="1:16" x14ac:dyDescent="0.25">
      <c r="A185" t="s">
        <v>228</v>
      </c>
      <c r="B185" t="s">
        <v>14</v>
      </c>
      <c r="C185" s="43">
        <v>45943</v>
      </c>
      <c r="D185" t="s">
        <v>31</v>
      </c>
      <c r="E185" t="s">
        <v>32</v>
      </c>
      <c r="F185" t="s">
        <v>57</v>
      </c>
      <c r="G185">
        <v>19302</v>
      </c>
      <c r="H185">
        <v>1367</v>
      </c>
      <c r="I185">
        <v>188</v>
      </c>
      <c r="J185">
        <v>637</v>
      </c>
      <c r="K185">
        <v>31404</v>
      </c>
      <c r="L185">
        <v>154044</v>
      </c>
      <c r="M185" t="s">
        <v>23</v>
      </c>
      <c r="N185" s="44">
        <f t="shared" si="2"/>
        <v>0.13539638025499209</v>
      </c>
      <c r="O185" s="44">
        <f>Table2[[#This Row],[Shares]]/Table2[[#This Row],[Impressions]]</f>
        <v>8.874087922931111E-3</v>
      </c>
      <c r="P185">
        <f>(Table2[[#This Row],[Engagement Rate]]+Table2[[#This Row],[Click through rate]])*100</f>
        <v>14.427046817792322</v>
      </c>
    </row>
    <row r="186" spans="1:16" x14ac:dyDescent="0.25">
      <c r="A186" t="s">
        <v>229</v>
      </c>
      <c r="B186" t="s">
        <v>25</v>
      </c>
      <c r="C186" s="43">
        <v>45668</v>
      </c>
      <c r="D186" t="s">
        <v>15</v>
      </c>
      <c r="E186" t="s">
        <v>21</v>
      </c>
      <c r="F186" t="s">
        <v>22</v>
      </c>
      <c r="G186">
        <v>21181</v>
      </c>
      <c r="H186">
        <v>1242</v>
      </c>
      <c r="I186">
        <v>963</v>
      </c>
      <c r="J186">
        <v>1689</v>
      </c>
      <c r="K186">
        <v>49329</v>
      </c>
      <c r="L186">
        <v>69165</v>
      </c>
      <c r="M186" t="s">
        <v>18</v>
      </c>
      <c r="N186" s="44">
        <f t="shared" si="2"/>
        <v>0.33811899081905589</v>
      </c>
      <c r="O186" s="44">
        <f>Table2[[#This Row],[Shares]]/Table2[[#This Row],[Impressions]]</f>
        <v>1.7957059206245934E-2</v>
      </c>
      <c r="P186">
        <f>(Table2[[#This Row],[Engagement Rate]]+Table2[[#This Row],[Click through rate]])*100</f>
        <v>35.607605002530185</v>
      </c>
    </row>
    <row r="187" spans="1:16" x14ac:dyDescent="0.25">
      <c r="A187" t="s">
        <v>230</v>
      </c>
      <c r="B187" t="s">
        <v>25</v>
      </c>
      <c r="C187" s="43">
        <v>45528</v>
      </c>
      <c r="D187" t="s">
        <v>31</v>
      </c>
      <c r="E187" t="s">
        <v>27</v>
      </c>
      <c r="F187" t="s">
        <v>28</v>
      </c>
      <c r="G187">
        <v>24890</v>
      </c>
      <c r="H187">
        <v>217</v>
      </c>
      <c r="I187">
        <v>178</v>
      </c>
      <c r="J187">
        <v>906</v>
      </c>
      <c r="K187">
        <v>54826</v>
      </c>
      <c r="L187">
        <v>107203</v>
      </c>
      <c r="M187" t="s">
        <v>29</v>
      </c>
      <c r="N187" s="44">
        <f t="shared" si="2"/>
        <v>0.23586093672751696</v>
      </c>
      <c r="O187" s="44">
        <f>Table2[[#This Row],[Shares]]/Table2[[#This Row],[Impressions]]</f>
        <v>2.0241970840368271E-3</v>
      </c>
      <c r="P187">
        <f>(Table2[[#This Row],[Engagement Rate]]+Table2[[#This Row],[Click through rate]])*100</f>
        <v>23.788513381155379</v>
      </c>
    </row>
    <row r="188" spans="1:16" x14ac:dyDescent="0.25">
      <c r="A188" t="s">
        <v>231</v>
      </c>
      <c r="B188" t="s">
        <v>47</v>
      </c>
      <c r="C188" s="43">
        <v>45648</v>
      </c>
      <c r="D188" t="s">
        <v>26</v>
      </c>
      <c r="E188" t="s">
        <v>122</v>
      </c>
      <c r="F188" t="s">
        <v>123</v>
      </c>
      <c r="G188">
        <v>7870</v>
      </c>
      <c r="H188">
        <v>968</v>
      </c>
      <c r="I188">
        <v>626</v>
      </c>
      <c r="J188">
        <v>465</v>
      </c>
      <c r="K188">
        <v>27184</v>
      </c>
      <c r="L188">
        <v>44114</v>
      </c>
      <c r="M188" t="s">
        <v>52</v>
      </c>
      <c r="N188" s="44">
        <f t="shared" si="2"/>
        <v>0.2145350682323072</v>
      </c>
      <c r="O188" s="44">
        <f>Table2[[#This Row],[Shares]]/Table2[[#This Row],[Impressions]]</f>
        <v>2.1943147300176814E-2</v>
      </c>
      <c r="P188">
        <f>(Table2[[#This Row],[Engagement Rate]]+Table2[[#This Row],[Click through rate]])*100</f>
        <v>23.647821553248402</v>
      </c>
    </row>
    <row r="189" spans="1:16" x14ac:dyDescent="0.25">
      <c r="A189" t="s">
        <v>232</v>
      </c>
      <c r="B189" t="s">
        <v>14</v>
      </c>
      <c r="C189" s="43">
        <v>45449</v>
      </c>
      <c r="D189" t="s">
        <v>39</v>
      </c>
      <c r="E189" t="s">
        <v>122</v>
      </c>
      <c r="F189" t="s">
        <v>123</v>
      </c>
      <c r="G189">
        <v>3531</v>
      </c>
      <c r="H189">
        <v>789</v>
      </c>
      <c r="I189">
        <v>467</v>
      </c>
      <c r="J189">
        <v>1867</v>
      </c>
      <c r="K189">
        <v>40816</v>
      </c>
      <c r="L189">
        <v>236037</v>
      </c>
      <c r="M189" t="s">
        <v>29</v>
      </c>
      <c r="N189" s="44">
        <f t="shared" si="2"/>
        <v>2.0280718700881641E-2</v>
      </c>
      <c r="O189" s="44">
        <f>Table2[[#This Row],[Shares]]/Table2[[#This Row],[Impressions]]</f>
        <v>3.3426962721946137E-3</v>
      </c>
      <c r="P189">
        <f>(Table2[[#This Row],[Engagement Rate]]+Table2[[#This Row],[Click through rate]])*100</f>
        <v>2.3623414973076255</v>
      </c>
    </row>
    <row r="190" spans="1:16" x14ac:dyDescent="0.25">
      <c r="A190" t="s">
        <v>233</v>
      </c>
      <c r="B190" t="s">
        <v>14</v>
      </c>
      <c r="C190" s="43">
        <v>45740</v>
      </c>
      <c r="D190" t="s">
        <v>15</v>
      </c>
      <c r="E190" t="s">
        <v>37</v>
      </c>
      <c r="G190">
        <v>10172</v>
      </c>
      <c r="H190">
        <v>1398</v>
      </c>
      <c r="I190">
        <v>394</v>
      </c>
      <c r="J190">
        <v>2358</v>
      </c>
      <c r="K190">
        <v>59610</v>
      </c>
      <c r="L190">
        <v>76321</v>
      </c>
      <c r="M190" t="s">
        <v>34</v>
      </c>
      <c r="N190" s="44">
        <f t="shared" si="2"/>
        <v>0.15675895231980713</v>
      </c>
      <c r="O190" s="44">
        <f>Table2[[#This Row],[Shares]]/Table2[[#This Row],[Impressions]]</f>
        <v>1.83173700554238E-2</v>
      </c>
      <c r="P190">
        <f>(Table2[[#This Row],[Engagement Rate]]+Table2[[#This Row],[Click through rate]])*100</f>
        <v>17.507632237523094</v>
      </c>
    </row>
    <row r="191" spans="1:16" x14ac:dyDescent="0.25">
      <c r="A191" t="s">
        <v>234</v>
      </c>
      <c r="B191" t="s">
        <v>47</v>
      </c>
      <c r="C191" s="43">
        <v>45569</v>
      </c>
      <c r="D191" t="s">
        <v>15</v>
      </c>
      <c r="E191" t="s">
        <v>40</v>
      </c>
      <c r="F191" t="s">
        <v>41</v>
      </c>
      <c r="G191">
        <v>21729</v>
      </c>
      <c r="H191">
        <v>1209</v>
      </c>
      <c r="I191">
        <v>897</v>
      </c>
      <c r="J191">
        <v>1624</v>
      </c>
      <c r="K191">
        <v>38771</v>
      </c>
      <c r="L191">
        <v>113297</v>
      </c>
      <c r="M191" t="s">
        <v>34</v>
      </c>
      <c r="N191" s="44">
        <f t="shared" si="2"/>
        <v>0.21037626768581694</v>
      </c>
      <c r="O191" s="44">
        <f>Table2[[#This Row],[Shares]]/Table2[[#This Row],[Impressions]]</f>
        <v>1.0671068077707265E-2</v>
      </c>
      <c r="P191">
        <f>(Table2[[#This Row],[Engagement Rate]]+Table2[[#This Row],[Click through rate]])*100</f>
        <v>22.10473357635242</v>
      </c>
    </row>
    <row r="192" spans="1:16" x14ac:dyDescent="0.25">
      <c r="A192" t="s">
        <v>235</v>
      </c>
      <c r="B192" t="s">
        <v>14</v>
      </c>
      <c r="C192" s="43">
        <v>45944</v>
      </c>
      <c r="D192" t="s">
        <v>39</v>
      </c>
      <c r="E192" t="s">
        <v>62</v>
      </c>
      <c r="F192" t="s">
        <v>37</v>
      </c>
      <c r="G192">
        <v>9673</v>
      </c>
      <c r="H192">
        <v>393</v>
      </c>
      <c r="I192">
        <v>846</v>
      </c>
      <c r="J192">
        <v>1028</v>
      </c>
      <c r="K192">
        <v>55556</v>
      </c>
      <c r="L192">
        <v>136652</v>
      </c>
      <c r="M192" t="s">
        <v>23</v>
      </c>
      <c r="N192" s="44">
        <f t="shared" si="2"/>
        <v>7.9852471972601938E-2</v>
      </c>
      <c r="O192" s="44">
        <f>Table2[[#This Row],[Shares]]/Table2[[#This Row],[Impressions]]</f>
        <v>2.875918391241987E-3</v>
      </c>
      <c r="P192">
        <f>(Table2[[#This Row],[Engagement Rate]]+Table2[[#This Row],[Click through rate]])*100</f>
        <v>8.2728390363843918</v>
      </c>
    </row>
    <row r="193" spans="1:16" x14ac:dyDescent="0.25">
      <c r="A193" t="s">
        <v>236</v>
      </c>
      <c r="B193" t="s">
        <v>14</v>
      </c>
      <c r="C193" s="43">
        <v>45945</v>
      </c>
      <c r="D193" t="s">
        <v>15</v>
      </c>
      <c r="E193" t="s">
        <v>43</v>
      </c>
      <c r="F193" t="s">
        <v>44</v>
      </c>
      <c r="G193">
        <v>8882</v>
      </c>
      <c r="H193">
        <v>701</v>
      </c>
      <c r="I193">
        <v>421</v>
      </c>
      <c r="J193">
        <v>2343</v>
      </c>
      <c r="K193">
        <v>13588</v>
      </c>
      <c r="L193">
        <v>139304</v>
      </c>
      <c r="M193" t="s">
        <v>23</v>
      </c>
      <c r="N193" s="44">
        <f t="shared" si="2"/>
        <v>7.1814161833113191E-2</v>
      </c>
      <c r="O193" s="44">
        <f>Table2[[#This Row],[Shares]]/Table2[[#This Row],[Impressions]]</f>
        <v>5.0321598805490152E-3</v>
      </c>
      <c r="P193">
        <f>(Table2[[#This Row],[Engagement Rate]]+Table2[[#This Row],[Click through rate]])*100</f>
        <v>7.6846321713662205</v>
      </c>
    </row>
    <row r="194" spans="1:16" x14ac:dyDescent="0.25">
      <c r="A194" t="s">
        <v>237</v>
      </c>
      <c r="B194" t="s">
        <v>25</v>
      </c>
      <c r="C194" s="43">
        <v>45546</v>
      </c>
      <c r="D194" t="s">
        <v>15</v>
      </c>
      <c r="E194" t="s">
        <v>43</v>
      </c>
      <c r="F194" t="s">
        <v>44</v>
      </c>
      <c r="G194">
        <v>3906</v>
      </c>
      <c r="H194">
        <v>1187</v>
      </c>
      <c r="I194">
        <v>589</v>
      </c>
      <c r="J194">
        <v>401</v>
      </c>
      <c r="K194">
        <v>52687</v>
      </c>
      <c r="L194">
        <v>196498</v>
      </c>
      <c r="M194" t="s">
        <v>18</v>
      </c>
      <c r="N194" s="44">
        <f t="shared" si="2"/>
        <v>2.8916324848090057E-2</v>
      </c>
      <c r="O194" s="44">
        <f>Table2[[#This Row],[Shares]]/Table2[[#This Row],[Impressions]]</f>
        <v>6.0407739518977292E-3</v>
      </c>
      <c r="P194">
        <f>(Table2[[#This Row],[Engagement Rate]]+Table2[[#This Row],[Click through rate]])*100</f>
        <v>3.4957098799987785</v>
      </c>
    </row>
    <row r="195" spans="1:16" x14ac:dyDescent="0.25">
      <c r="A195" t="s">
        <v>238</v>
      </c>
      <c r="B195" t="s">
        <v>14</v>
      </c>
      <c r="C195" s="43">
        <v>45567</v>
      </c>
      <c r="D195" t="s">
        <v>31</v>
      </c>
      <c r="E195" t="s">
        <v>40</v>
      </c>
      <c r="F195" t="s">
        <v>41</v>
      </c>
      <c r="G195">
        <v>5086</v>
      </c>
      <c r="H195">
        <v>1336</v>
      </c>
      <c r="I195">
        <v>897</v>
      </c>
      <c r="J195">
        <v>1715</v>
      </c>
      <c r="K195">
        <v>60592</v>
      </c>
      <c r="L195">
        <v>57772</v>
      </c>
      <c r="M195" t="s">
        <v>29</v>
      </c>
      <c r="N195" s="44">
        <f t="shared" ref="N195:N258" si="3">(G195+H195+I195)/L195</f>
        <v>0.12668766876687668</v>
      </c>
      <c r="O195" s="44">
        <f>Table2[[#This Row],[Shares]]/Table2[[#This Row],[Impressions]]</f>
        <v>2.3125389462023124E-2</v>
      </c>
      <c r="P195">
        <f>(Table2[[#This Row],[Engagement Rate]]+Table2[[#This Row],[Click through rate]])*100</f>
        <v>14.981305822889979</v>
      </c>
    </row>
    <row r="196" spans="1:16" x14ac:dyDescent="0.25">
      <c r="A196" t="s">
        <v>239</v>
      </c>
      <c r="B196" t="s">
        <v>14</v>
      </c>
      <c r="C196" s="43">
        <v>45519</v>
      </c>
      <c r="D196" t="s">
        <v>15</v>
      </c>
      <c r="E196" t="s">
        <v>48</v>
      </c>
      <c r="F196" t="s">
        <v>32</v>
      </c>
      <c r="G196">
        <v>15503</v>
      </c>
      <c r="H196">
        <v>313</v>
      </c>
      <c r="I196">
        <v>388</v>
      </c>
      <c r="J196">
        <v>1078</v>
      </c>
      <c r="K196">
        <v>11500</v>
      </c>
      <c r="L196">
        <v>143754</v>
      </c>
      <c r="M196" t="s">
        <v>34</v>
      </c>
      <c r="N196" s="44">
        <f t="shared" si="3"/>
        <v>0.1127203416948398</v>
      </c>
      <c r="O196" s="44">
        <f>Table2[[#This Row],[Shares]]/Table2[[#This Row],[Impressions]]</f>
        <v>2.1773307177539408E-3</v>
      </c>
      <c r="P196">
        <f>(Table2[[#This Row],[Engagement Rate]]+Table2[[#This Row],[Click through rate]])*100</f>
        <v>11.489767241259374</v>
      </c>
    </row>
    <row r="197" spans="1:16" x14ac:dyDescent="0.25">
      <c r="A197" t="s">
        <v>240</v>
      </c>
      <c r="B197" t="s">
        <v>47</v>
      </c>
      <c r="C197" s="43">
        <v>45918</v>
      </c>
      <c r="D197" t="s">
        <v>26</v>
      </c>
      <c r="E197" t="s">
        <v>71</v>
      </c>
      <c r="G197">
        <v>10152</v>
      </c>
      <c r="H197">
        <v>1445</v>
      </c>
      <c r="I197">
        <v>526</v>
      </c>
      <c r="J197">
        <v>513</v>
      </c>
      <c r="K197">
        <v>18959</v>
      </c>
      <c r="L197">
        <v>43712</v>
      </c>
      <c r="M197" t="s">
        <v>23</v>
      </c>
      <c r="N197" s="44">
        <f t="shared" si="3"/>
        <v>0.27733803074670571</v>
      </c>
      <c r="O197" s="44">
        <f>Table2[[#This Row],[Shares]]/Table2[[#This Row],[Impressions]]</f>
        <v>3.3057284040995609E-2</v>
      </c>
      <c r="P197">
        <f>(Table2[[#This Row],[Engagement Rate]]+Table2[[#This Row],[Click through rate]])*100</f>
        <v>31.039531478770133</v>
      </c>
    </row>
    <row r="198" spans="1:16" x14ac:dyDescent="0.25">
      <c r="A198" t="s">
        <v>241</v>
      </c>
      <c r="B198" t="s">
        <v>47</v>
      </c>
      <c r="C198" s="43">
        <v>45587</v>
      </c>
      <c r="D198" t="s">
        <v>26</v>
      </c>
      <c r="E198" t="s">
        <v>27</v>
      </c>
      <c r="F198" t="s">
        <v>28</v>
      </c>
      <c r="G198">
        <v>7750</v>
      </c>
      <c r="H198">
        <v>1146</v>
      </c>
      <c r="I198">
        <v>415</v>
      </c>
      <c r="J198">
        <v>1411</v>
      </c>
      <c r="K198">
        <v>85339</v>
      </c>
      <c r="L198">
        <v>172439</v>
      </c>
      <c r="M198" t="s">
        <v>29</v>
      </c>
      <c r="N198" s="44">
        <f t="shared" si="3"/>
        <v>5.3995905798572247E-2</v>
      </c>
      <c r="O198" s="44">
        <f>Table2[[#This Row],[Shares]]/Table2[[#This Row],[Impressions]]</f>
        <v>6.6458283798908595E-3</v>
      </c>
      <c r="P198">
        <f>(Table2[[#This Row],[Engagement Rate]]+Table2[[#This Row],[Click through rate]])*100</f>
        <v>6.0641734178463107</v>
      </c>
    </row>
    <row r="199" spans="1:16" x14ac:dyDescent="0.25">
      <c r="A199" t="s">
        <v>242</v>
      </c>
      <c r="B199" t="s">
        <v>20</v>
      </c>
      <c r="C199" s="43">
        <v>45919</v>
      </c>
      <c r="D199" t="s">
        <v>39</v>
      </c>
      <c r="E199" t="s">
        <v>32</v>
      </c>
      <c r="F199" t="s">
        <v>33</v>
      </c>
      <c r="G199">
        <v>14772</v>
      </c>
      <c r="H199">
        <v>1030</v>
      </c>
      <c r="I199">
        <v>508</v>
      </c>
      <c r="J199">
        <v>1876</v>
      </c>
      <c r="K199">
        <v>8882</v>
      </c>
      <c r="L199">
        <v>155142</v>
      </c>
      <c r="M199" t="s">
        <v>23</v>
      </c>
      <c r="N199" s="44">
        <f t="shared" si="3"/>
        <v>0.10512949426976577</v>
      </c>
      <c r="O199" s="44">
        <f>Table2[[#This Row],[Shares]]/Table2[[#This Row],[Impressions]]</f>
        <v>6.6390790372690828E-3</v>
      </c>
      <c r="P199">
        <f>(Table2[[#This Row],[Engagement Rate]]+Table2[[#This Row],[Click through rate]])*100</f>
        <v>11.176857330703486</v>
      </c>
    </row>
    <row r="200" spans="1:16" x14ac:dyDescent="0.25">
      <c r="A200" t="s">
        <v>243</v>
      </c>
      <c r="B200" t="s">
        <v>25</v>
      </c>
      <c r="C200" s="43">
        <v>45920</v>
      </c>
      <c r="D200" t="s">
        <v>15</v>
      </c>
      <c r="E200" t="s">
        <v>43</v>
      </c>
      <c r="F200" t="s">
        <v>44</v>
      </c>
      <c r="G200">
        <v>12267</v>
      </c>
      <c r="H200">
        <v>1487</v>
      </c>
      <c r="I200">
        <v>489</v>
      </c>
      <c r="J200">
        <v>2748</v>
      </c>
      <c r="K200">
        <v>34685</v>
      </c>
      <c r="L200">
        <v>131736</v>
      </c>
      <c r="M200" t="s">
        <v>23</v>
      </c>
      <c r="N200" s="44">
        <f t="shared" si="3"/>
        <v>0.1081177506528208</v>
      </c>
      <c r="O200" s="44">
        <f>Table2[[#This Row],[Shares]]/Table2[[#This Row],[Impressions]]</f>
        <v>1.1287726969089695E-2</v>
      </c>
      <c r="P200">
        <f>(Table2[[#This Row],[Engagement Rate]]+Table2[[#This Row],[Click through rate]])*100</f>
        <v>11.940547762191049</v>
      </c>
    </row>
    <row r="201" spans="1:16" x14ac:dyDescent="0.25">
      <c r="A201" t="s">
        <v>244</v>
      </c>
      <c r="B201" t="s">
        <v>14</v>
      </c>
      <c r="C201" s="43">
        <v>45754</v>
      </c>
      <c r="D201" t="s">
        <v>39</v>
      </c>
      <c r="E201" t="s">
        <v>62</v>
      </c>
      <c r="F201" t="s">
        <v>37</v>
      </c>
      <c r="G201">
        <v>3062</v>
      </c>
      <c r="H201">
        <v>1124</v>
      </c>
      <c r="I201">
        <v>538</v>
      </c>
      <c r="J201">
        <v>2935</v>
      </c>
      <c r="K201">
        <v>69749</v>
      </c>
      <c r="L201">
        <v>91924</v>
      </c>
      <c r="M201" t="s">
        <v>34</v>
      </c>
      <c r="N201" s="44">
        <f t="shared" si="3"/>
        <v>5.1390278926069365E-2</v>
      </c>
      <c r="O201" s="44">
        <f>Table2[[#This Row],[Shares]]/Table2[[#This Row],[Impressions]]</f>
        <v>1.2227492276228189E-2</v>
      </c>
      <c r="P201">
        <f>(Table2[[#This Row],[Engagement Rate]]+Table2[[#This Row],[Click through rate]])*100</f>
        <v>6.3617771202297559</v>
      </c>
    </row>
    <row r="202" spans="1:16" x14ac:dyDescent="0.25">
      <c r="A202" t="s">
        <v>245</v>
      </c>
      <c r="B202" t="s">
        <v>14</v>
      </c>
      <c r="C202" s="43">
        <v>45672</v>
      </c>
      <c r="D202" t="s">
        <v>26</v>
      </c>
      <c r="E202" t="s">
        <v>37</v>
      </c>
      <c r="G202">
        <v>20360</v>
      </c>
      <c r="H202">
        <v>254</v>
      </c>
      <c r="I202">
        <v>726</v>
      </c>
      <c r="J202">
        <v>1995</v>
      </c>
      <c r="K202">
        <v>14280</v>
      </c>
      <c r="L202">
        <v>43726</v>
      </c>
      <c r="M202" t="s">
        <v>34</v>
      </c>
      <c r="N202" s="44">
        <f t="shared" si="3"/>
        <v>0.48803915290673738</v>
      </c>
      <c r="O202" s="44">
        <f>Table2[[#This Row],[Shares]]/Table2[[#This Row],[Impressions]]</f>
        <v>5.8089008827699766E-3</v>
      </c>
      <c r="P202">
        <f>(Table2[[#This Row],[Engagement Rate]]+Table2[[#This Row],[Click through rate]])*100</f>
        <v>49.384805378950738</v>
      </c>
    </row>
    <row r="203" spans="1:16" x14ac:dyDescent="0.25">
      <c r="A203" t="s">
        <v>246</v>
      </c>
      <c r="B203" t="s">
        <v>20</v>
      </c>
      <c r="C203" s="43">
        <v>45921</v>
      </c>
      <c r="D203" t="s">
        <v>15</v>
      </c>
      <c r="E203" t="s">
        <v>122</v>
      </c>
      <c r="F203" t="s">
        <v>123</v>
      </c>
      <c r="G203">
        <v>19680</v>
      </c>
      <c r="H203">
        <v>999</v>
      </c>
      <c r="I203">
        <v>838</v>
      </c>
      <c r="J203">
        <v>891</v>
      </c>
      <c r="K203">
        <v>29576</v>
      </c>
      <c r="L203">
        <v>129152</v>
      </c>
      <c r="M203" t="s">
        <v>23</v>
      </c>
      <c r="N203" s="44">
        <f t="shared" si="3"/>
        <v>0.16660214321110009</v>
      </c>
      <c r="O203" s="44">
        <f>Table2[[#This Row],[Shares]]/Table2[[#This Row],[Impressions]]</f>
        <v>7.735071853320119E-3</v>
      </c>
      <c r="P203">
        <f>(Table2[[#This Row],[Engagement Rate]]+Table2[[#This Row],[Click through rate]])*100</f>
        <v>17.433721506442019</v>
      </c>
    </row>
    <row r="204" spans="1:16" x14ac:dyDescent="0.25">
      <c r="A204" t="s">
        <v>247</v>
      </c>
      <c r="B204" t="s">
        <v>14</v>
      </c>
      <c r="C204" s="43">
        <v>45617</v>
      </c>
      <c r="D204" t="s">
        <v>15</v>
      </c>
      <c r="E204" t="s">
        <v>43</v>
      </c>
      <c r="F204" t="s">
        <v>44</v>
      </c>
      <c r="G204">
        <v>8229</v>
      </c>
      <c r="H204">
        <v>977</v>
      </c>
      <c r="I204">
        <v>152</v>
      </c>
      <c r="J204">
        <v>1633</v>
      </c>
      <c r="K204">
        <v>71447</v>
      </c>
      <c r="L204">
        <v>67723</v>
      </c>
      <c r="M204" t="s">
        <v>52</v>
      </c>
      <c r="N204" s="44">
        <f t="shared" si="3"/>
        <v>0.13818052950991538</v>
      </c>
      <c r="O204" s="44">
        <f>Table2[[#This Row],[Shares]]/Table2[[#This Row],[Impressions]]</f>
        <v>1.442641347843421E-2</v>
      </c>
      <c r="P204">
        <f>(Table2[[#This Row],[Engagement Rate]]+Table2[[#This Row],[Click through rate]])*100</f>
        <v>15.260694298834959</v>
      </c>
    </row>
    <row r="205" spans="1:16" x14ac:dyDescent="0.25">
      <c r="A205" t="s">
        <v>248</v>
      </c>
      <c r="B205" t="s">
        <v>25</v>
      </c>
      <c r="C205" s="43">
        <v>45922</v>
      </c>
      <c r="D205" t="s">
        <v>39</v>
      </c>
      <c r="E205" t="s">
        <v>37</v>
      </c>
      <c r="G205">
        <v>18509</v>
      </c>
      <c r="H205">
        <v>361</v>
      </c>
      <c r="I205">
        <v>578</v>
      </c>
      <c r="J205">
        <v>1409</v>
      </c>
      <c r="K205">
        <v>10569</v>
      </c>
      <c r="L205">
        <v>166969</v>
      </c>
      <c r="M205" t="s">
        <v>23</v>
      </c>
      <c r="N205" s="44">
        <f t="shared" si="3"/>
        <v>0.11647671124580011</v>
      </c>
      <c r="O205" s="44">
        <f>Table2[[#This Row],[Shares]]/Table2[[#This Row],[Impressions]]</f>
        <v>2.1620779905251871E-3</v>
      </c>
      <c r="P205">
        <f>(Table2[[#This Row],[Engagement Rate]]+Table2[[#This Row],[Click through rate]])*100</f>
        <v>11.86387892363253</v>
      </c>
    </row>
    <row r="206" spans="1:16" x14ac:dyDescent="0.25">
      <c r="A206" t="s">
        <v>249</v>
      </c>
      <c r="B206" t="s">
        <v>20</v>
      </c>
      <c r="C206" s="43">
        <v>45923</v>
      </c>
      <c r="D206" t="s">
        <v>26</v>
      </c>
      <c r="E206" t="s">
        <v>32</v>
      </c>
      <c r="F206" t="s">
        <v>57</v>
      </c>
      <c r="G206">
        <v>17147</v>
      </c>
      <c r="H206">
        <v>286</v>
      </c>
      <c r="I206">
        <v>291</v>
      </c>
      <c r="J206">
        <v>2439</v>
      </c>
      <c r="K206">
        <v>45631</v>
      </c>
      <c r="L206">
        <v>140494</v>
      </c>
      <c r="M206" t="s">
        <v>23</v>
      </c>
      <c r="N206" s="44">
        <f t="shared" si="3"/>
        <v>0.12615485358805359</v>
      </c>
      <c r="O206" s="44">
        <f>Table2[[#This Row],[Shares]]/Table2[[#This Row],[Impressions]]</f>
        <v>2.0356741213147893E-3</v>
      </c>
      <c r="P206">
        <f>(Table2[[#This Row],[Engagement Rate]]+Table2[[#This Row],[Click through rate]])*100</f>
        <v>12.819052770936837</v>
      </c>
    </row>
    <row r="207" spans="1:16" x14ac:dyDescent="0.25">
      <c r="A207" t="s">
        <v>250</v>
      </c>
      <c r="B207" t="s">
        <v>25</v>
      </c>
      <c r="C207" s="43">
        <v>45467</v>
      </c>
      <c r="D207" t="s">
        <v>15</v>
      </c>
      <c r="E207" t="s">
        <v>32</v>
      </c>
      <c r="F207" t="s">
        <v>57</v>
      </c>
      <c r="G207">
        <v>6632</v>
      </c>
      <c r="H207">
        <v>254</v>
      </c>
      <c r="I207">
        <v>525</v>
      </c>
      <c r="J207">
        <v>1013</v>
      </c>
      <c r="K207">
        <v>13838</v>
      </c>
      <c r="L207">
        <v>180180</v>
      </c>
      <c r="M207" t="s">
        <v>18</v>
      </c>
      <c r="N207" s="44">
        <f t="shared" si="3"/>
        <v>4.1131091131091133E-2</v>
      </c>
      <c r="O207" s="44">
        <f>Table2[[#This Row],[Shares]]/Table2[[#This Row],[Impressions]]</f>
        <v>1.4097014097014097E-3</v>
      </c>
      <c r="P207">
        <f>(Table2[[#This Row],[Engagement Rate]]+Table2[[#This Row],[Click through rate]])*100</f>
        <v>4.2540792540792545</v>
      </c>
    </row>
    <row r="208" spans="1:16" x14ac:dyDescent="0.25">
      <c r="A208" t="s">
        <v>251</v>
      </c>
      <c r="B208" t="s">
        <v>20</v>
      </c>
      <c r="C208" s="43">
        <v>45655</v>
      </c>
      <c r="D208" t="s">
        <v>39</v>
      </c>
      <c r="E208" t="s">
        <v>71</v>
      </c>
      <c r="G208">
        <v>8288</v>
      </c>
      <c r="H208">
        <v>1401</v>
      </c>
      <c r="I208">
        <v>819</v>
      </c>
      <c r="J208">
        <v>1235</v>
      </c>
      <c r="K208">
        <v>33446</v>
      </c>
      <c r="L208">
        <v>248786</v>
      </c>
      <c r="M208" t="s">
        <v>18</v>
      </c>
      <c r="N208" s="44">
        <f t="shared" si="3"/>
        <v>4.2237103373984064E-2</v>
      </c>
      <c r="O208" s="44">
        <f>Table2[[#This Row],[Shares]]/Table2[[#This Row],[Impressions]]</f>
        <v>5.6313458152789948E-3</v>
      </c>
      <c r="P208">
        <f>(Table2[[#This Row],[Engagement Rate]]+Table2[[#This Row],[Click through rate]])*100</f>
        <v>4.786844918926306</v>
      </c>
    </row>
    <row r="209" spans="1:16" x14ac:dyDescent="0.25">
      <c r="A209" t="s">
        <v>252</v>
      </c>
      <c r="B209" t="s">
        <v>20</v>
      </c>
      <c r="C209" s="43">
        <v>45467</v>
      </c>
      <c r="D209" t="s">
        <v>26</v>
      </c>
      <c r="E209" t="s">
        <v>21</v>
      </c>
      <c r="F209" t="s">
        <v>22</v>
      </c>
      <c r="G209">
        <v>5596</v>
      </c>
      <c r="H209">
        <v>1231</v>
      </c>
      <c r="I209">
        <v>473</v>
      </c>
      <c r="J209">
        <v>2251</v>
      </c>
      <c r="K209">
        <v>43705</v>
      </c>
      <c r="L209">
        <v>75643</v>
      </c>
      <c r="M209" t="s">
        <v>18</v>
      </c>
      <c r="N209" s="44">
        <f t="shared" si="3"/>
        <v>9.6505955607260427E-2</v>
      </c>
      <c r="O209" s="44">
        <f>Table2[[#This Row],[Shares]]/Table2[[#This Row],[Impressions]]</f>
        <v>1.6273812514046245E-2</v>
      </c>
      <c r="P209">
        <f>(Table2[[#This Row],[Engagement Rate]]+Table2[[#This Row],[Click through rate]])*100</f>
        <v>11.277976812130667</v>
      </c>
    </row>
    <row r="210" spans="1:16" x14ac:dyDescent="0.25">
      <c r="A210" t="s">
        <v>253</v>
      </c>
      <c r="B210" t="s">
        <v>47</v>
      </c>
      <c r="C210" s="43">
        <v>45735</v>
      </c>
      <c r="D210" t="s">
        <v>39</v>
      </c>
      <c r="E210" t="s">
        <v>32</v>
      </c>
      <c r="F210" t="s">
        <v>33</v>
      </c>
      <c r="G210">
        <v>13475</v>
      </c>
      <c r="H210">
        <v>1032</v>
      </c>
      <c r="I210">
        <v>295</v>
      </c>
      <c r="J210">
        <v>541</v>
      </c>
      <c r="K210">
        <v>43666</v>
      </c>
      <c r="L210">
        <v>202396</v>
      </c>
      <c r="M210" t="s">
        <v>52</v>
      </c>
      <c r="N210" s="44">
        <f t="shared" si="3"/>
        <v>7.3133856400324118E-2</v>
      </c>
      <c r="O210" s="44">
        <f>Table2[[#This Row],[Shares]]/Table2[[#This Row],[Impressions]]</f>
        <v>5.0989149983201249E-3</v>
      </c>
      <c r="P210">
        <f>(Table2[[#This Row],[Engagement Rate]]+Table2[[#This Row],[Click through rate]])*100</f>
        <v>7.823277139864425</v>
      </c>
    </row>
    <row r="211" spans="1:16" x14ac:dyDescent="0.25">
      <c r="A211" t="s">
        <v>254</v>
      </c>
      <c r="B211" t="s">
        <v>25</v>
      </c>
      <c r="C211" s="43">
        <v>45707</v>
      </c>
      <c r="D211" t="s">
        <v>31</v>
      </c>
      <c r="E211" t="s">
        <v>48</v>
      </c>
      <c r="F211" t="s">
        <v>32</v>
      </c>
      <c r="G211">
        <v>8168</v>
      </c>
      <c r="H211">
        <v>512</v>
      </c>
      <c r="I211">
        <v>442</v>
      </c>
      <c r="J211">
        <v>2343</v>
      </c>
      <c r="K211">
        <v>2753</v>
      </c>
      <c r="L211">
        <v>143896</v>
      </c>
      <c r="M211" t="s">
        <v>52</v>
      </c>
      <c r="N211" s="44">
        <f t="shared" si="3"/>
        <v>6.3393006059932172E-2</v>
      </c>
      <c r="O211" s="44">
        <f>Table2[[#This Row],[Shares]]/Table2[[#This Row],[Impressions]]</f>
        <v>3.5581253127258575E-3</v>
      </c>
      <c r="P211">
        <f>(Table2[[#This Row],[Engagement Rate]]+Table2[[#This Row],[Click through rate]])*100</f>
        <v>6.6951131372658024</v>
      </c>
    </row>
    <row r="212" spans="1:16" x14ac:dyDescent="0.25">
      <c r="A212" t="s">
        <v>255</v>
      </c>
      <c r="B212" t="s">
        <v>14</v>
      </c>
      <c r="C212" s="43">
        <v>45924</v>
      </c>
      <c r="D212" t="s">
        <v>15</v>
      </c>
      <c r="E212" t="s">
        <v>71</v>
      </c>
      <c r="G212">
        <v>11795</v>
      </c>
      <c r="H212">
        <v>958</v>
      </c>
      <c r="I212">
        <v>814</v>
      </c>
      <c r="J212">
        <v>301</v>
      </c>
      <c r="K212">
        <v>12564</v>
      </c>
      <c r="L212">
        <v>179999</v>
      </c>
      <c r="M212" t="s">
        <v>23</v>
      </c>
      <c r="N212" s="44">
        <f t="shared" si="3"/>
        <v>7.5372640959116444E-2</v>
      </c>
      <c r="O212" s="44">
        <f>Table2[[#This Row],[Shares]]/Table2[[#This Row],[Impressions]]</f>
        <v>5.3222517902877242E-3</v>
      </c>
      <c r="P212">
        <f>(Table2[[#This Row],[Engagement Rate]]+Table2[[#This Row],[Click through rate]])*100</f>
        <v>8.0694892749404161</v>
      </c>
    </row>
    <row r="213" spans="1:16" x14ac:dyDescent="0.25">
      <c r="A213" t="s">
        <v>256</v>
      </c>
      <c r="B213" t="s">
        <v>14</v>
      </c>
      <c r="C213" s="43">
        <v>45719</v>
      </c>
      <c r="D213" t="s">
        <v>31</v>
      </c>
      <c r="E213" t="s">
        <v>16</v>
      </c>
      <c r="F213" t="s">
        <v>17</v>
      </c>
      <c r="G213">
        <v>9561</v>
      </c>
      <c r="H213">
        <v>642</v>
      </c>
      <c r="I213">
        <v>581</v>
      </c>
      <c r="J213">
        <v>2572</v>
      </c>
      <c r="K213">
        <v>38552</v>
      </c>
      <c r="L213">
        <v>133680</v>
      </c>
      <c r="M213" t="s">
        <v>18</v>
      </c>
      <c r="N213" s="44">
        <f t="shared" si="3"/>
        <v>8.0670257330939563E-2</v>
      </c>
      <c r="O213" s="44">
        <f>Table2[[#This Row],[Shares]]/Table2[[#This Row],[Impressions]]</f>
        <v>4.8025134649910236E-3</v>
      </c>
      <c r="P213">
        <f>(Table2[[#This Row],[Engagement Rate]]+Table2[[#This Row],[Click through rate]])*100</f>
        <v>8.5472770795930586</v>
      </c>
    </row>
    <row r="214" spans="1:16" x14ac:dyDescent="0.25">
      <c r="A214" t="s">
        <v>257</v>
      </c>
      <c r="B214" t="s">
        <v>25</v>
      </c>
      <c r="C214" s="43">
        <v>45778</v>
      </c>
      <c r="D214" t="s">
        <v>26</v>
      </c>
      <c r="E214" t="s">
        <v>48</v>
      </c>
      <c r="F214" t="s">
        <v>32</v>
      </c>
      <c r="G214">
        <v>10258</v>
      </c>
      <c r="H214">
        <v>527</v>
      </c>
      <c r="I214">
        <v>854</v>
      </c>
      <c r="J214">
        <v>2068</v>
      </c>
      <c r="K214">
        <v>45632</v>
      </c>
      <c r="L214">
        <v>136546</v>
      </c>
      <c r="M214" t="s">
        <v>52</v>
      </c>
      <c r="N214" s="44">
        <f t="shared" si="3"/>
        <v>8.5238674146441498E-2</v>
      </c>
      <c r="O214" s="44">
        <f>Table2[[#This Row],[Shares]]/Table2[[#This Row],[Impressions]]</f>
        <v>3.8595052216835353E-3</v>
      </c>
      <c r="P214">
        <f>(Table2[[#This Row],[Engagement Rate]]+Table2[[#This Row],[Click through rate]])*100</f>
        <v>8.9098179368125034</v>
      </c>
    </row>
    <row r="215" spans="1:16" x14ac:dyDescent="0.25">
      <c r="A215" t="s">
        <v>258</v>
      </c>
      <c r="B215" t="s">
        <v>14</v>
      </c>
      <c r="C215" s="43">
        <v>45649</v>
      </c>
      <c r="D215" t="s">
        <v>31</v>
      </c>
      <c r="E215" t="s">
        <v>27</v>
      </c>
      <c r="F215" t="s">
        <v>28</v>
      </c>
      <c r="G215">
        <v>18616</v>
      </c>
      <c r="H215">
        <v>1277</v>
      </c>
      <c r="I215">
        <v>734</v>
      </c>
      <c r="J215">
        <v>2249</v>
      </c>
      <c r="K215">
        <v>3399</v>
      </c>
      <c r="L215">
        <v>193515</v>
      </c>
      <c r="M215" t="s">
        <v>34</v>
      </c>
      <c r="N215" s="44">
        <f t="shared" si="3"/>
        <v>0.10659122031883833</v>
      </c>
      <c r="O215" s="44">
        <f>Table2[[#This Row],[Shares]]/Table2[[#This Row],[Impressions]]</f>
        <v>6.5989716559439835E-3</v>
      </c>
      <c r="P215">
        <f>(Table2[[#This Row],[Engagement Rate]]+Table2[[#This Row],[Click through rate]])*100</f>
        <v>11.319019197478232</v>
      </c>
    </row>
    <row r="216" spans="1:16" x14ac:dyDescent="0.25">
      <c r="A216" t="s">
        <v>259</v>
      </c>
      <c r="B216" t="s">
        <v>14</v>
      </c>
      <c r="C216" s="43">
        <v>45925</v>
      </c>
      <c r="D216" t="s">
        <v>31</v>
      </c>
      <c r="E216" t="s">
        <v>62</v>
      </c>
      <c r="F216" t="s">
        <v>37</v>
      </c>
      <c r="G216">
        <v>8371</v>
      </c>
      <c r="H216">
        <v>960</v>
      </c>
      <c r="I216">
        <v>548</v>
      </c>
      <c r="J216">
        <v>2936</v>
      </c>
      <c r="K216">
        <v>82543</v>
      </c>
      <c r="L216">
        <v>119973</v>
      </c>
      <c r="M216" t="s">
        <v>23</v>
      </c>
      <c r="N216" s="44">
        <f t="shared" si="3"/>
        <v>8.2343527293641069E-2</v>
      </c>
      <c r="O216" s="44">
        <f>Table2[[#This Row],[Shares]]/Table2[[#This Row],[Impressions]]</f>
        <v>8.0018004050911463E-3</v>
      </c>
      <c r="P216">
        <f>(Table2[[#This Row],[Engagement Rate]]+Table2[[#This Row],[Click through rate]])*100</f>
        <v>9.0345327698732216</v>
      </c>
    </row>
    <row r="217" spans="1:16" x14ac:dyDescent="0.25">
      <c r="A217" t="s">
        <v>260</v>
      </c>
      <c r="B217" t="s">
        <v>25</v>
      </c>
      <c r="C217" s="43">
        <v>45502</v>
      </c>
      <c r="D217" t="s">
        <v>26</v>
      </c>
      <c r="E217" t="s">
        <v>16</v>
      </c>
      <c r="F217" t="s">
        <v>17</v>
      </c>
      <c r="G217">
        <v>22590</v>
      </c>
      <c r="H217">
        <v>1462</v>
      </c>
      <c r="I217">
        <v>966</v>
      </c>
      <c r="J217">
        <v>2463</v>
      </c>
      <c r="K217">
        <v>29689</v>
      </c>
      <c r="L217">
        <v>103449</v>
      </c>
      <c r="M217" t="s">
        <v>29</v>
      </c>
      <c r="N217" s="44">
        <f t="shared" si="3"/>
        <v>0.24183897379385011</v>
      </c>
      <c r="O217" s="44">
        <f>Table2[[#This Row],[Shares]]/Table2[[#This Row],[Impressions]]</f>
        <v>1.4132567738692496E-2</v>
      </c>
      <c r="P217">
        <f>(Table2[[#This Row],[Engagement Rate]]+Table2[[#This Row],[Click through rate]])*100</f>
        <v>25.597154153254259</v>
      </c>
    </row>
    <row r="218" spans="1:16" x14ac:dyDescent="0.25">
      <c r="A218" t="s">
        <v>261</v>
      </c>
      <c r="B218" t="s">
        <v>20</v>
      </c>
      <c r="C218" s="43">
        <v>45926</v>
      </c>
      <c r="D218" t="s">
        <v>39</v>
      </c>
      <c r="E218" t="s">
        <v>16</v>
      </c>
      <c r="F218" t="s">
        <v>17</v>
      </c>
      <c r="G218">
        <v>16369</v>
      </c>
      <c r="H218">
        <v>1452</v>
      </c>
      <c r="I218">
        <v>493</v>
      </c>
      <c r="J218">
        <v>1217</v>
      </c>
      <c r="K218">
        <v>91440</v>
      </c>
      <c r="L218">
        <v>149834</v>
      </c>
      <c r="M218" t="s">
        <v>23</v>
      </c>
      <c r="N218" s="44">
        <f t="shared" si="3"/>
        <v>0.12222859965027964</v>
      </c>
      <c r="O218" s="44">
        <f>Table2[[#This Row],[Shares]]/Table2[[#This Row],[Impressions]]</f>
        <v>9.6907244016711819E-3</v>
      </c>
      <c r="P218">
        <f>(Table2[[#This Row],[Engagement Rate]]+Table2[[#This Row],[Click through rate]])*100</f>
        <v>13.191932405195084</v>
      </c>
    </row>
    <row r="219" spans="1:16" x14ac:dyDescent="0.25">
      <c r="A219" t="s">
        <v>262</v>
      </c>
      <c r="B219" t="s">
        <v>25</v>
      </c>
      <c r="C219" s="43">
        <v>45454</v>
      </c>
      <c r="D219" t="s">
        <v>31</v>
      </c>
      <c r="E219" t="s">
        <v>71</v>
      </c>
      <c r="G219">
        <v>14910</v>
      </c>
      <c r="H219">
        <v>778</v>
      </c>
      <c r="I219">
        <v>289</v>
      </c>
      <c r="J219">
        <v>2541</v>
      </c>
      <c r="K219">
        <v>14309</v>
      </c>
      <c r="L219">
        <v>247815</v>
      </c>
      <c r="M219" t="s">
        <v>29</v>
      </c>
      <c r="N219" s="44">
        <f t="shared" si="3"/>
        <v>6.4471480741682297E-2</v>
      </c>
      <c r="O219" s="44">
        <f>Table2[[#This Row],[Shares]]/Table2[[#This Row],[Impressions]]</f>
        <v>3.139438694187196E-3</v>
      </c>
      <c r="P219">
        <f>(Table2[[#This Row],[Engagement Rate]]+Table2[[#This Row],[Click through rate]])*100</f>
        <v>6.7610919435869494</v>
      </c>
    </row>
    <row r="220" spans="1:16" x14ac:dyDescent="0.25">
      <c r="A220" t="s">
        <v>263</v>
      </c>
      <c r="B220" t="s">
        <v>20</v>
      </c>
      <c r="C220" s="43">
        <v>45685</v>
      </c>
      <c r="D220" t="s">
        <v>39</v>
      </c>
      <c r="E220" t="s">
        <v>40</v>
      </c>
      <c r="F220" t="s">
        <v>41</v>
      </c>
      <c r="G220">
        <v>9943</v>
      </c>
      <c r="H220">
        <v>1274</v>
      </c>
      <c r="I220">
        <v>336</v>
      </c>
      <c r="J220">
        <v>389</v>
      </c>
      <c r="K220">
        <v>6145</v>
      </c>
      <c r="L220">
        <v>231305</v>
      </c>
      <c r="M220" t="s">
        <v>18</v>
      </c>
      <c r="N220" s="44">
        <f t="shared" si="3"/>
        <v>4.9947039623008581E-2</v>
      </c>
      <c r="O220" s="44">
        <f>Table2[[#This Row],[Shares]]/Table2[[#This Row],[Impressions]]</f>
        <v>5.5078792071074989E-3</v>
      </c>
      <c r="P220">
        <f>(Table2[[#This Row],[Engagement Rate]]+Table2[[#This Row],[Click through rate]])*100</f>
        <v>5.545491883011608</v>
      </c>
    </row>
    <row r="221" spans="1:16" x14ac:dyDescent="0.25">
      <c r="A221" t="s">
        <v>264</v>
      </c>
      <c r="B221" t="s">
        <v>14</v>
      </c>
      <c r="C221" s="43">
        <v>45445</v>
      </c>
      <c r="D221" t="s">
        <v>31</v>
      </c>
      <c r="E221" t="s">
        <v>21</v>
      </c>
      <c r="F221" t="s">
        <v>22</v>
      </c>
      <c r="G221">
        <v>14199</v>
      </c>
      <c r="H221">
        <v>1206</v>
      </c>
      <c r="I221">
        <v>954</v>
      </c>
      <c r="J221">
        <v>2009</v>
      </c>
      <c r="K221">
        <v>8</v>
      </c>
      <c r="L221">
        <v>65537</v>
      </c>
      <c r="M221" t="s">
        <v>29</v>
      </c>
      <c r="N221" s="44">
        <f t="shared" si="3"/>
        <v>0.24961472145505592</v>
      </c>
      <c r="O221" s="44">
        <f>Table2[[#This Row],[Shares]]/Table2[[#This Row],[Impressions]]</f>
        <v>1.840181881990326E-2</v>
      </c>
      <c r="P221">
        <f>(Table2[[#This Row],[Engagement Rate]]+Table2[[#This Row],[Click through rate]])*100</f>
        <v>26.801654027495918</v>
      </c>
    </row>
    <row r="222" spans="1:16" x14ac:dyDescent="0.25">
      <c r="A222" t="s">
        <v>265</v>
      </c>
      <c r="B222" t="s">
        <v>14</v>
      </c>
      <c r="C222" s="43">
        <v>45739</v>
      </c>
      <c r="D222" t="s">
        <v>39</v>
      </c>
      <c r="E222" t="s">
        <v>40</v>
      </c>
      <c r="F222" t="s">
        <v>41</v>
      </c>
      <c r="G222">
        <v>17728</v>
      </c>
      <c r="H222">
        <v>1487</v>
      </c>
      <c r="I222">
        <v>210</v>
      </c>
      <c r="J222">
        <v>2469</v>
      </c>
      <c r="K222">
        <v>30565</v>
      </c>
      <c r="L222">
        <v>117576</v>
      </c>
      <c r="M222" t="s">
        <v>18</v>
      </c>
      <c r="N222" s="44">
        <f t="shared" si="3"/>
        <v>0.16521228822208614</v>
      </c>
      <c r="O222" s="44">
        <f>Table2[[#This Row],[Shares]]/Table2[[#This Row],[Impressions]]</f>
        <v>1.2647138871878615E-2</v>
      </c>
      <c r="P222">
        <f>(Table2[[#This Row],[Engagement Rate]]+Table2[[#This Row],[Click through rate]])*100</f>
        <v>17.785942709396476</v>
      </c>
    </row>
    <row r="223" spans="1:16" x14ac:dyDescent="0.25">
      <c r="A223" t="s">
        <v>266</v>
      </c>
      <c r="B223" t="s">
        <v>14</v>
      </c>
      <c r="C223" s="43">
        <v>45573</v>
      </c>
      <c r="D223" t="s">
        <v>26</v>
      </c>
      <c r="E223" t="s">
        <v>71</v>
      </c>
      <c r="G223">
        <v>8738</v>
      </c>
      <c r="H223">
        <v>295</v>
      </c>
      <c r="I223">
        <v>529</v>
      </c>
      <c r="J223">
        <v>442</v>
      </c>
      <c r="K223">
        <v>25286</v>
      </c>
      <c r="L223">
        <v>147522</v>
      </c>
      <c r="M223" t="s">
        <v>34</v>
      </c>
      <c r="N223" s="44">
        <f t="shared" si="3"/>
        <v>6.4817450956467515E-2</v>
      </c>
      <c r="O223" s="44">
        <f>Table2[[#This Row],[Shares]]/Table2[[#This Row],[Impressions]]</f>
        <v>1.9997017394015808E-3</v>
      </c>
      <c r="P223">
        <f>(Table2[[#This Row],[Engagement Rate]]+Table2[[#This Row],[Click through rate]])*100</f>
        <v>6.6817152695869089</v>
      </c>
    </row>
    <row r="224" spans="1:16" x14ac:dyDescent="0.25">
      <c r="A224" t="s">
        <v>267</v>
      </c>
      <c r="B224" t="s">
        <v>47</v>
      </c>
      <c r="C224" s="43">
        <v>45608</v>
      </c>
      <c r="D224" t="s">
        <v>31</v>
      </c>
      <c r="E224" t="s">
        <v>27</v>
      </c>
      <c r="F224" t="s">
        <v>28</v>
      </c>
      <c r="G224">
        <v>17913</v>
      </c>
      <c r="H224">
        <v>1311</v>
      </c>
      <c r="I224">
        <v>859</v>
      </c>
      <c r="J224">
        <v>405</v>
      </c>
      <c r="K224">
        <v>59842</v>
      </c>
      <c r="L224">
        <v>62612</v>
      </c>
      <c r="M224" t="s">
        <v>29</v>
      </c>
      <c r="N224" s="44">
        <f t="shared" si="3"/>
        <v>0.32075321024723696</v>
      </c>
      <c r="O224" s="44">
        <f>Table2[[#This Row],[Shares]]/Table2[[#This Row],[Impressions]]</f>
        <v>2.0938478246981411E-2</v>
      </c>
      <c r="P224">
        <f>(Table2[[#This Row],[Engagement Rate]]+Table2[[#This Row],[Click through rate]])*100</f>
        <v>34.169168849421837</v>
      </c>
    </row>
    <row r="225" spans="1:16" x14ac:dyDescent="0.25">
      <c r="A225" t="s">
        <v>268</v>
      </c>
      <c r="B225" t="s">
        <v>20</v>
      </c>
      <c r="C225" s="43">
        <v>45907</v>
      </c>
      <c r="D225" t="s">
        <v>26</v>
      </c>
      <c r="E225" t="s">
        <v>122</v>
      </c>
      <c r="F225" t="s">
        <v>123</v>
      </c>
      <c r="G225">
        <v>4472</v>
      </c>
      <c r="H225">
        <v>1301</v>
      </c>
      <c r="I225">
        <v>956</v>
      </c>
      <c r="J225">
        <v>1186</v>
      </c>
      <c r="K225">
        <v>3363</v>
      </c>
      <c r="L225">
        <v>46471</v>
      </c>
      <c r="M225" t="s">
        <v>23</v>
      </c>
      <c r="N225" s="44">
        <f t="shared" si="3"/>
        <v>0.14479998278496267</v>
      </c>
      <c r="O225" s="44">
        <f>Table2[[#This Row],[Shares]]/Table2[[#This Row],[Impressions]]</f>
        <v>2.7995954466226249E-2</v>
      </c>
      <c r="P225">
        <f>(Table2[[#This Row],[Engagement Rate]]+Table2[[#This Row],[Click through rate]])*100</f>
        <v>17.279593725118893</v>
      </c>
    </row>
    <row r="226" spans="1:16" x14ac:dyDescent="0.25">
      <c r="A226" t="s">
        <v>269</v>
      </c>
      <c r="B226" t="s">
        <v>47</v>
      </c>
      <c r="C226" s="43">
        <v>45463</v>
      </c>
      <c r="D226" t="s">
        <v>31</v>
      </c>
      <c r="E226" t="s">
        <v>43</v>
      </c>
      <c r="F226" t="s">
        <v>44</v>
      </c>
      <c r="G226">
        <v>21123</v>
      </c>
      <c r="H226">
        <v>1343</v>
      </c>
      <c r="I226">
        <v>589</v>
      </c>
      <c r="J226">
        <v>727</v>
      </c>
      <c r="K226">
        <v>87833</v>
      </c>
      <c r="L226">
        <v>206703</v>
      </c>
      <c r="M226" t="s">
        <v>18</v>
      </c>
      <c r="N226" s="44">
        <f t="shared" si="3"/>
        <v>0.11153684271636116</v>
      </c>
      <c r="O226" s="44">
        <f>Table2[[#This Row],[Shares]]/Table2[[#This Row],[Impressions]]</f>
        <v>6.4972448392137516E-3</v>
      </c>
      <c r="P226">
        <f>(Table2[[#This Row],[Engagement Rate]]+Table2[[#This Row],[Click through rate]])*100</f>
        <v>11.803408755557491</v>
      </c>
    </row>
    <row r="227" spans="1:16" x14ac:dyDescent="0.25">
      <c r="A227" t="s">
        <v>270</v>
      </c>
      <c r="B227" t="s">
        <v>47</v>
      </c>
      <c r="C227" s="43">
        <v>45908</v>
      </c>
      <c r="D227" t="s">
        <v>26</v>
      </c>
      <c r="E227" t="s">
        <v>43</v>
      </c>
      <c r="F227" t="s">
        <v>44</v>
      </c>
      <c r="G227">
        <v>23785</v>
      </c>
      <c r="H227">
        <v>1013</v>
      </c>
      <c r="I227">
        <v>468</v>
      </c>
      <c r="J227">
        <v>1628</v>
      </c>
      <c r="K227">
        <v>8272</v>
      </c>
      <c r="L227">
        <v>71348</v>
      </c>
      <c r="M227" t="s">
        <v>23</v>
      </c>
      <c r="N227" s="44">
        <f t="shared" si="3"/>
        <v>0.35412345125301342</v>
      </c>
      <c r="O227" s="44">
        <f>Table2[[#This Row],[Shares]]/Table2[[#This Row],[Impressions]]</f>
        <v>1.4198015361327577E-2</v>
      </c>
      <c r="P227">
        <f>(Table2[[#This Row],[Engagement Rate]]+Table2[[#This Row],[Click through rate]])*100</f>
        <v>36.832146661434102</v>
      </c>
    </row>
    <row r="228" spans="1:16" x14ac:dyDescent="0.25">
      <c r="A228" t="s">
        <v>271</v>
      </c>
      <c r="B228" t="s">
        <v>25</v>
      </c>
      <c r="C228" s="43">
        <v>45455</v>
      </c>
      <c r="D228" t="s">
        <v>26</v>
      </c>
      <c r="E228" t="s">
        <v>21</v>
      </c>
      <c r="F228" t="s">
        <v>22</v>
      </c>
      <c r="G228">
        <v>17679</v>
      </c>
      <c r="H228">
        <v>690</v>
      </c>
      <c r="I228">
        <v>451</v>
      </c>
      <c r="J228">
        <v>2195</v>
      </c>
      <c r="K228">
        <v>4390</v>
      </c>
      <c r="L228">
        <v>235804</v>
      </c>
      <c r="M228" t="s">
        <v>52</v>
      </c>
      <c r="N228" s="44">
        <f t="shared" si="3"/>
        <v>7.9812047293514959E-2</v>
      </c>
      <c r="O228" s="44">
        <f>Table2[[#This Row],[Shares]]/Table2[[#This Row],[Impressions]]</f>
        <v>2.9261590134179232E-3</v>
      </c>
      <c r="P228">
        <f>(Table2[[#This Row],[Engagement Rate]]+Table2[[#This Row],[Click through rate]])*100</f>
        <v>8.2738206306932884</v>
      </c>
    </row>
    <row r="229" spans="1:16" x14ac:dyDescent="0.25">
      <c r="A229" t="s">
        <v>272</v>
      </c>
      <c r="B229" t="s">
        <v>47</v>
      </c>
      <c r="C229" s="43">
        <v>45474</v>
      </c>
      <c r="D229" t="s">
        <v>31</v>
      </c>
      <c r="E229" t="s">
        <v>27</v>
      </c>
      <c r="F229" t="s">
        <v>28</v>
      </c>
      <c r="G229">
        <v>3761</v>
      </c>
      <c r="H229">
        <v>651</v>
      </c>
      <c r="I229">
        <v>493</v>
      </c>
      <c r="J229">
        <v>2294</v>
      </c>
      <c r="K229">
        <v>71696</v>
      </c>
      <c r="L229">
        <v>41177</v>
      </c>
      <c r="M229" t="s">
        <v>18</v>
      </c>
      <c r="N229" s="44">
        <f t="shared" si="3"/>
        <v>0.11911989702989532</v>
      </c>
      <c r="O229" s="44">
        <f>Table2[[#This Row],[Shares]]/Table2[[#This Row],[Impressions]]</f>
        <v>1.5809796731184884E-2</v>
      </c>
      <c r="P229">
        <f>(Table2[[#This Row],[Engagement Rate]]+Table2[[#This Row],[Click through rate]])*100</f>
        <v>13.492969376108022</v>
      </c>
    </row>
    <row r="230" spans="1:16" x14ac:dyDescent="0.25">
      <c r="A230" t="s">
        <v>273</v>
      </c>
      <c r="B230" t="s">
        <v>25</v>
      </c>
      <c r="C230" s="43">
        <v>45476</v>
      </c>
      <c r="D230" t="s">
        <v>31</v>
      </c>
      <c r="E230" t="s">
        <v>21</v>
      </c>
      <c r="F230" t="s">
        <v>22</v>
      </c>
      <c r="G230">
        <v>12167</v>
      </c>
      <c r="H230">
        <v>364</v>
      </c>
      <c r="I230">
        <v>160</v>
      </c>
      <c r="J230">
        <v>616</v>
      </c>
      <c r="K230">
        <v>42228</v>
      </c>
      <c r="L230">
        <v>175832</v>
      </c>
      <c r="M230" t="s">
        <v>29</v>
      </c>
      <c r="N230" s="44">
        <f t="shared" si="3"/>
        <v>7.2176850630146963E-2</v>
      </c>
      <c r="O230" s="44">
        <f>Table2[[#This Row],[Shares]]/Table2[[#This Row],[Impressions]]</f>
        <v>2.0701578779744301E-3</v>
      </c>
      <c r="P230">
        <f>(Table2[[#This Row],[Engagement Rate]]+Table2[[#This Row],[Click through rate]])*100</f>
        <v>7.4247008508121395</v>
      </c>
    </row>
    <row r="231" spans="1:16" x14ac:dyDescent="0.25">
      <c r="A231" t="s">
        <v>274</v>
      </c>
      <c r="B231" t="s">
        <v>25</v>
      </c>
      <c r="C231" s="43">
        <v>45488</v>
      </c>
      <c r="D231" t="s">
        <v>31</v>
      </c>
      <c r="E231" t="s">
        <v>37</v>
      </c>
      <c r="G231">
        <v>12554</v>
      </c>
      <c r="H231">
        <v>381</v>
      </c>
      <c r="I231">
        <v>211</v>
      </c>
      <c r="J231">
        <v>2286</v>
      </c>
      <c r="K231">
        <v>50567</v>
      </c>
      <c r="L231">
        <v>72779</v>
      </c>
      <c r="M231" t="s">
        <v>18</v>
      </c>
      <c r="N231" s="44">
        <f t="shared" si="3"/>
        <v>0.18062902760411656</v>
      </c>
      <c r="O231" s="44">
        <f>Table2[[#This Row],[Shares]]/Table2[[#This Row],[Impressions]]</f>
        <v>5.2350265873397544E-3</v>
      </c>
      <c r="P231">
        <f>(Table2[[#This Row],[Engagement Rate]]+Table2[[#This Row],[Click through rate]])*100</f>
        <v>18.586405419145631</v>
      </c>
    </row>
    <row r="232" spans="1:16" x14ac:dyDescent="0.25">
      <c r="A232" t="s">
        <v>275</v>
      </c>
      <c r="B232" t="s">
        <v>47</v>
      </c>
      <c r="C232" s="43">
        <v>45909</v>
      </c>
      <c r="D232" t="s">
        <v>15</v>
      </c>
      <c r="E232" t="s">
        <v>40</v>
      </c>
      <c r="F232" t="s">
        <v>41</v>
      </c>
      <c r="G232">
        <v>19260</v>
      </c>
      <c r="H232">
        <v>668</v>
      </c>
      <c r="I232">
        <v>994</v>
      </c>
      <c r="J232">
        <v>934</v>
      </c>
      <c r="K232">
        <v>20509</v>
      </c>
      <c r="L232">
        <v>61636</v>
      </c>
      <c r="M232" t="s">
        <v>23</v>
      </c>
      <c r="N232" s="44">
        <f t="shared" si="3"/>
        <v>0.33944448049841003</v>
      </c>
      <c r="O232" s="44">
        <f>Table2[[#This Row],[Shares]]/Table2[[#This Row],[Impressions]]</f>
        <v>1.0837822052047504E-2</v>
      </c>
      <c r="P232">
        <f>(Table2[[#This Row],[Engagement Rate]]+Table2[[#This Row],[Click through rate]])*100</f>
        <v>35.028230255045756</v>
      </c>
    </row>
    <row r="233" spans="1:16" x14ac:dyDescent="0.25">
      <c r="A233" t="s">
        <v>276</v>
      </c>
      <c r="B233" t="s">
        <v>20</v>
      </c>
      <c r="C233" s="43">
        <v>45776</v>
      </c>
      <c r="D233" t="s">
        <v>39</v>
      </c>
      <c r="E233" t="s">
        <v>43</v>
      </c>
      <c r="F233" t="s">
        <v>44</v>
      </c>
      <c r="G233">
        <v>16277</v>
      </c>
      <c r="H233">
        <v>1109</v>
      </c>
      <c r="I233">
        <v>375</v>
      </c>
      <c r="J233">
        <v>2225</v>
      </c>
      <c r="K233">
        <v>1044</v>
      </c>
      <c r="L233">
        <v>121889</v>
      </c>
      <c r="M233" t="s">
        <v>34</v>
      </c>
      <c r="N233" s="44">
        <f t="shared" si="3"/>
        <v>0.14571454356012437</v>
      </c>
      <c r="O233" s="44">
        <f>Table2[[#This Row],[Shares]]/Table2[[#This Row],[Impressions]]</f>
        <v>9.0984420251212176E-3</v>
      </c>
      <c r="P233">
        <f>(Table2[[#This Row],[Engagement Rate]]+Table2[[#This Row],[Click through rate]])*100</f>
        <v>15.481298558524559</v>
      </c>
    </row>
    <row r="234" spans="1:16" x14ac:dyDescent="0.25">
      <c r="A234" t="s">
        <v>277</v>
      </c>
      <c r="B234" t="s">
        <v>20</v>
      </c>
      <c r="C234" s="43">
        <v>45724</v>
      </c>
      <c r="D234" t="s">
        <v>15</v>
      </c>
      <c r="E234" t="s">
        <v>16</v>
      </c>
      <c r="F234" t="s">
        <v>17</v>
      </c>
      <c r="G234">
        <v>5812</v>
      </c>
      <c r="H234">
        <v>934</v>
      </c>
      <c r="I234">
        <v>302</v>
      </c>
      <c r="J234">
        <v>2356</v>
      </c>
      <c r="K234">
        <v>37437</v>
      </c>
      <c r="L234">
        <v>93551</v>
      </c>
      <c r="M234" t="s">
        <v>18</v>
      </c>
      <c r="N234" s="44">
        <f t="shared" si="3"/>
        <v>7.5338585370546551E-2</v>
      </c>
      <c r="O234" s="44">
        <f>Table2[[#This Row],[Shares]]/Table2[[#This Row],[Impressions]]</f>
        <v>9.9838590715224853E-3</v>
      </c>
      <c r="P234">
        <f>(Table2[[#This Row],[Engagement Rate]]+Table2[[#This Row],[Click through rate]])*100</f>
        <v>8.5322444442069028</v>
      </c>
    </row>
    <row r="235" spans="1:16" x14ac:dyDescent="0.25">
      <c r="A235" t="s">
        <v>278</v>
      </c>
      <c r="B235" t="s">
        <v>20</v>
      </c>
      <c r="C235" s="43">
        <v>45444</v>
      </c>
      <c r="D235" t="s">
        <v>15</v>
      </c>
      <c r="E235" t="s">
        <v>40</v>
      </c>
      <c r="F235" t="s">
        <v>41</v>
      </c>
      <c r="G235">
        <v>19844</v>
      </c>
      <c r="H235">
        <v>1022</v>
      </c>
      <c r="I235">
        <v>860</v>
      </c>
      <c r="J235">
        <v>2570</v>
      </c>
      <c r="K235">
        <v>23719</v>
      </c>
      <c r="L235">
        <v>182628</v>
      </c>
      <c r="M235" t="s">
        <v>29</v>
      </c>
      <c r="N235" s="44">
        <f t="shared" si="3"/>
        <v>0.11896313818253498</v>
      </c>
      <c r="O235" s="44">
        <f>Table2[[#This Row],[Shares]]/Table2[[#This Row],[Impressions]]</f>
        <v>5.5960750815866132E-3</v>
      </c>
      <c r="P235">
        <f>(Table2[[#This Row],[Engagement Rate]]+Table2[[#This Row],[Click through rate]])*100</f>
        <v>12.45592132641216</v>
      </c>
    </row>
    <row r="236" spans="1:16" x14ac:dyDescent="0.25">
      <c r="A236" t="s">
        <v>279</v>
      </c>
      <c r="B236" t="s">
        <v>20</v>
      </c>
      <c r="C236" s="43">
        <v>45648</v>
      </c>
      <c r="D236" t="s">
        <v>26</v>
      </c>
      <c r="E236" t="s">
        <v>32</v>
      </c>
      <c r="F236" t="s">
        <v>33</v>
      </c>
      <c r="G236">
        <v>20117</v>
      </c>
      <c r="H236">
        <v>1143</v>
      </c>
      <c r="I236">
        <v>713</v>
      </c>
      <c r="J236">
        <v>1739</v>
      </c>
      <c r="K236">
        <v>34444</v>
      </c>
      <c r="L236">
        <v>198670</v>
      </c>
      <c r="M236" t="s">
        <v>52</v>
      </c>
      <c r="N236" s="44">
        <f t="shared" si="3"/>
        <v>0.11060049328031409</v>
      </c>
      <c r="O236" s="44">
        <f>Table2[[#This Row],[Shares]]/Table2[[#This Row],[Impressions]]</f>
        <v>5.7532591735038E-3</v>
      </c>
      <c r="P236">
        <f>(Table2[[#This Row],[Engagement Rate]]+Table2[[#This Row],[Click through rate]])*100</f>
        <v>11.635375245381789</v>
      </c>
    </row>
    <row r="237" spans="1:16" x14ac:dyDescent="0.25">
      <c r="A237" t="s">
        <v>280</v>
      </c>
      <c r="B237" t="s">
        <v>20</v>
      </c>
      <c r="C237" s="43">
        <v>45523</v>
      </c>
      <c r="D237" t="s">
        <v>31</v>
      </c>
      <c r="E237" t="s">
        <v>62</v>
      </c>
      <c r="F237" t="s">
        <v>37</v>
      </c>
      <c r="G237">
        <v>3605</v>
      </c>
      <c r="H237">
        <v>206</v>
      </c>
      <c r="I237">
        <v>921</v>
      </c>
      <c r="J237">
        <v>852</v>
      </c>
      <c r="K237">
        <v>11660</v>
      </c>
      <c r="L237">
        <v>182635</v>
      </c>
      <c r="M237" t="s">
        <v>34</v>
      </c>
      <c r="N237" s="44">
        <f t="shared" si="3"/>
        <v>2.590960111698196E-2</v>
      </c>
      <c r="O237" s="44">
        <f>Table2[[#This Row],[Shares]]/Table2[[#This Row],[Impressions]]</f>
        <v>1.1279327620664166E-3</v>
      </c>
      <c r="P237">
        <f>(Table2[[#This Row],[Engagement Rate]]+Table2[[#This Row],[Click through rate]])*100</f>
        <v>2.7037533879048374</v>
      </c>
    </row>
    <row r="238" spans="1:16" x14ac:dyDescent="0.25">
      <c r="A238" t="s">
        <v>281</v>
      </c>
      <c r="B238" t="s">
        <v>47</v>
      </c>
      <c r="C238" s="43">
        <v>45587</v>
      </c>
      <c r="D238" t="s">
        <v>39</v>
      </c>
      <c r="E238" t="s">
        <v>27</v>
      </c>
      <c r="F238" t="s">
        <v>28</v>
      </c>
      <c r="G238">
        <v>7622</v>
      </c>
      <c r="H238">
        <v>529</v>
      </c>
      <c r="I238">
        <v>720</v>
      </c>
      <c r="J238">
        <v>1015</v>
      </c>
      <c r="K238">
        <v>71322</v>
      </c>
      <c r="L238">
        <v>86819</v>
      </c>
      <c r="M238" t="s">
        <v>52</v>
      </c>
      <c r="N238" s="44">
        <f t="shared" si="3"/>
        <v>0.10217809465669957</v>
      </c>
      <c r="O238" s="44">
        <f>Table2[[#This Row],[Shares]]/Table2[[#This Row],[Impressions]]</f>
        <v>6.0931362950506227E-3</v>
      </c>
      <c r="P238">
        <f>(Table2[[#This Row],[Engagement Rate]]+Table2[[#This Row],[Click through rate]])*100</f>
        <v>10.827123095175018</v>
      </c>
    </row>
    <row r="239" spans="1:16" x14ac:dyDescent="0.25">
      <c r="A239" t="s">
        <v>282</v>
      </c>
      <c r="B239" t="s">
        <v>47</v>
      </c>
      <c r="C239" s="43">
        <v>45489</v>
      </c>
      <c r="D239" t="s">
        <v>26</v>
      </c>
      <c r="E239" t="s">
        <v>48</v>
      </c>
      <c r="F239" t="s">
        <v>32</v>
      </c>
      <c r="G239">
        <v>8767</v>
      </c>
      <c r="H239">
        <v>974</v>
      </c>
      <c r="I239">
        <v>733</v>
      </c>
      <c r="J239">
        <v>1587</v>
      </c>
      <c r="K239">
        <v>74927</v>
      </c>
      <c r="L239">
        <v>113770</v>
      </c>
      <c r="M239" t="s">
        <v>18</v>
      </c>
      <c r="N239" s="44">
        <f t="shared" si="3"/>
        <v>9.2062933989628198E-2</v>
      </c>
      <c r="O239" s="44">
        <f>Table2[[#This Row],[Shares]]/Table2[[#This Row],[Impressions]]</f>
        <v>8.5611321086402382E-3</v>
      </c>
      <c r="P239">
        <f>(Table2[[#This Row],[Engagement Rate]]+Table2[[#This Row],[Click through rate]])*100</f>
        <v>10.062406609826843</v>
      </c>
    </row>
    <row r="240" spans="1:16" x14ac:dyDescent="0.25">
      <c r="A240" t="s">
        <v>283</v>
      </c>
      <c r="B240" t="s">
        <v>14</v>
      </c>
      <c r="C240" s="43">
        <v>45910</v>
      </c>
      <c r="D240" t="s">
        <v>15</v>
      </c>
      <c r="E240" t="s">
        <v>21</v>
      </c>
      <c r="F240" t="s">
        <v>22</v>
      </c>
      <c r="G240">
        <v>13613</v>
      </c>
      <c r="H240">
        <v>350</v>
      </c>
      <c r="I240">
        <v>809</v>
      </c>
      <c r="J240">
        <v>2013</v>
      </c>
      <c r="K240">
        <v>20471</v>
      </c>
      <c r="L240">
        <v>198038</v>
      </c>
      <c r="M240" t="s">
        <v>23</v>
      </c>
      <c r="N240" s="44">
        <f t="shared" si="3"/>
        <v>7.4591745018632791E-2</v>
      </c>
      <c r="O240" s="44">
        <f>Table2[[#This Row],[Shares]]/Table2[[#This Row],[Impressions]]</f>
        <v>1.767337581676244E-3</v>
      </c>
      <c r="P240">
        <f>(Table2[[#This Row],[Engagement Rate]]+Table2[[#This Row],[Click through rate]])*100</f>
        <v>7.6359082600309032</v>
      </c>
    </row>
    <row r="241" spans="1:16" x14ac:dyDescent="0.25">
      <c r="A241" t="s">
        <v>284</v>
      </c>
      <c r="B241" t="s">
        <v>20</v>
      </c>
      <c r="C241" s="43">
        <v>45911</v>
      </c>
      <c r="D241" t="s">
        <v>31</v>
      </c>
      <c r="E241" t="s">
        <v>40</v>
      </c>
      <c r="F241" t="s">
        <v>41</v>
      </c>
      <c r="G241">
        <v>21901</v>
      </c>
      <c r="H241">
        <v>1308</v>
      </c>
      <c r="I241">
        <v>724</v>
      </c>
      <c r="J241">
        <v>2183</v>
      </c>
      <c r="K241">
        <v>15996</v>
      </c>
      <c r="L241">
        <v>230961</v>
      </c>
      <c r="M241" t="s">
        <v>23</v>
      </c>
      <c r="N241" s="44">
        <f t="shared" si="3"/>
        <v>0.10362355549205277</v>
      </c>
      <c r="O241" s="44">
        <f>Table2[[#This Row],[Shares]]/Table2[[#This Row],[Impressions]]</f>
        <v>5.6632938028498316E-3</v>
      </c>
      <c r="P241">
        <f>(Table2[[#This Row],[Engagement Rate]]+Table2[[#This Row],[Click through rate]])*100</f>
        <v>10.928684929490259</v>
      </c>
    </row>
    <row r="242" spans="1:16" x14ac:dyDescent="0.25">
      <c r="A242" t="s">
        <v>285</v>
      </c>
      <c r="B242" t="s">
        <v>47</v>
      </c>
      <c r="C242" s="43">
        <v>45675</v>
      </c>
      <c r="D242" t="s">
        <v>26</v>
      </c>
      <c r="E242" t="s">
        <v>62</v>
      </c>
      <c r="F242" t="s">
        <v>37</v>
      </c>
      <c r="G242">
        <v>12589</v>
      </c>
      <c r="H242">
        <v>346</v>
      </c>
      <c r="I242">
        <v>459</v>
      </c>
      <c r="J242">
        <v>1407</v>
      </c>
      <c r="K242">
        <v>29254</v>
      </c>
      <c r="L242">
        <v>198059</v>
      </c>
      <c r="M242" t="s">
        <v>29</v>
      </c>
      <c r="N242" s="44">
        <f t="shared" si="3"/>
        <v>6.7626313371268162E-2</v>
      </c>
      <c r="O242" s="44">
        <f>Table2[[#This Row],[Shares]]/Table2[[#This Row],[Impressions]]</f>
        <v>1.7469541904180067E-3</v>
      </c>
      <c r="P242">
        <f>(Table2[[#This Row],[Engagement Rate]]+Table2[[#This Row],[Click through rate]])*100</f>
        <v>6.9373267561686172</v>
      </c>
    </row>
    <row r="243" spans="1:16" x14ac:dyDescent="0.25">
      <c r="A243" t="s">
        <v>286</v>
      </c>
      <c r="B243" t="s">
        <v>14</v>
      </c>
      <c r="C243" s="43">
        <v>45912</v>
      </c>
      <c r="D243" t="s">
        <v>31</v>
      </c>
      <c r="E243" t="s">
        <v>40</v>
      </c>
      <c r="F243" t="s">
        <v>41</v>
      </c>
      <c r="G243">
        <v>15918</v>
      </c>
      <c r="H243">
        <v>1114</v>
      </c>
      <c r="I243">
        <v>392</v>
      </c>
      <c r="J243">
        <v>1641</v>
      </c>
      <c r="K243">
        <v>28044</v>
      </c>
      <c r="L243">
        <v>118714</v>
      </c>
      <c r="M243" t="s">
        <v>23</v>
      </c>
      <c r="N243" s="44">
        <f t="shared" si="3"/>
        <v>0.14677291642097814</v>
      </c>
      <c r="O243" s="44">
        <f>Table2[[#This Row],[Shares]]/Table2[[#This Row],[Impressions]]</f>
        <v>9.3838974341695167E-3</v>
      </c>
      <c r="P243">
        <f>(Table2[[#This Row],[Engagement Rate]]+Table2[[#This Row],[Click through rate]])*100</f>
        <v>15.615681385514765</v>
      </c>
    </row>
    <row r="244" spans="1:16" x14ac:dyDescent="0.25">
      <c r="A244" t="s">
        <v>287</v>
      </c>
      <c r="B244" t="s">
        <v>20</v>
      </c>
      <c r="C244" s="43">
        <v>45722</v>
      </c>
      <c r="D244" t="s">
        <v>26</v>
      </c>
      <c r="E244" t="s">
        <v>48</v>
      </c>
      <c r="F244" t="s">
        <v>32</v>
      </c>
      <c r="G244">
        <v>22119</v>
      </c>
      <c r="H244">
        <v>899</v>
      </c>
      <c r="I244">
        <v>642</v>
      </c>
      <c r="J244">
        <v>410</v>
      </c>
      <c r="K244">
        <v>49490</v>
      </c>
      <c r="L244">
        <v>229420</v>
      </c>
      <c r="M244" t="s">
        <v>34</v>
      </c>
      <c r="N244" s="44">
        <f t="shared" si="3"/>
        <v>0.10312963124400662</v>
      </c>
      <c r="O244" s="44">
        <f>Table2[[#This Row],[Shares]]/Table2[[#This Row],[Impressions]]</f>
        <v>3.9185772818411645E-3</v>
      </c>
      <c r="P244">
        <f>(Table2[[#This Row],[Engagement Rate]]+Table2[[#This Row],[Click through rate]])*100</f>
        <v>10.704820852584779</v>
      </c>
    </row>
    <row r="245" spans="1:16" x14ac:dyDescent="0.25">
      <c r="A245" t="s">
        <v>288</v>
      </c>
      <c r="B245" t="s">
        <v>25</v>
      </c>
      <c r="C245" s="43">
        <v>45913</v>
      </c>
      <c r="D245" t="s">
        <v>31</v>
      </c>
      <c r="E245" t="s">
        <v>62</v>
      </c>
      <c r="F245" t="s">
        <v>37</v>
      </c>
      <c r="G245">
        <v>15046</v>
      </c>
      <c r="H245">
        <v>281</v>
      </c>
      <c r="I245">
        <v>515</v>
      </c>
      <c r="J245">
        <v>550</v>
      </c>
      <c r="K245">
        <v>22583</v>
      </c>
      <c r="L245">
        <v>64596</v>
      </c>
      <c r="M245" t="s">
        <v>23</v>
      </c>
      <c r="N245" s="44">
        <f t="shared" si="3"/>
        <v>0.24524738373893121</v>
      </c>
      <c r="O245" s="44">
        <f>Table2[[#This Row],[Shares]]/Table2[[#This Row],[Impressions]]</f>
        <v>4.3501145581769773E-3</v>
      </c>
      <c r="P245">
        <f>(Table2[[#This Row],[Engagement Rate]]+Table2[[#This Row],[Click through rate]])*100</f>
        <v>24.959749829710816</v>
      </c>
    </row>
    <row r="246" spans="1:16" x14ac:dyDescent="0.25">
      <c r="A246" t="s">
        <v>289</v>
      </c>
      <c r="B246" t="s">
        <v>14</v>
      </c>
      <c r="C246" s="43">
        <v>45669</v>
      </c>
      <c r="D246" t="s">
        <v>15</v>
      </c>
      <c r="E246" t="s">
        <v>32</v>
      </c>
      <c r="F246" t="s">
        <v>33</v>
      </c>
      <c r="G246">
        <v>4590</v>
      </c>
      <c r="H246">
        <v>713</v>
      </c>
      <c r="I246">
        <v>479</v>
      </c>
      <c r="J246">
        <v>2730</v>
      </c>
      <c r="K246">
        <v>41050</v>
      </c>
      <c r="L246">
        <v>204246</v>
      </c>
      <c r="M246" t="s">
        <v>29</v>
      </c>
      <c r="N246" s="44">
        <f t="shared" si="3"/>
        <v>2.8308999931455206E-2</v>
      </c>
      <c r="O246" s="44">
        <f>Table2[[#This Row],[Shares]]/Table2[[#This Row],[Impressions]]</f>
        <v>3.490888438451671E-3</v>
      </c>
      <c r="P246">
        <f>(Table2[[#This Row],[Engagement Rate]]+Table2[[#This Row],[Click through rate]])*100</f>
        <v>3.1799888369906872</v>
      </c>
    </row>
    <row r="247" spans="1:16" x14ac:dyDescent="0.25">
      <c r="A247" t="s">
        <v>290</v>
      </c>
      <c r="B247" t="s">
        <v>47</v>
      </c>
      <c r="C247" s="43">
        <v>45576</v>
      </c>
      <c r="D247" t="s">
        <v>39</v>
      </c>
      <c r="E247" t="s">
        <v>48</v>
      </c>
      <c r="F247" t="s">
        <v>32</v>
      </c>
      <c r="G247">
        <v>19447</v>
      </c>
      <c r="H247">
        <v>1014</v>
      </c>
      <c r="I247">
        <v>256</v>
      </c>
      <c r="J247">
        <v>2354</v>
      </c>
      <c r="K247">
        <v>5472</v>
      </c>
      <c r="L247">
        <v>104106</v>
      </c>
      <c r="M247" t="s">
        <v>18</v>
      </c>
      <c r="N247" s="44">
        <f t="shared" si="3"/>
        <v>0.19899909707413599</v>
      </c>
      <c r="O247" s="44">
        <f>Table2[[#This Row],[Shares]]/Table2[[#This Row],[Impressions]]</f>
        <v>9.7400726182928932E-3</v>
      </c>
      <c r="P247">
        <f>(Table2[[#This Row],[Engagement Rate]]+Table2[[#This Row],[Click through rate]])*100</f>
        <v>20.873916969242888</v>
      </c>
    </row>
    <row r="248" spans="1:16" x14ac:dyDescent="0.25">
      <c r="A248" t="s">
        <v>291</v>
      </c>
      <c r="B248" t="s">
        <v>25</v>
      </c>
      <c r="C248" s="43">
        <v>45531</v>
      </c>
      <c r="D248" t="s">
        <v>15</v>
      </c>
      <c r="E248" t="s">
        <v>71</v>
      </c>
      <c r="G248">
        <v>6324</v>
      </c>
      <c r="H248">
        <v>908</v>
      </c>
      <c r="I248">
        <v>375</v>
      </c>
      <c r="J248">
        <v>758</v>
      </c>
      <c r="K248">
        <v>34850</v>
      </c>
      <c r="L248">
        <v>241039</v>
      </c>
      <c r="M248" t="s">
        <v>18</v>
      </c>
      <c r="N248" s="44">
        <f t="shared" si="3"/>
        <v>3.1559208260903839E-2</v>
      </c>
      <c r="O248" s="44">
        <f>Table2[[#This Row],[Shares]]/Table2[[#This Row],[Impressions]]</f>
        <v>3.7670252531747973E-3</v>
      </c>
      <c r="P248">
        <f>(Table2[[#This Row],[Engagement Rate]]+Table2[[#This Row],[Click through rate]])*100</f>
        <v>3.5326233514078638</v>
      </c>
    </row>
    <row r="249" spans="1:16" x14ac:dyDescent="0.25">
      <c r="A249" t="s">
        <v>292</v>
      </c>
      <c r="B249" t="s">
        <v>25</v>
      </c>
      <c r="C249" s="43">
        <v>45914</v>
      </c>
      <c r="D249" t="s">
        <v>39</v>
      </c>
      <c r="E249" t="s">
        <v>32</v>
      </c>
      <c r="F249" t="s">
        <v>57</v>
      </c>
      <c r="G249">
        <v>12787</v>
      </c>
      <c r="H249">
        <v>945</v>
      </c>
      <c r="I249">
        <v>974</v>
      </c>
      <c r="J249">
        <v>1407</v>
      </c>
      <c r="K249">
        <v>4037</v>
      </c>
      <c r="L249">
        <v>99182</v>
      </c>
      <c r="M249" t="s">
        <v>23</v>
      </c>
      <c r="N249" s="44">
        <f t="shared" si="3"/>
        <v>0.14827287209372669</v>
      </c>
      <c r="O249" s="44">
        <f>Table2[[#This Row],[Shares]]/Table2[[#This Row],[Impressions]]</f>
        <v>9.5279385372345794E-3</v>
      </c>
      <c r="P249">
        <f>(Table2[[#This Row],[Engagement Rate]]+Table2[[#This Row],[Click through rate]])*100</f>
        <v>15.780081063096127</v>
      </c>
    </row>
    <row r="250" spans="1:16" x14ac:dyDescent="0.25">
      <c r="A250" t="s">
        <v>293</v>
      </c>
      <c r="B250" t="s">
        <v>25</v>
      </c>
      <c r="C250" s="43">
        <v>45491</v>
      </c>
      <c r="D250" t="s">
        <v>31</v>
      </c>
      <c r="E250" t="s">
        <v>71</v>
      </c>
      <c r="G250">
        <v>11111</v>
      </c>
      <c r="H250">
        <v>1222</v>
      </c>
      <c r="I250">
        <v>367</v>
      </c>
      <c r="J250">
        <v>507</v>
      </c>
      <c r="K250">
        <v>14129</v>
      </c>
      <c r="L250">
        <v>127163</v>
      </c>
      <c r="M250" t="s">
        <v>52</v>
      </c>
      <c r="N250" s="44">
        <f t="shared" si="3"/>
        <v>9.9871818060284834E-2</v>
      </c>
      <c r="O250" s="44">
        <f>Table2[[#This Row],[Shares]]/Table2[[#This Row],[Impressions]]</f>
        <v>9.6097135172966974E-3</v>
      </c>
      <c r="P250">
        <f>(Table2[[#This Row],[Engagement Rate]]+Table2[[#This Row],[Click through rate]])*100</f>
        <v>10.948153157758153</v>
      </c>
    </row>
    <row r="251" spans="1:16" x14ac:dyDescent="0.25">
      <c r="A251" t="s">
        <v>294</v>
      </c>
      <c r="B251" t="s">
        <v>14</v>
      </c>
      <c r="C251" s="43">
        <v>45465</v>
      </c>
      <c r="D251" t="s">
        <v>26</v>
      </c>
      <c r="E251" t="s">
        <v>43</v>
      </c>
      <c r="F251" t="s">
        <v>44</v>
      </c>
      <c r="G251">
        <v>7342</v>
      </c>
      <c r="H251">
        <v>906</v>
      </c>
      <c r="I251">
        <v>902</v>
      </c>
      <c r="J251">
        <v>1199</v>
      </c>
      <c r="K251">
        <v>68488</v>
      </c>
      <c r="L251">
        <v>79310</v>
      </c>
      <c r="M251" t="s">
        <v>18</v>
      </c>
      <c r="N251" s="44">
        <f t="shared" si="3"/>
        <v>0.1153700668263775</v>
      </c>
      <c r="O251" s="44">
        <f>Table2[[#This Row],[Shares]]/Table2[[#This Row],[Impressions]]</f>
        <v>1.1423527928382297E-2</v>
      </c>
      <c r="P251">
        <f>(Table2[[#This Row],[Engagement Rate]]+Table2[[#This Row],[Click through rate]])*100</f>
        <v>12.679359475475978</v>
      </c>
    </row>
    <row r="252" spans="1:16" x14ac:dyDescent="0.25">
      <c r="A252" t="s">
        <v>295</v>
      </c>
      <c r="B252" t="s">
        <v>47</v>
      </c>
      <c r="C252" s="43">
        <v>45915</v>
      </c>
      <c r="D252" t="s">
        <v>15</v>
      </c>
      <c r="E252" t="s">
        <v>40</v>
      </c>
      <c r="F252" t="s">
        <v>41</v>
      </c>
      <c r="G252">
        <v>18389</v>
      </c>
      <c r="H252">
        <v>670</v>
      </c>
      <c r="I252">
        <v>655</v>
      </c>
      <c r="J252">
        <v>321</v>
      </c>
      <c r="K252">
        <v>21869</v>
      </c>
      <c r="L252">
        <v>96088</v>
      </c>
      <c r="M252" t="s">
        <v>23</v>
      </c>
      <c r="N252" s="44">
        <f t="shared" si="3"/>
        <v>0.2051660977437349</v>
      </c>
      <c r="O252" s="44">
        <f>Table2[[#This Row],[Shares]]/Table2[[#This Row],[Impressions]]</f>
        <v>6.9727749562900673E-3</v>
      </c>
      <c r="P252">
        <f>(Table2[[#This Row],[Engagement Rate]]+Table2[[#This Row],[Click through rate]])*100</f>
        <v>21.213887270002495</v>
      </c>
    </row>
    <row r="253" spans="1:16" x14ac:dyDescent="0.25">
      <c r="A253" t="s">
        <v>296</v>
      </c>
      <c r="B253" t="s">
        <v>25</v>
      </c>
      <c r="C253" s="43">
        <v>45775</v>
      </c>
      <c r="D253" t="s">
        <v>39</v>
      </c>
      <c r="E253" t="s">
        <v>32</v>
      </c>
      <c r="F253" t="s">
        <v>57</v>
      </c>
      <c r="G253">
        <v>10659</v>
      </c>
      <c r="H253">
        <v>1342</v>
      </c>
      <c r="I253">
        <v>408</v>
      </c>
      <c r="J253">
        <v>709</v>
      </c>
      <c r="K253">
        <v>16309</v>
      </c>
      <c r="L253">
        <v>168803</v>
      </c>
      <c r="M253" t="s">
        <v>29</v>
      </c>
      <c r="N253" s="44">
        <f t="shared" si="3"/>
        <v>7.3511726687321907E-2</v>
      </c>
      <c r="O253" s="44">
        <f>Table2[[#This Row],[Shares]]/Table2[[#This Row],[Impressions]]</f>
        <v>7.9500956736550891E-3</v>
      </c>
      <c r="P253">
        <f>(Table2[[#This Row],[Engagement Rate]]+Table2[[#This Row],[Click through rate]])*100</f>
        <v>8.146182236097701</v>
      </c>
    </row>
    <row r="254" spans="1:16" x14ac:dyDescent="0.25">
      <c r="A254" t="s">
        <v>297</v>
      </c>
      <c r="B254" t="s">
        <v>20</v>
      </c>
      <c r="C254" s="43">
        <v>45916</v>
      </c>
      <c r="D254" t="s">
        <v>15</v>
      </c>
      <c r="E254" t="s">
        <v>71</v>
      </c>
      <c r="G254">
        <v>16043</v>
      </c>
      <c r="H254">
        <v>595</v>
      </c>
      <c r="I254">
        <v>923</v>
      </c>
      <c r="J254">
        <v>1194</v>
      </c>
      <c r="K254">
        <v>52613</v>
      </c>
      <c r="L254">
        <v>179978</v>
      </c>
      <c r="M254" t="s">
        <v>23</v>
      </c>
      <c r="N254" s="44">
        <f t="shared" si="3"/>
        <v>9.757303670448611E-2</v>
      </c>
      <c r="O254" s="44">
        <f>Table2[[#This Row],[Shares]]/Table2[[#This Row],[Impressions]]</f>
        <v>3.3059596172865572E-3</v>
      </c>
      <c r="P254">
        <f>(Table2[[#This Row],[Engagement Rate]]+Table2[[#This Row],[Click through rate]])*100</f>
        <v>10.087899632177265</v>
      </c>
    </row>
    <row r="255" spans="1:16" x14ac:dyDescent="0.25">
      <c r="A255" t="s">
        <v>298</v>
      </c>
      <c r="B255" t="s">
        <v>25</v>
      </c>
      <c r="C255" s="43">
        <v>45671</v>
      </c>
      <c r="D255" t="s">
        <v>39</v>
      </c>
      <c r="E255" t="s">
        <v>32</v>
      </c>
      <c r="F255" t="s">
        <v>57</v>
      </c>
      <c r="G255">
        <v>24350</v>
      </c>
      <c r="H255">
        <v>460</v>
      </c>
      <c r="I255">
        <v>666</v>
      </c>
      <c r="J255">
        <v>814</v>
      </c>
      <c r="K255">
        <v>21120</v>
      </c>
      <c r="L255">
        <v>76914</v>
      </c>
      <c r="M255" t="s">
        <v>18</v>
      </c>
      <c r="N255" s="44">
        <f t="shared" si="3"/>
        <v>0.33122708479600593</v>
      </c>
      <c r="O255" s="44">
        <f>Table2[[#This Row],[Shares]]/Table2[[#This Row],[Impressions]]</f>
        <v>5.9807057232753461E-3</v>
      </c>
      <c r="P255">
        <f>(Table2[[#This Row],[Engagement Rate]]+Table2[[#This Row],[Click through rate]])*100</f>
        <v>33.720779051928126</v>
      </c>
    </row>
    <row r="256" spans="1:16" x14ac:dyDescent="0.25">
      <c r="A256" t="s">
        <v>299</v>
      </c>
      <c r="B256" t="s">
        <v>25</v>
      </c>
      <c r="C256" s="43">
        <v>45750</v>
      </c>
      <c r="D256" t="s">
        <v>15</v>
      </c>
      <c r="E256" t="s">
        <v>122</v>
      </c>
      <c r="F256" t="s">
        <v>123</v>
      </c>
      <c r="G256">
        <v>10837</v>
      </c>
      <c r="H256">
        <v>1004</v>
      </c>
      <c r="I256">
        <v>922</v>
      </c>
      <c r="J256">
        <v>1108</v>
      </c>
      <c r="K256">
        <v>36807</v>
      </c>
      <c r="L256">
        <v>150350</v>
      </c>
      <c r="M256" t="s">
        <v>29</v>
      </c>
      <c r="N256" s="44">
        <f t="shared" si="3"/>
        <v>8.4888593282341204E-2</v>
      </c>
      <c r="O256" s="44">
        <f>Table2[[#This Row],[Shares]]/Table2[[#This Row],[Impressions]]</f>
        <v>6.6777519122048551E-3</v>
      </c>
      <c r="P256">
        <f>(Table2[[#This Row],[Engagement Rate]]+Table2[[#This Row],[Click through rate]])*100</f>
        <v>9.1566345194546059</v>
      </c>
    </row>
    <row r="257" spans="1:16" x14ac:dyDescent="0.25">
      <c r="A257" t="s">
        <v>300</v>
      </c>
      <c r="B257" t="s">
        <v>14</v>
      </c>
      <c r="C257" s="43">
        <v>45917</v>
      </c>
      <c r="D257" t="s">
        <v>39</v>
      </c>
      <c r="E257" t="s">
        <v>40</v>
      </c>
      <c r="F257" t="s">
        <v>41</v>
      </c>
      <c r="G257">
        <v>2117</v>
      </c>
      <c r="H257">
        <v>1133</v>
      </c>
      <c r="I257">
        <v>203</v>
      </c>
      <c r="J257">
        <v>1173</v>
      </c>
      <c r="K257">
        <v>40125</v>
      </c>
      <c r="L257">
        <v>85379</v>
      </c>
      <c r="M257" t="s">
        <v>23</v>
      </c>
      <c r="N257" s="44">
        <f t="shared" si="3"/>
        <v>4.0443200318579509E-2</v>
      </c>
      <c r="O257" s="44">
        <f>Table2[[#This Row],[Shares]]/Table2[[#This Row],[Impressions]]</f>
        <v>1.3270242097002775E-2</v>
      </c>
      <c r="P257">
        <f>(Table2[[#This Row],[Engagement Rate]]+Table2[[#This Row],[Click through rate]])*100</f>
        <v>5.3713442415582282</v>
      </c>
    </row>
    <row r="258" spans="1:16" x14ac:dyDescent="0.25">
      <c r="A258" t="s">
        <v>301</v>
      </c>
      <c r="B258" t="s">
        <v>14</v>
      </c>
      <c r="C258" s="43">
        <v>45753</v>
      </c>
      <c r="D258" t="s">
        <v>39</v>
      </c>
      <c r="E258" t="s">
        <v>32</v>
      </c>
      <c r="F258" t="s">
        <v>57</v>
      </c>
      <c r="G258">
        <v>15917</v>
      </c>
      <c r="H258">
        <v>1479</v>
      </c>
      <c r="I258">
        <v>196</v>
      </c>
      <c r="J258">
        <v>313</v>
      </c>
      <c r="K258">
        <v>48524</v>
      </c>
      <c r="L258">
        <v>249684</v>
      </c>
      <c r="M258" t="s">
        <v>34</v>
      </c>
      <c r="N258" s="44">
        <f t="shared" si="3"/>
        <v>7.0457057720959296E-2</v>
      </c>
      <c r="O258" s="44">
        <f>Table2[[#This Row],[Shares]]/Table2[[#This Row],[Impressions]]</f>
        <v>5.9234872879319464E-3</v>
      </c>
      <c r="P258">
        <f>(Table2[[#This Row],[Engagement Rate]]+Table2[[#This Row],[Click through rate]])*100</f>
        <v>7.6380545008891243</v>
      </c>
    </row>
    <row r="259" spans="1:16" x14ac:dyDescent="0.25">
      <c r="A259" t="s">
        <v>302</v>
      </c>
      <c r="B259" t="s">
        <v>47</v>
      </c>
      <c r="C259" s="43">
        <v>45509</v>
      </c>
      <c r="D259" t="s">
        <v>31</v>
      </c>
      <c r="E259" t="s">
        <v>16</v>
      </c>
      <c r="F259" t="s">
        <v>17</v>
      </c>
      <c r="G259">
        <v>20935</v>
      </c>
      <c r="H259">
        <v>1104</v>
      </c>
      <c r="I259">
        <v>876</v>
      </c>
      <c r="J259">
        <v>1270</v>
      </c>
      <c r="K259">
        <v>21454</v>
      </c>
      <c r="L259">
        <v>208722</v>
      </c>
      <c r="M259" t="s">
        <v>29</v>
      </c>
      <c r="N259" s="44">
        <f t="shared" ref="N259:N301" si="4">(G259+H259+I259)/L259</f>
        <v>0.10978718103506099</v>
      </c>
      <c r="O259" s="44">
        <f>Table2[[#This Row],[Shares]]/Table2[[#This Row],[Impressions]]</f>
        <v>5.2893322218069971E-3</v>
      </c>
      <c r="P259">
        <f>(Table2[[#This Row],[Engagement Rate]]+Table2[[#This Row],[Click through rate]])*100</f>
        <v>11.507651325686799</v>
      </c>
    </row>
    <row r="260" spans="1:16" x14ac:dyDescent="0.25">
      <c r="A260" t="s">
        <v>303</v>
      </c>
      <c r="B260" t="s">
        <v>20</v>
      </c>
      <c r="C260" s="43">
        <v>45698</v>
      </c>
      <c r="D260" t="s">
        <v>39</v>
      </c>
      <c r="E260" t="s">
        <v>21</v>
      </c>
      <c r="F260" t="s">
        <v>22</v>
      </c>
      <c r="G260">
        <v>16309</v>
      </c>
      <c r="H260">
        <v>1449</v>
      </c>
      <c r="I260">
        <v>838</v>
      </c>
      <c r="J260">
        <v>2434</v>
      </c>
      <c r="K260">
        <v>2940</v>
      </c>
      <c r="L260">
        <v>217953</v>
      </c>
      <c r="M260" t="s">
        <v>34</v>
      </c>
      <c r="N260" s="44">
        <f t="shared" si="4"/>
        <v>8.5321147219813445E-2</v>
      </c>
      <c r="O260" s="44">
        <f>Table2[[#This Row],[Shares]]/Table2[[#This Row],[Impressions]]</f>
        <v>6.6482223231614157E-3</v>
      </c>
      <c r="P260">
        <f>(Table2[[#This Row],[Engagement Rate]]+Table2[[#This Row],[Click through rate]])*100</f>
        <v>9.1969369542974846</v>
      </c>
    </row>
    <row r="261" spans="1:16" x14ac:dyDescent="0.25">
      <c r="A261" t="s">
        <v>304</v>
      </c>
      <c r="B261" t="s">
        <v>14</v>
      </c>
      <c r="C261" s="43">
        <v>45700</v>
      </c>
      <c r="D261" t="s">
        <v>31</v>
      </c>
      <c r="E261" t="s">
        <v>21</v>
      </c>
      <c r="F261" t="s">
        <v>22</v>
      </c>
      <c r="G261">
        <v>15234</v>
      </c>
      <c r="H261">
        <v>1276</v>
      </c>
      <c r="I261">
        <v>670</v>
      </c>
      <c r="J261">
        <v>1860</v>
      </c>
      <c r="K261">
        <v>60397</v>
      </c>
      <c r="L261">
        <v>86413</v>
      </c>
      <c r="M261" t="s">
        <v>52</v>
      </c>
      <c r="N261" s="44">
        <f t="shared" si="4"/>
        <v>0.19881267864788862</v>
      </c>
      <c r="O261" s="44">
        <f>Table2[[#This Row],[Shares]]/Table2[[#This Row],[Impressions]]</f>
        <v>1.4766296737759366E-2</v>
      </c>
      <c r="P261">
        <f>(Table2[[#This Row],[Engagement Rate]]+Table2[[#This Row],[Click through rate]])*100</f>
        <v>21.357897538564799</v>
      </c>
    </row>
    <row r="262" spans="1:16" x14ac:dyDescent="0.25">
      <c r="A262" t="s">
        <v>305</v>
      </c>
      <c r="B262" t="s">
        <v>25</v>
      </c>
      <c r="C262" s="43">
        <v>45592</v>
      </c>
      <c r="D262" t="s">
        <v>39</v>
      </c>
      <c r="E262" t="s">
        <v>16</v>
      </c>
      <c r="F262" t="s">
        <v>17</v>
      </c>
      <c r="G262">
        <v>7560</v>
      </c>
      <c r="H262">
        <v>1139</v>
      </c>
      <c r="I262">
        <v>248</v>
      </c>
      <c r="J262">
        <v>1624</v>
      </c>
      <c r="K262">
        <v>72237</v>
      </c>
      <c r="L262">
        <v>177084</v>
      </c>
      <c r="M262" t="s">
        <v>29</v>
      </c>
      <c r="N262" s="44">
        <f t="shared" si="4"/>
        <v>5.0524045085947912E-2</v>
      </c>
      <c r="O262" s="44">
        <f>Table2[[#This Row],[Shares]]/Table2[[#This Row],[Impressions]]</f>
        <v>6.4319757855029252E-3</v>
      </c>
      <c r="P262">
        <f>(Table2[[#This Row],[Engagement Rate]]+Table2[[#This Row],[Click through rate]])*100</f>
        <v>5.6956020871450841</v>
      </c>
    </row>
    <row r="263" spans="1:16" x14ac:dyDescent="0.25">
      <c r="A263" t="s">
        <v>306</v>
      </c>
      <c r="B263" t="s">
        <v>47</v>
      </c>
      <c r="C263" s="43">
        <v>45675</v>
      </c>
      <c r="D263" t="s">
        <v>26</v>
      </c>
      <c r="E263" t="s">
        <v>62</v>
      </c>
      <c r="F263" t="s">
        <v>37</v>
      </c>
      <c r="G263">
        <v>22673</v>
      </c>
      <c r="H263">
        <v>1053</v>
      </c>
      <c r="I263">
        <v>169</v>
      </c>
      <c r="J263">
        <v>1566</v>
      </c>
      <c r="K263">
        <v>9417</v>
      </c>
      <c r="L263">
        <v>221187</v>
      </c>
      <c r="M263" t="s">
        <v>34</v>
      </c>
      <c r="N263" s="44">
        <f t="shared" si="4"/>
        <v>0.10803076130152314</v>
      </c>
      <c r="O263" s="44">
        <f>Table2[[#This Row],[Shares]]/Table2[[#This Row],[Impressions]]</f>
        <v>4.7606776166772913E-3</v>
      </c>
      <c r="P263">
        <f>(Table2[[#This Row],[Engagement Rate]]+Table2[[#This Row],[Click through rate]])*100</f>
        <v>11.279143891820045</v>
      </c>
    </row>
    <row r="264" spans="1:16" x14ac:dyDescent="0.25">
      <c r="A264" t="s">
        <v>307</v>
      </c>
      <c r="B264" t="s">
        <v>25</v>
      </c>
      <c r="C264" s="43">
        <v>45524</v>
      </c>
      <c r="D264" t="s">
        <v>26</v>
      </c>
      <c r="E264" t="s">
        <v>37</v>
      </c>
      <c r="G264">
        <v>2846</v>
      </c>
      <c r="H264">
        <v>792</v>
      </c>
      <c r="I264">
        <v>902</v>
      </c>
      <c r="J264">
        <v>2469</v>
      </c>
      <c r="K264">
        <v>12130</v>
      </c>
      <c r="L264">
        <v>47151</v>
      </c>
      <c r="M264" t="s">
        <v>18</v>
      </c>
      <c r="N264" s="44">
        <f t="shared" si="4"/>
        <v>9.6286399015927546E-2</v>
      </c>
      <c r="O264" s="44">
        <f>Table2[[#This Row],[Shares]]/Table2[[#This Row],[Impressions]]</f>
        <v>1.6797098682954762E-2</v>
      </c>
      <c r="P264">
        <f>(Table2[[#This Row],[Engagement Rate]]+Table2[[#This Row],[Click through rate]])*100</f>
        <v>11.308349769888231</v>
      </c>
    </row>
    <row r="265" spans="1:16" x14ac:dyDescent="0.25">
      <c r="A265" t="s">
        <v>308</v>
      </c>
      <c r="B265" t="s">
        <v>25</v>
      </c>
      <c r="C265" s="43">
        <v>45687</v>
      </c>
      <c r="D265" t="s">
        <v>26</v>
      </c>
      <c r="E265" t="s">
        <v>62</v>
      </c>
      <c r="F265" t="s">
        <v>37</v>
      </c>
      <c r="G265">
        <v>12954</v>
      </c>
      <c r="H265">
        <v>913</v>
      </c>
      <c r="I265">
        <v>722</v>
      </c>
      <c r="J265">
        <v>1049</v>
      </c>
      <c r="K265">
        <v>475</v>
      </c>
      <c r="L265">
        <v>97716</v>
      </c>
      <c r="M265" t="s">
        <v>18</v>
      </c>
      <c r="N265" s="44">
        <f t="shared" si="4"/>
        <v>0.14930001228048631</v>
      </c>
      <c r="O265" s="44">
        <f>Table2[[#This Row],[Shares]]/Table2[[#This Row],[Impressions]]</f>
        <v>9.3434033321052844E-3</v>
      </c>
      <c r="P265">
        <f>(Table2[[#This Row],[Engagement Rate]]+Table2[[#This Row],[Click through rate]])*100</f>
        <v>15.86434156125916</v>
      </c>
    </row>
    <row r="266" spans="1:16" x14ac:dyDescent="0.25">
      <c r="A266" t="s">
        <v>309</v>
      </c>
      <c r="B266" t="s">
        <v>14</v>
      </c>
      <c r="C266" s="43">
        <v>45708</v>
      </c>
      <c r="D266" t="s">
        <v>39</v>
      </c>
      <c r="E266" t="s">
        <v>48</v>
      </c>
      <c r="F266" t="s">
        <v>32</v>
      </c>
      <c r="G266">
        <v>15703</v>
      </c>
      <c r="H266">
        <v>1381</v>
      </c>
      <c r="I266">
        <v>639</v>
      </c>
      <c r="J266">
        <v>984</v>
      </c>
      <c r="K266">
        <v>10967</v>
      </c>
      <c r="L266">
        <v>133747</v>
      </c>
      <c r="M266" t="s">
        <v>52</v>
      </c>
      <c r="N266" s="44">
        <f t="shared" si="4"/>
        <v>0.13251138343289942</v>
      </c>
      <c r="O266" s="44">
        <f>Table2[[#This Row],[Shares]]/Table2[[#This Row],[Impressions]]</f>
        <v>1.0325465244080241E-2</v>
      </c>
      <c r="P266">
        <f>(Table2[[#This Row],[Engagement Rate]]+Table2[[#This Row],[Click through rate]])*100</f>
        <v>14.283684867697966</v>
      </c>
    </row>
    <row r="267" spans="1:16" x14ac:dyDescent="0.25">
      <c r="A267" t="s">
        <v>310</v>
      </c>
      <c r="B267" t="s">
        <v>47</v>
      </c>
      <c r="C267" s="43">
        <v>45621</v>
      </c>
      <c r="D267" t="s">
        <v>31</v>
      </c>
      <c r="E267" t="s">
        <v>48</v>
      </c>
      <c r="F267" t="s">
        <v>32</v>
      </c>
      <c r="G267">
        <v>17385</v>
      </c>
      <c r="H267">
        <v>831</v>
      </c>
      <c r="I267">
        <v>568</v>
      </c>
      <c r="J267">
        <v>2227</v>
      </c>
      <c r="K267">
        <v>49351</v>
      </c>
      <c r="L267">
        <v>207450</v>
      </c>
      <c r="M267" t="s">
        <v>29</v>
      </c>
      <c r="N267" s="44">
        <f t="shared" si="4"/>
        <v>9.0547119787900698E-2</v>
      </c>
      <c r="O267" s="44">
        <f>Table2[[#This Row],[Shares]]/Table2[[#This Row],[Impressions]]</f>
        <v>4.0057845263919015E-3</v>
      </c>
      <c r="P267">
        <f>(Table2[[#This Row],[Engagement Rate]]+Table2[[#This Row],[Click through rate]])*100</f>
        <v>9.4552904314292601</v>
      </c>
    </row>
    <row r="268" spans="1:16" x14ac:dyDescent="0.25">
      <c r="A268" t="s">
        <v>311</v>
      </c>
      <c r="B268" t="s">
        <v>20</v>
      </c>
      <c r="C268" s="43">
        <v>45569</v>
      </c>
      <c r="D268" t="s">
        <v>31</v>
      </c>
      <c r="E268" t="s">
        <v>32</v>
      </c>
      <c r="F268" t="s">
        <v>57</v>
      </c>
      <c r="G268">
        <v>15746</v>
      </c>
      <c r="H268">
        <v>258</v>
      </c>
      <c r="I268">
        <v>839</v>
      </c>
      <c r="J268">
        <v>2656</v>
      </c>
      <c r="K268">
        <v>66614</v>
      </c>
      <c r="L268">
        <v>213724</v>
      </c>
      <c r="M268" t="s">
        <v>29</v>
      </c>
      <c r="N268" s="44">
        <f t="shared" si="4"/>
        <v>7.8807246729426739E-2</v>
      </c>
      <c r="O268" s="44">
        <f>Table2[[#This Row],[Shares]]/Table2[[#This Row],[Impressions]]</f>
        <v>1.2071643802287061E-3</v>
      </c>
      <c r="P268">
        <f>(Table2[[#This Row],[Engagement Rate]]+Table2[[#This Row],[Click through rate]])*100</f>
        <v>8.0014411109655441</v>
      </c>
    </row>
    <row r="269" spans="1:16" x14ac:dyDescent="0.25">
      <c r="A269" t="s">
        <v>312</v>
      </c>
      <c r="B269" t="s">
        <v>20</v>
      </c>
      <c r="C269" s="43">
        <v>45760</v>
      </c>
      <c r="D269" t="s">
        <v>39</v>
      </c>
      <c r="E269" t="s">
        <v>71</v>
      </c>
      <c r="G269">
        <v>24700</v>
      </c>
      <c r="H269">
        <v>327</v>
      </c>
      <c r="I269">
        <v>999</v>
      </c>
      <c r="J269">
        <v>994</v>
      </c>
      <c r="K269">
        <v>59400</v>
      </c>
      <c r="L269">
        <v>243502</v>
      </c>
      <c r="M269" t="s">
        <v>29</v>
      </c>
      <c r="N269" s="44">
        <f t="shared" si="4"/>
        <v>0.10688207899729776</v>
      </c>
      <c r="O269" s="44">
        <f>Table2[[#This Row],[Shares]]/Table2[[#This Row],[Impressions]]</f>
        <v>1.34290478106956E-3</v>
      </c>
      <c r="P269">
        <f>(Table2[[#This Row],[Engagement Rate]]+Table2[[#This Row],[Click through rate]])*100</f>
        <v>10.822498377836732</v>
      </c>
    </row>
    <row r="270" spans="1:16" x14ac:dyDescent="0.25">
      <c r="A270" t="s">
        <v>313</v>
      </c>
      <c r="B270" t="s">
        <v>14</v>
      </c>
      <c r="C270" s="43">
        <v>45601</v>
      </c>
      <c r="D270" t="s">
        <v>26</v>
      </c>
      <c r="E270" t="s">
        <v>71</v>
      </c>
      <c r="G270">
        <v>8469</v>
      </c>
      <c r="H270">
        <v>935</v>
      </c>
      <c r="I270">
        <v>211</v>
      </c>
      <c r="J270">
        <v>2635</v>
      </c>
      <c r="K270">
        <v>21890</v>
      </c>
      <c r="L270">
        <v>184539</v>
      </c>
      <c r="M270" t="s">
        <v>52</v>
      </c>
      <c r="N270" s="44">
        <f t="shared" si="4"/>
        <v>5.2102807536618279E-2</v>
      </c>
      <c r="O270" s="44">
        <f>Table2[[#This Row],[Shares]]/Table2[[#This Row],[Impressions]]</f>
        <v>5.0666796720476434E-3</v>
      </c>
      <c r="P270">
        <f>(Table2[[#This Row],[Engagement Rate]]+Table2[[#This Row],[Click through rate]])*100</f>
        <v>5.7169487208665926</v>
      </c>
    </row>
    <row r="271" spans="1:16" x14ac:dyDescent="0.25">
      <c r="A271" t="s">
        <v>314</v>
      </c>
      <c r="B271" t="s">
        <v>14</v>
      </c>
      <c r="C271" s="43">
        <v>45672</v>
      </c>
      <c r="D271" t="s">
        <v>26</v>
      </c>
      <c r="E271" t="s">
        <v>21</v>
      </c>
      <c r="F271" t="s">
        <v>22</v>
      </c>
      <c r="G271">
        <v>11333</v>
      </c>
      <c r="H271">
        <v>920</v>
      </c>
      <c r="I271">
        <v>294</v>
      </c>
      <c r="J271">
        <v>606</v>
      </c>
      <c r="K271">
        <v>59490</v>
      </c>
      <c r="L271">
        <v>202082</v>
      </c>
      <c r="M271" t="s">
        <v>29</v>
      </c>
      <c r="N271" s="44">
        <f t="shared" si="4"/>
        <v>6.2088657079799291E-2</v>
      </c>
      <c r="O271" s="44">
        <f>Table2[[#This Row],[Shares]]/Table2[[#This Row],[Impressions]]</f>
        <v>4.5526073574093688E-3</v>
      </c>
      <c r="P271">
        <f>(Table2[[#This Row],[Engagement Rate]]+Table2[[#This Row],[Click through rate]])*100</f>
        <v>6.6641264437208667</v>
      </c>
    </row>
    <row r="272" spans="1:16" x14ac:dyDescent="0.25">
      <c r="A272" t="s">
        <v>315</v>
      </c>
      <c r="B272" t="s">
        <v>47</v>
      </c>
      <c r="C272" s="43">
        <v>45582</v>
      </c>
      <c r="D272" t="s">
        <v>31</v>
      </c>
      <c r="E272" t="s">
        <v>27</v>
      </c>
      <c r="F272" t="s">
        <v>28</v>
      </c>
      <c r="G272">
        <v>18608</v>
      </c>
      <c r="H272">
        <v>1338</v>
      </c>
      <c r="I272">
        <v>365</v>
      </c>
      <c r="J272">
        <v>2289</v>
      </c>
      <c r="K272">
        <v>20785</v>
      </c>
      <c r="L272">
        <v>161999</v>
      </c>
      <c r="M272" t="s">
        <v>18</v>
      </c>
      <c r="N272" s="44">
        <f t="shared" si="4"/>
        <v>0.12537731714393299</v>
      </c>
      <c r="O272" s="44">
        <f>Table2[[#This Row],[Shares]]/Table2[[#This Row],[Impressions]]</f>
        <v>8.2593102426558197E-3</v>
      </c>
      <c r="P272">
        <f>(Table2[[#This Row],[Engagement Rate]]+Table2[[#This Row],[Click through rate]])*100</f>
        <v>13.363662738658883</v>
      </c>
    </row>
    <row r="273" spans="1:16" x14ac:dyDescent="0.25">
      <c r="A273" t="s">
        <v>316</v>
      </c>
      <c r="B273" t="s">
        <v>20</v>
      </c>
      <c r="C273" s="43">
        <v>45743</v>
      </c>
      <c r="D273" t="s">
        <v>26</v>
      </c>
      <c r="E273" t="s">
        <v>62</v>
      </c>
      <c r="F273" t="s">
        <v>37</v>
      </c>
      <c r="G273">
        <v>14819</v>
      </c>
      <c r="H273">
        <v>1432</v>
      </c>
      <c r="I273">
        <v>152</v>
      </c>
      <c r="J273">
        <v>961</v>
      </c>
      <c r="K273">
        <v>39154</v>
      </c>
      <c r="L273">
        <v>154793</v>
      </c>
      <c r="M273" t="s">
        <v>34</v>
      </c>
      <c r="N273" s="44">
        <f t="shared" si="4"/>
        <v>0.10596732410380315</v>
      </c>
      <c r="O273" s="44">
        <f>Table2[[#This Row],[Shares]]/Table2[[#This Row],[Impressions]]</f>
        <v>9.2510643246141618E-3</v>
      </c>
      <c r="P273">
        <f>(Table2[[#This Row],[Engagement Rate]]+Table2[[#This Row],[Click through rate]])*100</f>
        <v>11.521838842841731</v>
      </c>
    </row>
    <row r="274" spans="1:16" x14ac:dyDescent="0.25">
      <c r="A274" t="s">
        <v>317</v>
      </c>
      <c r="B274" t="s">
        <v>20</v>
      </c>
      <c r="C274" s="43">
        <v>45577</v>
      </c>
      <c r="D274" t="s">
        <v>15</v>
      </c>
      <c r="E274" t="s">
        <v>122</v>
      </c>
      <c r="F274" t="s">
        <v>123</v>
      </c>
      <c r="G274">
        <v>6208</v>
      </c>
      <c r="H274">
        <v>725</v>
      </c>
      <c r="I274">
        <v>309</v>
      </c>
      <c r="J274">
        <v>848</v>
      </c>
      <c r="K274">
        <v>39319</v>
      </c>
      <c r="L274">
        <v>225763</v>
      </c>
      <c r="M274" t="s">
        <v>18</v>
      </c>
      <c r="N274" s="44">
        <f t="shared" si="4"/>
        <v>3.207788698768177E-2</v>
      </c>
      <c r="O274" s="44">
        <f>Table2[[#This Row],[Shares]]/Table2[[#This Row],[Impressions]]</f>
        <v>3.2113322377891858E-3</v>
      </c>
      <c r="P274">
        <f>(Table2[[#This Row],[Engagement Rate]]+Table2[[#This Row],[Click through rate]])*100</f>
        <v>3.528921922547096</v>
      </c>
    </row>
    <row r="275" spans="1:16" x14ac:dyDescent="0.25">
      <c r="A275" t="s">
        <v>318</v>
      </c>
      <c r="B275" t="s">
        <v>20</v>
      </c>
      <c r="C275" s="43">
        <v>45658</v>
      </c>
      <c r="D275" t="s">
        <v>31</v>
      </c>
      <c r="E275" t="s">
        <v>40</v>
      </c>
      <c r="F275" t="s">
        <v>41</v>
      </c>
      <c r="G275">
        <v>8283</v>
      </c>
      <c r="H275">
        <v>720</v>
      </c>
      <c r="I275">
        <v>888</v>
      </c>
      <c r="J275">
        <v>611</v>
      </c>
      <c r="K275">
        <v>52791</v>
      </c>
      <c r="L275">
        <v>235229</v>
      </c>
      <c r="M275" t="s">
        <v>18</v>
      </c>
      <c r="N275" s="44">
        <f t="shared" si="4"/>
        <v>4.2048386891072105E-2</v>
      </c>
      <c r="O275" s="44">
        <f>Table2[[#This Row],[Shares]]/Table2[[#This Row],[Impressions]]</f>
        <v>3.0608470894320002E-3</v>
      </c>
      <c r="P275">
        <f>(Table2[[#This Row],[Engagement Rate]]+Table2[[#This Row],[Click through rate]])*100</f>
        <v>4.5109233980504104</v>
      </c>
    </row>
    <row r="276" spans="1:16" x14ac:dyDescent="0.25">
      <c r="A276" t="s">
        <v>319</v>
      </c>
      <c r="B276" t="s">
        <v>25</v>
      </c>
      <c r="C276" s="43">
        <v>45509</v>
      </c>
      <c r="D276" t="s">
        <v>26</v>
      </c>
      <c r="E276" t="s">
        <v>43</v>
      </c>
      <c r="F276" t="s">
        <v>44</v>
      </c>
      <c r="G276">
        <v>4048</v>
      </c>
      <c r="H276">
        <v>751</v>
      </c>
      <c r="I276">
        <v>930</v>
      </c>
      <c r="J276">
        <v>1382</v>
      </c>
      <c r="K276">
        <v>16844</v>
      </c>
      <c r="L276">
        <v>148177</v>
      </c>
      <c r="M276" t="s">
        <v>34</v>
      </c>
      <c r="N276" s="44">
        <f t="shared" si="4"/>
        <v>3.8663220337839206E-2</v>
      </c>
      <c r="O276" s="44">
        <f>Table2[[#This Row],[Shares]]/Table2[[#This Row],[Impressions]]</f>
        <v>5.0682629557893604E-3</v>
      </c>
      <c r="P276">
        <f>(Table2[[#This Row],[Engagement Rate]]+Table2[[#This Row],[Click through rate]])*100</f>
        <v>4.3731483293628566</v>
      </c>
    </row>
    <row r="277" spans="1:16" x14ac:dyDescent="0.25">
      <c r="A277" t="s">
        <v>320</v>
      </c>
      <c r="B277" t="s">
        <v>20</v>
      </c>
      <c r="C277" s="43">
        <v>45450</v>
      </c>
      <c r="D277" t="s">
        <v>31</v>
      </c>
      <c r="E277" t="s">
        <v>32</v>
      </c>
      <c r="F277" t="s">
        <v>33</v>
      </c>
      <c r="G277">
        <v>8233</v>
      </c>
      <c r="H277">
        <v>436</v>
      </c>
      <c r="I277">
        <v>269</v>
      </c>
      <c r="J277">
        <v>2037</v>
      </c>
      <c r="K277">
        <v>8875</v>
      </c>
      <c r="L277">
        <v>52289</v>
      </c>
      <c r="M277" t="s">
        <v>18</v>
      </c>
      <c r="N277" s="44">
        <f t="shared" si="4"/>
        <v>0.17093461339861157</v>
      </c>
      <c r="O277" s="44">
        <f>Table2[[#This Row],[Shares]]/Table2[[#This Row],[Impressions]]</f>
        <v>8.338273824322515E-3</v>
      </c>
      <c r="P277">
        <f>(Table2[[#This Row],[Engagement Rate]]+Table2[[#This Row],[Click through rate]])*100</f>
        <v>17.927288722293408</v>
      </c>
    </row>
    <row r="278" spans="1:16" x14ac:dyDescent="0.25">
      <c r="A278" t="s">
        <v>321</v>
      </c>
      <c r="B278" t="s">
        <v>25</v>
      </c>
      <c r="C278" s="43">
        <v>45753</v>
      </c>
      <c r="D278" t="s">
        <v>15</v>
      </c>
      <c r="E278" t="s">
        <v>71</v>
      </c>
      <c r="G278">
        <v>14941</v>
      </c>
      <c r="H278">
        <v>1424</v>
      </c>
      <c r="I278">
        <v>238</v>
      </c>
      <c r="J278">
        <v>1054</v>
      </c>
      <c r="K278">
        <v>20516</v>
      </c>
      <c r="L278">
        <v>216048</v>
      </c>
      <c r="M278" t="s">
        <v>52</v>
      </c>
      <c r="N278" s="44">
        <f t="shared" si="4"/>
        <v>7.6848663260016298E-2</v>
      </c>
      <c r="O278" s="44">
        <f>Table2[[#This Row],[Shares]]/Table2[[#This Row],[Impressions]]</f>
        <v>6.591127897504258E-3</v>
      </c>
      <c r="P278">
        <f>(Table2[[#This Row],[Engagement Rate]]+Table2[[#This Row],[Click through rate]])*100</f>
        <v>8.343979115752056</v>
      </c>
    </row>
    <row r="279" spans="1:16" x14ac:dyDescent="0.25">
      <c r="A279" t="s">
        <v>322</v>
      </c>
      <c r="B279" t="s">
        <v>47</v>
      </c>
      <c r="C279" s="43">
        <v>45622</v>
      </c>
      <c r="D279" t="s">
        <v>31</v>
      </c>
      <c r="E279" t="s">
        <v>40</v>
      </c>
      <c r="F279" t="s">
        <v>41</v>
      </c>
      <c r="G279">
        <v>14607</v>
      </c>
      <c r="H279">
        <v>1458</v>
      </c>
      <c r="I279">
        <v>478</v>
      </c>
      <c r="J279">
        <v>334</v>
      </c>
      <c r="K279">
        <v>49257</v>
      </c>
      <c r="L279">
        <v>214668</v>
      </c>
      <c r="M279" t="s">
        <v>34</v>
      </c>
      <c r="N279" s="44">
        <f t="shared" si="4"/>
        <v>7.7063185942944451E-2</v>
      </c>
      <c r="O279" s="44">
        <f>Table2[[#This Row],[Shares]]/Table2[[#This Row],[Impressions]]</f>
        <v>6.7918832802280728E-3</v>
      </c>
      <c r="P279">
        <f>(Table2[[#This Row],[Engagement Rate]]+Table2[[#This Row],[Click through rate]])*100</f>
        <v>8.3855069223172531</v>
      </c>
    </row>
    <row r="280" spans="1:16" x14ac:dyDescent="0.25">
      <c r="A280" t="s">
        <v>323</v>
      </c>
      <c r="B280" t="s">
        <v>25</v>
      </c>
      <c r="C280" s="43">
        <v>45537</v>
      </c>
      <c r="D280" t="s">
        <v>31</v>
      </c>
      <c r="E280" t="s">
        <v>32</v>
      </c>
      <c r="F280" t="s">
        <v>33</v>
      </c>
      <c r="G280">
        <v>11765</v>
      </c>
      <c r="H280">
        <v>693</v>
      </c>
      <c r="I280">
        <v>729</v>
      </c>
      <c r="J280">
        <v>744</v>
      </c>
      <c r="K280">
        <v>97772</v>
      </c>
      <c r="L280">
        <v>194243</v>
      </c>
      <c r="M280" t="s">
        <v>18</v>
      </c>
      <c r="N280" s="44">
        <f t="shared" si="4"/>
        <v>6.7889190344053579E-2</v>
      </c>
      <c r="O280" s="44">
        <f>Table2[[#This Row],[Shares]]/Table2[[#This Row],[Impressions]]</f>
        <v>3.5676961331939888E-3</v>
      </c>
      <c r="P280">
        <f>(Table2[[#This Row],[Engagement Rate]]+Table2[[#This Row],[Click through rate]])*100</f>
        <v>7.1456886477247572</v>
      </c>
    </row>
    <row r="281" spans="1:16" x14ac:dyDescent="0.25">
      <c r="A281" t="s">
        <v>324</v>
      </c>
      <c r="B281" t="s">
        <v>47</v>
      </c>
      <c r="C281" s="43">
        <v>45918</v>
      </c>
      <c r="D281" t="s">
        <v>31</v>
      </c>
      <c r="E281" t="s">
        <v>40</v>
      </c>
      <c r="F281" t="s">
        <v>41</v>
      </c>
      <c r="G281">
        <v>3828</v>
      </c>
      <c r="H281">
        <v>203</v>
      </c>
      <c r="I281">
        <v>506</v>
      </c>
      <c r="J281">
        <v>2440</v>
      </c>
      <c r="K281">
        <v>63650</v>
      </c>
      <c r="L281">
        <v>126365</v>
      </c>
      <c r="M281" t="s">
        <v>23</v>
      </c>
      <c r="N281" s="44">
        <f t="shared" si="4"/>
        <v>3.5903929094290347E-2</v>
      </c>
      <c r="O281" s="44">
        <f>Table2[[#This Row],[Shares]]/Table2[[#This Row],[Impressions]]</f>
        <v>1.6064574842717524E-3</v>
      </c>
      <c r="P281">
        <f>(Table2[[#This Row],[Engagement Rate]]+Table2[[#This Row],[Click through rate]])*100</f>
        <v>3.7510386578562103</v>
      </c>
    </row>
    <row r="282" spans="1:16" x14ac:dyDescent="0.25">
      <c r="A282" t="s">
        <v>325</v>
      </c>
      <c r="B282" t="s">
        <v>20</v>
      </c>
      <c r="C282" s="43">
        <v>45738</v>
      </c>
      <c r="D282" t="s">
        <v>31</v>
      </c>
      <c r="E282" t="s">
        <v>32</v>
      </c>
      <c r="F282" t="s">
        <v>57</v>
      </c>
      <c r="G282">
        <v>3917</v>
      </c>
      <c r="H282">
        <v>865</v>
      </c>
      <c r="I282">
        <v>759</v>
      </c>
      <c r="J282">
        <v>2282</v>
      </c>
      <c r="K282">
        <v>56125</v>
      </c>
      <c r="L282">
        <v>154014</v>
      </c>
      <c r="M282" t="s">
        <v>18</v>
      </c>
      <c r="N282" s="44">
        <f t="shared" si="4"/>
        <v>3.5977248821535704E-2</v>
      </c>
      <c r="O282" s="44">
        <f>Table2[[#This Row],[Shares]]/Table2[[#This Row],[Impressions]]</f>
        <v>5.6163725375615202E-3</v>
      </c>
      <c r="P282">
        <f>(Table2[[#This Row],[Engagement Rate]]+Table2[[#This Row],[Click through rate]])*100</f>
        <v>4.1593621359097224</v>
      </c>
    </row>
    <row r="283" spans="1:16" x14ac:dyDescent="0.25">
      <c r="A283" t="s">
        <v>326</v>
      </c>
      <c r="B283" t="s">
        <v>20</v>
      </c>
      <c r="C283" s="43">
        <v>45568</v>
      </c>
      <c r="D283" t="s">
        <v>15</v>
      </c>
      <c r="E283" t="s">
        <v>32</v>
      </c>
      <c r="F283" t="s">
        <v>33</v>
      </c>
      <c r="G283">
        <v>22618</v>
      </c>
      <c r="H283">
        <v>641</v>
      </c>
      <c r="I283">
        <v>416</v>
      </c>
      <c r="J283">
        <v>1530</v>
      </c>
      <c r="K283">
        <v>18395</v>
      </c>
      <c r="L283">
        <v>215211</v>
      </c>
      <c r="M283" t="s">
        <v>52</v>
      </c>
      <c r="N283" s="44">
        <f t="shared" si="4"/>
        <v>0.1100083174187193</v>
      </c>
      <c r="O283" s="44">
        <f>Table2[[#This Row],[Shares]]/Table2[[#This Row],[Impressions]]</f>
        <v>2.9784722899851772E-3</v>
      </c>
      <c r="P283">
        <f>(Table2[[#This Row],[Engagement Rate]]+Table2[[#This Row],[Click through rate]])*100</f>
        <v>11.298678970870448</v>
      </c>
    </row>
    <row r="284" spans="1:16" x14ac:dyDescent="0.25">
      <c r="A284" t="s">
        <v>327</v>
      </c>
      <c r="B284" t="s">
        <v>47</v>
      </c>
      <c r="C284" s="43">
        <v>45786</v>
      </c>
      <c r="D284" t="s">
        <v>39</v>
      </c>
      <c r="E284" t="s">
        <v>43</v>
      </c>
      <c r="F284" t="s">
        <v>44</v>
      </c>
      <c r="G284">
        <v>8988</v>
      </c>
      <c r="H284">
        <v>228</v>
      </c>
      <c r="I284">
        <v>766</v>
      </c>
      <c r="J284">
        <v>652</v>
      </c>
      <c r="K284">
        <v>63789</v>
      </c>
      <c r="L284">
        <v>219785</v>
      </c>
      <c r="M284" t="s">
        <v>29</v>
      </c>
      <c r="N284" s="44">
        <f t="shared" si="4"/>
        <v>4.541711217781013E-2</v>
      </c>
      <c r="O284" s="44">
        <f>Table2[[#This Row],[Shares]]/Table2[[#This Row],[Impressions]]</f>
        <v>1.0373774370407444E-3</v>
      </c>
      <c r="P284">
        <f>(Table2[[#This Row],[Engagement Rate]]+Table2[[#This Row],[Click through rate]])*100</f>
        <v>4.6454489614850871</v>
      </c>
    </row>
    <row r="285" spans="1:16" x14ac:dyDescent="0.25">
      <c r="A285" t="s">
        <v>328</v>
      </c>
      <c r="B285" t="s">
        <v>14</v>
      </c>
      <c r="C285" s="43">
        <v>45552</v>
      </c>
      <c r="D285" t="s">
        <v>31</v>
      </c>
      <c r="E285" t="s">
        <v>40</v>
      </c>
      <c r="F285" t="s">
        <v>41</v>
      </c>
      <c r="G285">
        <v>20410</v>
      </c>
      <c r="H285">
        <v>1332</v>
      </c>
      <c r="I285">
        <v>472</v>
      </c>
      <c r="J285">
        <v>1202</v>
      </c>
      <c r="K285">
        <v>9418</v>
      </c>
      <c r="L285">
        <v>200806</v>
      </c>
      <c r="M285" t="s">
        <v>18</v>
      </c>
      <c r="N285" s="44">
        <f t="shared" si="4"/>
        <v>0.11062418453631864</v>
      </c>
      <c r="O285" s="44">
        <f>Table2[[#This Row],[Shares]]/Table2[[#This Row],[Impressions]]</f>
        <v>6.633267930241128E-3</v>
      </c>
      <c r="P285">
        <f>(Table2[[#This Row],[Engagement Rate]]+Table2[[#This Row],[Click through rate]])*100</f>
        <v>11.725745246655977</v>
      </c>
    </row>
    <row r="286" spans="1:16" x14ac:dyDescent="0.25">
      <c r="A286" t="s">
        <v>329</v>
      </c>
      <c r="B286" t="s">
        <v>47</v>
      </c>
      <c r="C286" s="43">
        <v>45491</v>
      </c>
      <c r="D286" t="s">
        <v>31</v>
      </c>
      <c r="E286" t="s">
        <v>16</v>
      </c>
      <c r="F286" t="s">
        <v>17</v>
      </c>
      <c r="G286">
        <v>16594</v>
      </c>
      <c r="H286">
        <v>809</v>
      </c>
      <c r="I286">
        <v>784</v>
      </c>
      <c r="J286">
        <v>1655</v>
      </c>
      <c r="K286">
        <v>35505</v>
      </c>
      <c r="L286">
        <v>112588</v>
      </c>
      <c r="M286" t="s">
        <v>29</v>
      </c>
      <c r="N286" s="44">
        <f t="shared" si="4"/>
        <v>0.16153586527871533</v>
      </c>
      <c r="O286" s="44">
        <f>Table2[[#This Row],[Shares]]/Table2[[#This Row],[Impressions]]</f>
        <v>7.1854904607951114E-3</v>
      </c>
      <c r="P286">
        <f>(Table2[[#This Row],[Engagement Rate]]+Table2[[#This Row],[Click through rate]])*100</f>
        <v>16.872135573951045</v>
      </c>
    </row>
    <row r="287" spans="1:16" x14ac:dyDescent="0.25">
      <c r="A287" t="s">
        <v>330</v>
      </c>
      <c r="B287" t="s">
        <v>14</v>
      </c>
      <c r="C287" s="43">
        <v>45919</v>
      </c>
      <c r="D287" t="s">
        <v>26</v>
      </c>
      <c r="E287" t="s">
        <v>43</v>
      </c>
      <c r="F287" t="s">
        <v>44</v>
      </c>
      <c r="G287">
        <v>22128</v>
      </c>
      <c r="H287">
        <v>1004</v>
      </c>
      <c r="I287">
        <v>690</v>
      </c>
      <c r="J287">
        <v>2048</v>
      </c>
      <c r="K287">
        <v>19443</v>
      </c>
      <c r="L287">
        <v>103646</v>
      </c>
      <c r="M287" t="s">
        <v>23</v>
      </c>
      <c r="N287" s="44">
        <f t="shared" si="4"/>
        <v>0.22984003241803833</v>
      </c>
      <c r="O287" s="44">
        <f>Table2[[#This Row],[Shares]]/Table2[[#This Row],[Impressions]]</f>
        <v>9.6868185940605523E-3</v>
      </c>
      <c r="P287">
        <f>(Table2[[#This Row],[Engagement Rate]]+Table2[[#This Row],[Click through rate]])*100</f>
        <v>23.952685101209887</v>
      </c>
    </row>
    <row r="288" spans="1:16" x14ac:dyDescent="0.25">
      <c r="A288" t="s">
        <v>331</v>
      </c>
      <c r="B288" t="s">
        <v>25</v>
      </c>
      <c r="C288" s="43">
        <v>45519</v>
      </c>
      <c r="D288" t="s">
        <v>31</v>
      </c>
      <c r="E288" t="s">
        <v>32</v>
      </c>
      <c r="F288" t="s">
        <v>33</v>
      </c>
      <c r="G288">
        <v>14977</v>
      </c>
      <c r="H288">
        <v>274</v>
      </c>
      <c r="I288">
        <v>798</v>
      </c>
      <c r="J288">
        <v>458</v>
      </c>
      <c r="K288">
        <v>6636</v>
      </c>
      <c r="L288">
        <v>43654</v>
      </c>
      <c r="M288" t="s">
        <v>18</v>
      </c>
      <c r="N288" s="44">
        <f t="shared" si="4"/>
        <v>0.36764099509781462</v>
      </c>
      <c r="O288" s="44">
        <f>Table2[[#This Row],[Shares]]/Table2[[#This Row],[Impressions]]</f>
        <v>6.2766298620974027E-3</v>
      </c>
      <c r="P288">
        <f>(Table2[[#This Row],[Engagement Rate]]+Table2[[#This Row],[Click through rate]])*100</f>
        <v>37.391762495991202</v>
      </c>
    </row>
    <row r="289" spans="1:16" x14ac:dyDescent="0.25">
      <c r="A289" t="s">
        <v>332</v>
      </c>
      <c r="B289" t="s">
        <v>25</v>
      </c>
      <c r="C289" s="43">
        <v>45764</v>
      </c>
      <c r="D289" t="s">
        <v>26</v>
      </c>
      <c r="E289" t="s">
        <v>43</v>
      </c>
      <c r="F289" t="s">
        <v>44</v>
      </c>
      <c r="G289">
        <v>2009</v>
      </c>
      <c r="H289">
        <v>1037</v>
      </c>
      <c r="I289">
        <v>344</v>
      </c>
      <c r="J289">
        <v>2277</v>
      </c>
      <c r="K289">
        <v>85743</v>
      </c>
      <c r="L289">
        <v>58743</v>
      </c>
      <c r="M289" t="s">
        <v>34</v>
      </c>
      <c r="N289" s="44">
        <f t="shared" si="4"/>
        <v>5.7709003625963942E-2</v>
      </c>
      <c r="O289" s="44">
        <f>Table2[[#This Row],[Shares]]/Table2[[#This Row],[Impressions]]</f>
        <v>1.7653167185877467E-2</v>
      </c>
      <c r="P289">
        <f>(Table2[[#This Row],[Engagement Rate]]+Table2[[#This Row],[Click through rate]])*100</f>
        <v>7.5362170811841409</v>
      </c>
    </row>
    <row r="290" spans="1:16" x14ac:dyDescent="0.25">
      <c r="A290" t="s">
        <v>333</v>
      </c>
      <c r="B290" t="s">
        <v>25</v>
      </c>
      <c r="C290" s="43">
        <v>45624</v>
      </c>
      <c r="D290" t="s">
        <v>39</v>
      </c>
      <c r="E290" t="s">
        <v>40</v>
      </c>
      <c r="F290" t="s">
        <v>41</v>
      </c>
      <c r="G290">
        <v>18644</v>
      </c>
      <c r="H290">
        <v>1369</v>
      </c>
      <c r="I290">
        <v>887</v>
      </c>
      <c r="J290">
        <v>1256</v>
      </c>
      <c r="K290">
        <v>43415</v>
      </c>
      <c r="L290">
        <v>88368</v>
      </c>
      <c r="M290" t="s">
        <v>29</v>
      </c>
      <c r="N290" s="44">
        <f t="shared" si="4"/>
        <v>0.23651095419156257</v>
      </c>
      <c r="O290" s="44">
        <f>Table2[[#This Row],[Shares]]/Table2[[#This Row],[Impressions]]</f>
        <v>1.5492033315227232E-2</v>
      </c>
      <c r="P290">
        <f>(Table2[[#This Row],[Engagement Rate]]+Table2[[#This Row],[Click through rate]])*100</f>
        <v>25.200298750678979</v>
      </c>
    </row>
    <row r="291" spans="1:16" x14ac:dyDescent="0.25">
      <c r="A291" t="s">
        <v>334</v>
      </c>
      <c r="B291" t="s">
        <v>20</v>
      </c>
      <c r="C291" s="43">
        <v>45920</v>
      </c>
      <c r="D291" t="s">
        <v>15</v>
      </c>
      <c r="E291" t="s">
        <v>37</v>
      </c>
      <c r="G291">
        <v>24422</v>
      </c>
      <c r="H291">
        <v>327</v>
      </c>
      <c r="I291">
        <v>481</v>
      </c>
      <c r="J291">
        <v>2371</v>
      </c>
      <c r="K291">
        <v>35340</v>
      </c>
      <c r="L291">
        <v>245244</v>
      </c>
      <c r="M291" t="s">
        <v>23</v>
      </c>
      <c r="N291" s="44">
        <f t="shared" si="4"/>
        <v>0.10287713460879777</v>
      </c>
      <c r="O291" s="44">
        <f>Table2[[#This Row],[Shares]]/Table2[[#This Row],[Impressions]]</f>
        <v>1.3333659539071293E-3</v>
      </c>
      <c r="P291">
        <f>(Table2[[#This Row],[Engagement Rate]]+Table2[[#This Row],[Click through rate]])*100</f>
        <v>10.42105005627049</v>
      </c>
    </row>
    <row r="292" spans="1:16" x14ac:dyDescent="0.25">
      <c r="A292" t="s">
        <v>335</v>
      </c>
      <c r="B292" t="s">
        <v>25</v>
      </c>
      <c r="C292" s="43">
        <v>45602</v>
      </c>
      <c r="D292" t="s">
        <v>15</v>
      </c>
      <c r="E292" t="s">
        <v>40</v>
      </c>
      <c r="F292" t="s">
        <v>41</v>
      </c>
      <c r="G292">
        <v>11865</v>
      </c>
      <c r="H292">
        <v>241</v>
      </c>
      <c r="I292">
        <v>319</v>
      </c>
      <c r="J292">
        <v>703</v>
      </c>
      <c r="K292">
        <v>69596</v>
      </c>
      <c r="L292">
        <v>177513</v>
      </c>
      <c r="M292" t="s">
        <v>34</v>
      </c>
      <c r="N292" s="44">
        <f t="shared" si="4"/>
        <v>6.999487361489018E-2</v>
      </c>
      <c r="O292" s="44">
        <f>Table2[[#This Row],[Shares]]/Table2[[#This Row],[Impressions]]</f>
        <v>1.3576470455684937E-3</v>
      </c>
      <c r="P292">
        <f>(Table2[[#This Row],[Engagement Rate]]+Table2[[#This Row],[Click through rate]])*100</f>
        <v>7.1352520660458678</v>
      </c>
    </row>
    <row r="293" spans="1:16" x14ac:dyDescent="0.25">
      <c r="A293" t="s">
        <v>336</v>
      </c>
      <c r="B293" t="s">
        <v>14</v>
      </c>
      <c r="C293" s="43">
        <v>45613</v>
      </c>
      <c r="D293" t="s">
        <v>39</v>
      </c>
      <c r="E293" t="s">
        <v>40</v>
      </c>
      <c r="F293" t="s">
        <v>41</v>
      </c>
      <c r="G293">
        <v>4219</v>
      </c>
      <c r="H293">
        <v>240</v>
      </c>
      <c r="I293">
        <v>670</v>
      </c>
      <c r="J293">
        <v>815</v>
      </c>
      <c r="K293">
        <v>11978</v>
      </c>
      <c r="L293">
        <v>159735</v>
      </c>
      <c r="M293" t="s">
        <v>34</v>
      </c>
      <c r="N293" s="44">
        <f t="shared" si="4"/>
        <v>3.2109431245500357E-2</v>
      </c>
      <c r="O293" s="44">
        <f>Table2[[#This Row],[Shares]]/Table2[[#This Row],[Impressions]]</f>
        <v>1.502488496572448E-3</v>
      </c>
      <c r="P293">
        <f>(Table2[[#This Row],[Engagement Rate]]+Table2[[#This Row],[Click through rate]])*100</f>
        <v>3.3611919742072804</v>
      </c>
    </row>
    <row r="294" spans="1:16" x14ac:dyDescent="0.25">
      <c r="A294" t="s">
        <v>337</v>
      </c>
      <c r="B294" t="s">
        <v>25</v>
      </c>
      <c r="C294" s="43">
        <v>45791</v>
      </c>
      <c r="D294" t="s">
        <v>15</v>
      </c>
      <c r="E294" t="s">
        <v>32</v>
      </c>
      <c r="F294" t="s">
        <v>57</v>
      </c>
      <c r="G294">
        <v>9041</v>
      </c>
      <c r="H294">
        <v>1133</v>
      </c>
      <c r="I294">
        <v>612</v>
      </c>
      <c r="J294">
        <v>1687</v>
      </c>
      <c r="K294">
        <v>28102</v>
      </c>
      <c r="L294">
        <v>195683</v>
      </c>
      <c r="M294" t="s">
        <v>34</v>
      </c>
      <c r="N294" s="44">
        <f t="shared" si="4"/>
        <v>5.5119760020032396E-2</v>
      </c>
      <c r="O294" s="44">
        <f>Table2[[#This Row],[Shares]]/Table2[[#This Row],[Impressions]]</f>
        <v>5.78997664590179E-3</v>
      </c>
      <c r="P294">
        <f>(Table2[[#This Row],[Engagement Rate]]+Table2[[#This Row],[Click through rate]])*100</f>
        <v>6.0909736665934187</v>
      </c>
    </row>
    <row r="295" spans="1:16" x14ac:dyDescent="0.25">
      <c r="A295" t="s">
        <v>338</v>
      </c>
      <c r="B295" t="s">
        <v>47</v>
      </c>
      <c r="C295" s="43">
        <v>45462</v>
      </c>
      <c r="D295" t="s">
        <v>39</v>
      </c>
      <c r="E295" t="s">
        <v>62</v>
      </c>
      <c r="F295" t="s">
        <v>37</v>
      </c>
      <c r="G295">
        <v>20444</v>
      </c>
      <c r="H295">
        <v>233</v>
      </c>
      <c r="I295">
        <v>189</v>
      </c>
      <c r="J295">
        <v>2879</v>
      </c>
      <c r="K295">
        <v>28185</v>
      </c>
      <c r="L295">
        <v>159891</v>
      </c>
      <c r="M295" t="s">
        <v>34</v>
      </c>
      <c r="N295" s="44">
        <f t="shared" si="4"/>
        <v>0.13050140408153055</v>
      </c>
      <c r="O295" s="44">
        <f>Table2[[#This Row],[Shares]]/Table2[[#This Row],[Impressions]]</f>
        <v>1.4572427466211357E-3</v>
      </c>
      <c r="P295">
        <f>(Table2[[#This Row],[Engagement Rate]]+Table2[[#This Row],[Click through rate]])*100</f>
        <v>13.195864682815166</v>
      </c>
    </row>
    <row r="296" spans="1:16" x14ac:dyDescent="0.25">
      <c r="A296" t="s">
        <v>339</v>
      </c>
      <c r="B296" t="s">
        <v>47</v>
      </c>
      <c r="C296" s="43">
        <v>45783</v>
      </c>
      <c r="D296" t="s">
        <v>39</v>
      </c>
      <c r="E296" t="s">
        <v>16</v>
      </c>
      <c r="F296" t="s">
        <v>17</v>
      </c>
      <c r="G296">
        <v>7287</v>
      </c>
      <c r="H296">
        <v>1240</v>
      </c>
      <c r="I296">
        <v>686</v>
      </c>
      <c r="J296">
        <v>1255</v>
      </c>
      <c r="K296">
        <v>15403</v>
      </c>
      <c r="L296">
        <v>147971</v>
      </c>
      <c r="M296" t="s">
        <v>18</v>
      </c>
      <c r="N296" s="44">
        <f t="shared" si="4"/>
        <v>6.2262200025680704E-2</v>
      </c>
      <c r="O296" s="44">
        <f>Table2[[#This Row],[Shares]]/Table2[[#This Row],[Impressions]]</f>
        <v>8.3800204094045452E-3</v>
      </c>
      <c r="P296">
        <f>(Table2[[#This Row],[Engagement Rate]]+Table2[[#This Row],[Click through rate]])*100</f>
        <v>7.0642220435085248</v>
      </c>
    </row>
    <row r="297" spans="1:16" x14ac:dyDescent="0.25">
      <c r="A297" t="s">
        <v>340</v>
      </c>
      <c r="B297" t="s">
        <v>20</v>
      </c>
      <c r="C297" s="43">
        <v>45699</v>
      </c>
      <c r="D297" t="s">
        <v>39</v>
      </c>
      <c r="E297" t="s">
        <v>122</v>
      </c>
      <c r="F297" t="s">
        <v>123</v>
      </c>
      <c r="G297">
        <v>3619</v>
      </c>
      <c r="H297">
        <v>1376</v>
      </c>
      <c r="I297">
        <v>410</v>
      </c>
      <c r="J297">
        <v>2499</v>
      </c>
      <c r="K297">
        <v>58146</v>
      </c>
      <c r="L297">
        <v>52149</v>
      </c>
      <c r="M297" t="s">
        <v>18</v>
      </c>
      <c r="N297" s="44">
        <f t="shared" si="4"/>
        <v>0.10364532397553165</v>
      </c>
      <c r="O297" s="44">
        <f>Table2[[#This Row],[Shares]]/Table2[[#This Row],[Impressions]]</f>
        <v>2.6385932616157549E-2</v>
      </c>
      <c r="P297">
        <f>(Table2[[#This Row],[Engagement Rate]]+Table2[[#This Row],[Click through rate]])*100</f>
        <v>13.003125659168921</v>
      </c>
    </row>
    <row r="298" spans="1:16" x14ac:dyDescent="0.25">
      <c r="A298" t="s">
        <v>341</v>
      </c>
      <c r="B298" t="s">
        <v>47</v>
      </c>
      <c r="C298" s="43">
        <v>45650</v>
      </c>
      <c r="D298" t="s">
        <v>15</v>
      </c>
      <c r="E298" t="s">
        <v>71</v>
      </c>
      <c r="G298">
        <v>10512</v>
      </c>
      <c r="H298">
        <v>1197</v>
      </c>
      <c r="I298">
        <v>544</v>
      </c>
      <c r="J298">
        <v>2012</v>
      </c>
      <c r="K298">
        <v>10245</v>
      </c>
      <c r="L298">
        <v>140102</v>
      </c>
      <c r="M298" t="s">
        <v>18</v>
      </c>
      <c r="N298" s="44">
        <f t="shared" si="4"/>
        <v>8.745770938316369E-2</v>
      </c>
      <c r="O298" s="44">
        <f>Table2[[#This Row],[Shares]]/Table2[[#This Row],[Impressions]]</f>
        <v>8.5437752494611063E-3</v>
      </c>
      <c r="P298">
        <f>(Table2[[#This Row],[Engagement Rate]]+Table2[[#This Row],[Click through rate]])*100</f>
        <v>9.6001484632624798</v>
      </c>
    </row>
    <row r="299" spans="1:16" x14ac:dyDescent="0.25">
      <c r="A299" t="s">
        <v>342</v>
      </c>
      <c r="B299" t="s">
        <v>14</v>
      </c>
      <c r="C299" s="43">
        <v>45924</v>
      </c>
      <c r="D299" t="s">
        <v>26</v>
      </c>
      <c r="E299" t="s">
        <v>48</v>
      </c>
      <c r="F299" t="s">
        <v>32</v>
      </c>
      <c r="G299">
        <v>3342</v>
      </c>
      <c r="H299">
        <v>787</v>
      </c>
      <c r="I299">
        <v>375</v>
      </c>
      <c r="J299">
        <v>907</v>
      </c>
      <c r="K299">
        <v>85823</v>
      </c>
      <c r="L299">
        <v>99189</v>
      </c>
      <c r="M299" t="s">
        <v>23</v>
      </c>
      <c r="N299" s="44">
        <f t="shared" si="4"/>
        <v>4.5408260996683103E-2</v>
      </c>
      <c r="O299" s="44">
        <f>Table2[[#This Row],[Shares]]/Table2[[#This Row],[Impressions]]</f>
        <v>7.9343475587010659E-3</v>
      </c>
      <c r="P299">
        <f>(Table2[[#This Row],[Engagement Rate]]+Table2[[#This Row],[Click through rate]])*100</f>
        <v>5.3342608555384166</v>
      </c>
    </row>
    <row r="300" spans="1:16" x14ac:dyDescent="0.25">
      <c r="A300" t="s">
        <v>343</v>
      </c>
      <c r="B300" t="s">
        <v>25</v>
      </c>
      <c r="C300" s="43">
        <v>45925</v>
      </c>
      <c r="D300" t="s">
        <v>39</v>
      </c>
      <c r="E300" t="s">
        <v>62</v>
      </c>
      <c r="F300" t="s">
        <v>37</v>
      </c>
      <c r="G300">
        <v>12568</v>
      </c>
      <c r="H300">
        <v>541</v>
      </c>
      <c r="I300">
        <v>273</v>
      </c>
      <c r="J300">
        <v>2767</v>
      </c>
      <c r="K300">
        <v>22331</v>
      </c>
      <c r="L300">
        <v>192747</v>
      </c>
      <c r="M300" t="s">
        <v>23</v>
      </c>
      <c r="N300" s="44">
        <f t="shared" si="4"/>
        <v>6.9427799135654514E-2</v>
      </c>
      <c r="O300" s="44">
        <f>Table2[[#This Row],[Shares]]/Table2[[#This Row],[Impressions]]</f>
        <v>2.8067881730973764E-3</v>
      </c>
      <c r="P300">
        <f>(Table2[[#This Row],[Engagement Rate]]+Table2[[#This Row],[Click through rate]])*100</f>
        <v>7.2234587308751887</v>
      </c>
    </row>
    <row r="301" spans="1:16" x14ac:dyDescent="0.25">
      <c r="A301" t="s">
        <v>344</v>
      </c>
      <c r="B301" t="s">
        <v>20</v>
      </c>
      <c r="C301" s="43">
        <v>45926</v>
      </c>
      <c r="D301" t="s">
        <v>31</v>
      </c>
      <c r="E301" t="s">
        <v>48</v>
      </c>
      <c r="F301" t="s">
        <v>32</v>
      </c>
      <c r="G301">
        <v>21216</v>
      </c>
      <c r="H301">
        <v>226</v>
      </c>
      <c r="I301">
        <v>187</v>
      </c>
      <c r="J301">
        <v>1573</v>
      </c>
      <c r="K301">
        <v>62688</v>
      </c>
      <c r="L301">
        <v>111031</v>
      </c>
      <c r="M301" t="s">
        <v>23</v>
      </c>
      <c r="N301" s="44">
        <f t="shared" si="4"/>
        <v>0.19480145184678152</v>
      </c>
      <c r="O301" s="44">
        <f>Table2[[#This Row],[Shares]]/Table2[[#This Row],[Impressions]]</f>
        <v>2.035467572119498E-3</v>
      </c>
      <c r="P301">
        <f>(Table2[[#This Row],[Engagement Rate]]+Table2[[#This Row],[Click through rate]])*100</f>
        <v>19.683691941890103</v>
      </c>
    </row>
  </sheetData>
  <conditionalFormatting sqref="E2:F301">
    <cfRule type="colorScale" priority="2">
      <colorScale>
        <cfvo type="min"/>
        <cfvo type="percentile" val="50"/>
        <cfvo type="max"/>
        <color rgb="FFF8696B"/>
        <color rgb="FFFFEB84"/>
        <color rgb="FF63BE7B"/>
      </colorScale>
    </cfRule>
  </conditionalFormatting>
  <conditionalFormatting sqref="S9:T308">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9B651-43C2-4241-803F-4012A1944558}">
  <dimension ref="A1:O568"/>
  <sheetViews>
    <sheetView workbookViewId="0">
      <selection activeCell="N2" sqref="N2"/>
    </sheetView>
  </sheetViews>
  <sheetFormatPr defaultRowHeight="15" x14ac:dyDescent="0.25"/>
  <cols>
    <col min="1" max="1" width="9" bestFit="1" customWidth="1"/>
    <col min="2" max="2" width="11" bestFit="1" customWidth="1"/>
    <col min="3" max="3" width="15.5703125" bestFit="1" customWidth="1"/>
    <col min="4" max="4" width="14.7109375" bestFit="1" customWidth="1"/>
    <col min="5" max="5" width="7.7109375" bestFit="1" customWidth="1"/>
    <col min="7" max="7" width="12.85546875" bestFit="1" customWidth="1"/>
    <col min="8" max="8" width="8.28515625" bestFit="1" customWidth="1"/>
    <col min="9" max="9" width="8.5703125" bestFit="1" customWidth="1"/>
    <col min="10" max="10" width="14" bestFit="1" customWidth="1"/>
    <col min="11" max="11" width="28.85546875" bestFit="1" customWidth="1"/>
    <col min="12" max="12" width="18.85546875" bestFit="1" customWidth="1"/>
    <col min="13" max="13" width="19.85546875" bestFit="1" customWidth="1"/>
    <col min="14" max="14" width="18.7109375" customWidth="1"/>
    <col min="15" max="15" width="14.5703125" customWidth="1"/>
  </cols>
  <sheetData>
    <row r="1" spans="1:15" x14ac:dyDescent="0.25">
      <c r="A1" s="67" t="s">
        <v>0</v>
      </c>
      <c r="B1" s="67" t="s">
        <v>1</v>
      </c>
      <c r="C1" s="67" t="s">
        <v>2</v>
      </c>
      <c r="D1" s="67" t="s">
        <v>3</v>
      </c>
      <c r="E1" s="67" t="s">
        <v>6</v>
      </c>
      <c r="F1" s="67" t="s">
        <v>7</v>
      </c>
      <c r="G1" s="67" t="s">
        <v>8</v>
      </c>
      <c r="H1" s="67" t="s">
        <v>9</v>
      </c>
      <c r="I1" s="67" t="s">
        <v>10</v>
      </c>
      <c r="J1" s="67" t="s">
        <v>11</v>
      </c>
      <c r="K1" s="67" t="s">
        <v>12</v>
      </c>
      <c r="L1" s="67" t="s">
        <v>361</v>
      </c>
      <c r="M1" s="67" t="s">
        <v>429</v>
      </c>
      <c r="N1" s="67" t="s">
        <v>465</v>
      </c>
      <c r="O1" s="67" t="s">
        <v>464</v>
      </c>
    </row>
    <row r="2" spans="1:15" x14ac:dyDescent="0.25">
      <c r="A2" s="59" t="s">
        <v>13</v>
      </c>
      <c r="B2" s="59" t="s">
        <v>14</v>
      </c>
      <c r="C2" s="60">
        <v>45649</v>
      </c>
      <c r="D2" s="59" t="s">
        <v>15</v>
      </c>
      <c r="E2" s="59">
        <v>24516</v>
      </c>
      <c r="F2" s="59">
        <v>976</v>
      </c>
      <c r="G2" s="59">
        <v>974</v>
      </c>
      <c r="H2" s="59">
        <v>2675</v>
      </c>
      <c r="I2" s="59">
        <v>23275</v>
      </c>
      <c r="J2" s="59">
        <v>202932</v>
      </c>
      <c r="K2" s="59" t="s">
        <v>18</v>
      </c>
      <c r="L2" s="61">
        <v>0.13041807107799658</v>
      </c>
      <c r="M2" s="59" t="s">
        <v>16</v>
      </c>
      <c r="N2" s="61">
        <f>Hashtags!$H2/Hashtags!$J2</f>
        <v>1.3181755464884789E-2</v>
      </c>
      <c r="O2" s="65">
        <f>(Hashtags!$L2+Hashtags!$N2)*100</f>
        <v>14.359982654288137</v>
      </c>
    </row>
    <row r="3" spans="1:15" x14ac:dyDescent="0.25">
      <c r="A3" s="62" t="s">
        <v>13</v>
      </c>
      <c r="B3" s="62" t="s">
        <v>14</v>
      </c>
      <c r="C3" s="63">
        <v>45649</v>
      </c>
      <c r="D3" s="62" t="s">
        <v>15</v>
      </c>
      <c r="E3" s="62">
        <v>24516</v>
      </c>
      <c r="F3" s="62">
        <v>976</v>
      </c>
      <c r="G3" s="62">
        <v>974</v>
      </c>
      <c r="H3" s="62">
        <v>2675</v>
      </c>
      <c r="I3" s="62">
        <v>23275</v>
      </c>
      <c r="J3" s="62">
        <v>202932</v>
      </c>
      <c r="K3" s="62" t="s">
        <v>18</v>
      </c>
      <c r="L3" s="64">
        <v>0.13041807107799658</v>
      </c>
      <c r="M3" s="62" t="s">
        <v>17</v>
      </c>
      <c r="N3" s="64">
        <f>Hashtags!$H3/Hashtags!$J3</f>
        <v>1.3181755464884789E-2</v>
      </c>
      <c r="O3" s="66">
        <f>(Hashtags!$L3+Hashtags!$N3)*100</f>
        <v>14.359982654288137</v>
      </c>
    </row>
    <row r="4" spans="1:15" x14ac:dyDescent="0.25">
      <c r="A4" s="59" t="s">
        <v>19</v>
      </c>
      <c r="B4" s="59" t="s">
        <v>20</v>
      </c>
      <c r="C4" s="60">
        <v>45903</v>
      </c>
      <c r="D4" s="59" t="s">
        <v>15</v>
      </c>
      <c r="E4" s="59">
        <v>4779</v>
      </c>
      <c r="F4" s="59">
        <v>1110</v>
      </c>
      <c r="G4" s="59">
        <v>436</v>
      </c>
      <c r="H4" s="59">
        <v>1574</v>
      </c>
      <c r="I4" s="59">
        <v>77167</v>
      </c>
      <c r="J4" s="59">
        <v>71585</v>
      </c>
      <c r="K4" s="59" t="s">
        <v>23</v>
      </c>
      <c r="L4" s="61">
        <v>8.8356499266606131E-2</v>
      </c>
      <c r="M4" s="59" t="s">
        <v>21</v>
      </c>
      <c r="N4" s="61">
        <f>Hashtags!$H4/Hashtags!$J4</f>
        <v>2.1987846615911154E-2</v>
      </c>
      <c r="O4" s="65">
        <f>(Hashtags!$L4+Hashtags!$N4)*100</f>
        <v>11.034434588251729</v>
      </c>
    </row>
    <row r="5" spans="1:15" x14ac:dyDescent="0.25">
      <c r="A5" s="62" t="s">
        <v>19</v>
      </c>
      <c r="B5" s="62" t="s">
        <v>20</v>
      </c>
      <c r="C5" s="63">
        <v>45903</v>
      </c>
      <c r="D5" s="62" t="s">
        <v>15</v>
      </c>
      <c r="E5" s="62">
        <v>4779</v>
      </c>
      <c r="F5" s="62">
        <v>1110</v>
      </c>
      <c r="G5" s="62">
        <v>436</v>
      </c>
      <c r="H5" s="62">
        <v>1574</v>
      </c>
      <c r="I5" s="62">
        <v>77167</v>
      </c>
      <c r="J5" s="62">
        <v>71585</v>
      </c>
      <c r="K5" s="62" t="s">
        <v>23</v>
      </c>
      <c r="L5" s="64">
        <v>8.8356499266606131E-2</v>
      </c>
      <c r="M5" s="62" t="s">
        <v>22</v>
      </c>
      <c r="N5" s="64">
        <f>Hashtags!$H5/Hashtags!$J5</f>
        <v>2.1987846615911154E-2</v>
      </c>
      <c r="O5" s="66">
        <f>(Hashtags!$L5+Hashtags!$N5)*100</f>
        <v>11.034434588251729</v>
      </c>
    </row>
    <row r="6" spans="1:15" x14ac:dyDescent="0.25">
      <c r="A6" s="59" t="s">
        <v>24</v>
      </c>
      <c r="B6" s="59" t="s">
        <v>25</v>
      </c>
      <c r="C6" s="60">
        <v>45789</v>
      </c>
      <c r="D6" s="59" t="s">
        <v>26</v>
      </c>
      <c r="E6" s="59">
        <v>19308</v>
      </c>
      <c r="F6" s="59">
        <v>1318</v>
      </c>
      <c r="G6" s="59">
        <v>795</v>
      </c>
      <c r="H6" s="59">
        <v>1499</v>
      </c>
      <c r="I6" s="59">
        <v>52307</v>
      </c>
      <c r="J6" s="59">
        <v>193087</v>
      </c>
      <c r="K6" s="59" t="s">
        <v>29</v>
      </c>
      <c r="L6" s="61">
        <v>0.11093962825047776</v>
      </c>
      <c r="M6" s="59" t="s">
        <v>27</v>
      </c>
      <c r="N6" s="61">
        <f>Hashtags!$H6/Hashtags!$J6</f>
        <v>7.7633398416257953E-3</v>
      </c>
      <c r="O6" s="65">
        <f>(Hashtags!$L6+Hashtags!$N6)*100</f>
        <v>11.870296809210355</v>
      </c>
    </row>
    <row r="7" spans="1:15" x14ac:dyDescent="0.25">
      <c r="A7" s="62" t="s">
        <v>24</v>
      </c>
      <c r="B7" s="62" t="s">
        <v>25</v>
      </c>
      <c r="C7" s="63">
        <v>45789</v>
      </c>
      <c r="D7" s="62" t="s">
        <v>26</v>
      </c>
      <c r="E7" s="62">
        <v>19308</v>
      </c>
      <c r="F7" s="62">
        <v>1318</v>
      </c>
      <c r="G7" s="62">
        <v>795</v>
      </c>
      <c r="H7" s="62">
        <v>1499</v>
      </c>
      <c r="I7" s="62">
        <v>52307</v>
      </c>
      <c r="J7" s="62">
        <v>193087</v>
      </c>
      <c r="K7" s="62" t="s">
        <v>29</v>
      </c>
      <c r="L7" s="64">
        <v>0.11093962825047776</v>
      </c>
      <c r="M7" s="62" t="s">
        <v>28</v>
      </c>
      <c r="N7" s="64">
        <f>Hashtags!$H7/Hashtags!$J7</f>
        <v>7.7633398416257953E-3</v>
      </c>
      <c r="O7" s="66">
        <f>(Hashtags!$L7+Hashtags!$N7)*100</f>
        <v>11.870296809210355</v>
      </c>
    </row>
    <row r="8" spans="1:15" x14ac:dyDescent="0.25">
      <c r="A8" s="59" t="s">
        <v>30</v>
      </c>
      <c r="B8" s="59" t="s">
        <v>14</v>
      </c>
      <c r="C8" s="60">
        <v>45516</v>
      </c>
      <c r="D8" s="59" t="s">
        <v>31</v>
      </c>
      <c r="E8" s="59">
        <v>3581</v>
      </c>
      <c r="F8" s="59">
        <v>517</v>
      </c>
      <c r="G8" s="59">
        <v>880</v>
      </c>
      <c r="H8" s="59">
        <v>1925</v>
      </c>
      <c r="I8" s="59">
        <v>18636</v>
      </c>
      <c r="J8" s="59">
        <v>248611</v>
      </c>
      <c r="K8" s="59" t="s">
        <v>34</v>
      </c>
      <c r="L8" s="61">
        <v>2.0023249172401864E-2</v>
      </c>
      <c r="M8" s="59" t="s">
        <v>32</v>
      </c>
      <c r="N8" s="61">
        <f>Hashtags!$H8/Hashtags!$J8</f>
        <v>7.7430202203442322E-3</v>
      </c>
      <c r="O8" s="65">
        <f>(Hashtags!$L8+Hashtags!$N8)*100</f>
        <v>2.7766269392746095</v>
      </c>
    </row>
    <row r="9" spans="1:15" x14ac:dyDescent="0.25">
      <c r="A9" s="62" t="s">
        <v>30</v>
      </c>
      <c r="B9" s="62" t="s">
        <v>14</v>
      </c>
      <c r="C9" s="63">
        <v>45516</v>
      </c>
      <c r="D9" s="62" t="s">
        <v>31</v>
      </c>
      <c r="E9" s="62">
        <v>3581</v>
      </c>
      <c r="F9" s="62">
        <v>517</v>
      </c>
      <c r="G9" s="62">
        <v>880</v>
      </c>
      <c r="H9" s="62">
        <v>1925</v>
      </c>
      <c r="I9" s="62">
        <v>18636</v>
      </c>
      <c r="J9" s="62">
        <v>248611</v>
      </c>
      <c r="K9" s="62" t="s">
        <v>34</v>
      </c>
      <c r="L9" s="64">
        <v>2.0023249172401864E-2</v>
      </c>
      <c r="M9" s="62" t="s">
        <v>33</v>
      </c>
      <c r="N9" s="64">
        <f>Hashtags!$H9/Hashtags!$J9</f>
        <v>7.7430202203442322E-3</v>
      </c>
      <c r="O9" s="66">
        <f>(Hashtags!$L9+Hashtags!$N9)*100</f>
        <v>2.7766269392746095</v>
      </c>
    </row>
    <row r="10" spans="1:15" x14ac:dyDescent="0.25">
      <c r="A10" s="59" t="s">
        <v>35</v>
      </c>
      <c r="B10" s="59" t="s">
        <v>14</v>
      </c>
      <c r="C10" s="60">
        <v>45904</v>
      </c>
      <c r="D10" s="59" t="s">
        <v>31</v>
      </c>
      <c r="E10" s="59">
        <v>21708</v>
      </c>
      <c r="F10" s="59">
        <v>435</v>
      </c>
      <c r="G10" s="59">
        <v>317</v>
      </c>
      <c r="H10" s="59">
        <v>1213</v>
      </c>
      <c r="I10" s="59">
        <v>70701</v>
      </c>
      <c r="J10" s="59">
        <v>83585</v>
      </c>
      <c r="K10" s="59" t="s">
        <v>23</v>
      </c>
      <c r="L10" s="61">
        <v>0.26870850032900639</v>
      </c>
      <c r="M10" s="59" t="s">
        <v>16</v>
      </c>
      <c r="N10" s="61">
        <f>Hashtags!$H10/Hashtags!$J10</f>
        <v>1.4512173236824789E-2</v>
      </c>
      <c r="O10" s="65">
        <f>(Hashtags!$L10+Hashtags!$N10)*100</f>
        <v>28.322067356583119</v>
      </c>
    </row>
    <row r="11" spans="1:15" x14ac:dyDescent="0.25">
      <c r="A11" s="62" t="s">
        <v>35</v>
      </c>
      <c r="B11" s="62" t="s">
        <v>14</v>
      </c>
      <c r="C11" s="63">
        <v>45904</v>
      </c>
      <c r="D11" s="62" t="s">
        <v>31</v>
      </c>
      <c r="E11" s="62">
        <v>21708</v>
      </c>
      <c r="F11" s="62">
        <v>435</v>
      </c>
      <c r="G11" s="62">
        <v>317</v>
      </c>
      <c r="H11" s="62">
        <v>1213</v>
      </c>
      <c r="I11" s="62">
        <v>70701</v>
      </c>
      <c r="J11" s="62">
        <v>83585</v>
      </c>
      <c r="K11" s="62" t="s">
        <v>23</v>
      </c>
      <c r="L11" s="64">
        <v>0.26870850032900639</v>
      </c>
      <c r="M11" s="62" t="s">
        <v>17</v>
      </c>
      <c r="N11" s="64">
        <f>Hashtags!$H11/Hashtags!$J11</f>
        <v>1.4512173236824789E-2</v>
      </c>
      <c r="O11" s="66">
        <f>(Hashtags!$L11+Hashtags!$N11)*100</f>
        <v>28.322067356583119</v>
      </c>
    </row>
    <row r="12" spans="1:15" x14ac:dyDescent="0.25">
      <c r="A12" s="59" t="s">
        <v>36</v>
      </c>
      <c r="B12" s="59" t="s">
        <v>20</v>
      </c>
      <c r="C12" s="60">
        <v>45905</v>
      </c>
      <c r="D12" s="59" t="s">
        <v>15</v>
      </c>
      <c r="E12" s="59">
        <v>14677</v>
      </c>
      <c r="F12" s="59">
        <v>533</v>
      </c>
      <c r="G12" s="59">
        <v>759</v>
      </c>
      <c r="H12" s="59">
        <v>753</v>
      </c>
      <c r="I12" s="59">
        <v>23275</v>
      </c>
      <c r="J12" s="59">
        <v>66958</v>
      </c>
      <c r="K12" s="59" t="s">
        <v>23</v>
      </c>
      <c r="L12" s="61">
        <v>0.23849278652289496</v>
      </c>
      <c r="M12" s="59" t="s">
        <v>37</v>
      </c>
      <c r="N12" s="61">
        <f>Hashtags!$H12/Hashtags!$J12</f>
        <v>1.1245855610980017E-2</v>
      </c>
      <c r="O12" s="65">
        <f>(Hashtags!$L12+Hashtags!$N12)*100</f>
        <v>24.973864213387497</v>
      </c>
    </row>
    <row r="13" spans="1:15" x14ac:dyDescent="0.25">
      <c r="A13" s="62" t="s">
        <v>38</v>
      </c>
      <c r="B13" s="62" t="s">
        <v>25</v>
      </c>
      <c r="C13" s="63">
        <v>45467</v>
      </c>
      <c r="D13" s="62" t="s">
        <v>39</v>
      </c>
      <c r="E13" s="62">
        <v>7713</v>
      </c>
      <c r="F13" s="62">
        <v>575</v>
      </c>
      <c r="G13" s="62">
        <v>417</v>
      </c>
      <c r="H13" s="62">
        <v>336</v>
      </c>
      <c r="I13" s="62">
        <v>61660</v>
      </c>
      <c r="J13" s="62">
        <v>66017</v>
      </c>
      <c r="K13" s="62" t="s">
        <v>34</v>
      </c>
      <c r="L13" s="64">
        <v>0.13185997546086614</v>
      </c>
      <c r="M13" s="62" t="s">
        <v>40</v>
      </c>
      <c r="N13" s="64">
        <f>Hashtags!$H13/Hashtags!$J13</f>
        <v>5.0895981338140179E-3</v>
      </c>
      <c r="O13" s="66">
        <f>(Hashtags!$L13+Hashtags!$N13)*100</f>
        <v>13.694957359468015</v>
      </c>
    </row>
    <row r="14" spans="1:15" x14ac:dyDescent="0.25">
      <c r="A14" s="59" t="s">
        <v>38</v>
      </c>
      <c r="B14" s="59" t="s">
        <v>25</v>
      </c>
      <c r="C14" s="60">
        <v>45467</v>
      </c>
      <c r="D14" s="59" t="s">
        <v>39</v>
      </c>
      <c r="E14" s="59">
        <v>7713</v>
      </c>
      <c r="F14" s="59">
        <v>575</v>
      </c>
      <c r="G14" s="59">
        <v>417</v>
      </c>
      <c r="H14" s="59">
        <v>336</v>
      </c>
      <c r="I14" s="59">
        <v>61660</v>
      </c>
      <c r="J14" s="59">
        <v>66017</v>
      </c>
      <c r="K14" s="59" t="s">
        <v>34</v>
      </c>
      <c r="L14" s="61">
        <v>0.13185997546086614</v>
      </c>
      <c r="M14" s="59" t="s">
        <v>41</v>
      </c>
      <c r="N14" s="61">
        <f>Hashtags!$H14/Hashtags!$J14</f>
        <v>5.0895981338140179E-3</v>
      </c>
      <c r="O14" s="65">
        <f>(Hashtags!$L14+Hashtags!$N14)*100</f>
        <v>13.694957359468015</v>
      </c>
    </row>
    <row r="15" spans="1:15" x14ac:dyDescent="0.25">
      <c r="A15" s="62" t="s">
        <v>42</v>
      </c>
      <c r="B15" s="62" t="s">
        <v>25</v>
      </c>
      <c r="C15" s="63">
        <v>45486</v>
      </c>
      <c r="D15" s="62" t="s">
        <v>31</v>
      </c>
      <c r="E15" s="62">
        <v>18639</v>
      </c>
      <c r="F15" s="62">
        <v>1360</v>
      </c>
      <c r="G15" s="62">
        <v>898</v>
      </c>
      <c r="H15" s="62">
        <v>2011</v>
      </c>
      <c r="I15" s="62">
        <v>42841</v>
      </c>
      <c r="J15" s="62">
        <v>247779</v>
      </c>
      <c r="K15" s="62" t="s">
        <v>34</v>
      </c>
      <c r="L15" s="64">
        <v>8.4337252148083575E-2</v>
      </c>
      <c r="M15" s="62" t="s">
        <v>43</v>
      </c>
      <c r="N15" s="64">
        <f>Hashtags!$H15/Hashtags!$J15</f>
        <v>8.1161034631667735E-3</v>
      </c>
      <c r="O15" s="66">
        <f>(Hashtags!$L15+Hashtags!$N15)*100</f>
        <v>9.2453355611250352</v>
      </c>
    </row>
    <row r="16" spans="1:15" x14ac:dyDescent="0.25">
      <c r="A16" s="59" t="s">
        <v>42</v>
      </c>
      <c r="B16" s="59" t="s">
        <v>25</v>
      </c>
      <c r="C16" s="60">
        <v>45486</v>
      </c>
      <c r="D16" s="59" t="s">
        <v>31</v>
      </c>
      <c r="E16" s="59">
        <v>18639</v>
      </c>
      <c r="F16" s="59">
        <v>1360</v>
      </c>
      <c r="G16" s="59">
        <v>898</v>
      </c>
      <c r="H16" s="59">
        <v>2011</v>
      </c>
      <c r="I16" s="59">
        <v>42841</v>
      </c>
      <c r="J16" s="59">
        <v>247779</v>
      </c>
      <c r="K16" s="59" t="s">
        <v>34</v>
      </c>
      <c r="L16" s="61">
        <v>8.4337252148083575E-2</v>
      </c>
      <c r="M16" s="59" t="s">
        <v>44</v>
      </c>
      <c r="N16" s="61">
        <f>Hashtags!$H16/Hashtags!$J16</f>
        <v>8.1161034631667735E-3</v>
      </c>
      <c r="O16" s="65">
        <f>(Hashtags!$L16+Hashtags!$N16)*100</f>
        <v>9.2453355611250352</v>
      </c>
    </row>
    <row r="17" spans="1:15" x14ac:dyDescent="0.25">
      <c r="A17" s="62" t="s">
        <v>45</v>
      </c>
      <c r="B17" s="62" t="s">
        <v>14</v>
      </c>
      <c r="C17" s="63">
        <v>45534</v>
      </c>
      <c r="D17" s="62" t="s">
        <v>39</v>
      </c>
      <c r="E17" s="62">
        <v>6804</v>
      </c>
      <c r="F17" s="62">
        <v>787</v>
      </c>
      <c r="G17" s="62">
        <v>970</v>
      </c>
      <c r="H17" s="62">
        <v>1095</v>
      </c>
      <c r="I17" s="62">
        <v>56343</v>
      </c>
      <c r="J17" s="62">
        <v>164677</v>
      </c>
      <c r="K17" s="62" t="s">
        <v>18</v>
      </c>
      <c r="L17" s="64">
        <v>5.1986616224487935E-2</v>
      </c>
      <c r="M17" s="62" t="s">
        <v>21</v>
      </c>
      <c r="N17" s="64">
        <f>Hashtags!$H17/Hashtags!$J17</f>
        <v>6.6493803020458231E-3</v>
      </c>
      <c r="O17" s="66">
        <f>(Hashtags!$L17+Hashtags!$N17)*100</f>
        <v>5.8635996526533756</v>
      </c>
    </row>
    <row r="18" spans="1:15" x14ac:dyDescent="0.25">
      <c r="A18" s="59" t="s">
        <v>45</v>
      </c>
      <c r="B18" s="59" t="s">
        <v>14</v>
      </c>
      <c r="C18" s="60">
        <v>45534</v>
      </c>
      <c r="D18" s="59" t="s">
        <v>39</v>
      </c>
      <c r="E18" s="59">
        <v>6804</v>
      </c>
      <c r="F18" s="59">
        <v>787</v>
      </c>
      <c r="G18" s="59">
        <v>970</v>
      </c>
      <c r="H18" s="59">
        <v>1095</v>
      </c>
      <c r="I18" s="59">
        <v>56343</v>
      </c>
      <c r="J18" s="59">
        <v>164677</v>
      </c>
      <c r="K18" s="59" t="s">
        <v>18</v>
      </c>
      <c r="L18" s="61">
        <v>5.1986616224487935E-2</v>
      </c>
      <c r="M18" s="59" t="s">
        <v>22</v>
      </c>
      <c r="N18" s="61">
        <f>Hashtags!$H18/Hashtags!$J18</f>
        <v>6.6493803020458231E-3</v>
      </c>
      <c r="O18" s="65">
        <f>(Hashtags!$L18+Hashtags!$N18)*100</f>
        <v>5.8635996526533756</v>
      </c>
    </row>
    <row r="19" spans="1:15" x14ac:dyDescent="0.25">
      <c r="A19" s="62" t="s">
        <v>46</v>
      </c>
      <c r="B19" s="62" t="s">
        <v>47</v>
      </c>
      <c r="C19" s="63">
        <v>45727</v>
      </c>
      <c r="D19" s="62" t="s">
        <v>31</v>
      </c>
      <c r="E19" s="62">
        <v>20222</v>
      </c>
      <c r="F19" s="62">
        <v>712</v>
      </c>
      <c r="G19" s="62">
        <v>604</v>
      </c>
      <c r="H19" s="62">
        <v>1272</v>
      </c>
      <c r="I19" s="62">
        <v>71598</v>
      </c>
      <c r="J19" s="62">
        <v>216422</v>
      </c>
      <c r="K19" s="62" t="s">
        <v>29</v>
      </c>
      <c r="L19" s="64">
        <v>9.9518533235992648E-2</v>
      </c>
      <c r="M19" s="62" t="s">
        <v>48</v>
      </c>
      <c r="N19" s="64">
        <f>Hashtags!$H19/Hashtags!$J19</f>
        <v>5.8774061786694516E-3</v>
      </c>
      <c r="O19" s="66">
        <f>(Hashtags!$L19+Hashtags!$N19)*100</f>
        <v>10.53959394146621</v>
      </c>
    </row>
    <row r="20" spans="1:15" x14ac:dyDescent="0.25">
      <c r="A20" s="59" t="s">
        <v>46</v>
      </c>
      <c r="B20" s="59" t="s">
        <v>47</v>
      </c>
      <c r="C20" s="60">
        <v>45727</v>
      </c>
      <c r="D20" s="59" t="s">
        <v>31</v>
      </c>
      <c r="E20" s="59">
        <v>20222</v>
      </c>
      <c r="F20" s="59">
        <v>712</v>
      </c>
      <c r="G20" s="59">
        <v>604</v>
      </c>
      <c r="H20" s="59">
        <v>1272</v>
      </c>
      <c r="I20" s="59">
        <v>71598</v>
      </c>
      <c r="J20" s="59">
        <v>216422</v>
      </c>
      <c r="K20" s="59" t="s">
        <v>29</v>
      </c>
      <c r="L20" s="61">
        <v>9.9518533235992648E-2</v>
      </c>
      <c r="M20" s="59" t="s">
        <v>32</v>
      </c>
      <c r="N20" s="61">
        <f>Hashtags!$H20/Hashtags!$J20</f>
        <v>5.8774061786694516E-3</v>
      </c>
      <c r="O20" s="65">
        <f>(Hashtags!$L20+Hashtags!$N20)*100</f>
        <v>10.53959394146621</v>
      </c>
    </row>
    <row r="21" spans="1:15" x14ac:dyDescent="0.25">
      <c r="A21" s="62" t="s">
        <v>49</v>
      </c>
      <c r="B21" s="62" t="s">
        <v>14</v>
      </c>
      <c r="C21" s="63">
        <v>45690</v>
      </c>
      <c r="D21" s="62" t="s">
        <v>39</v>
      </c>
      <c r="E21" s="62">
        <v>12136</v>
      </c>
      <c r="F21" s="62">
        <v>1117</v>
      </c>
      <c r="G21" s="62">
        <v>834</v>
      </c>
      <c r="H21" s="62">
        <v>892</v>
      </c>
      <c r="I21" s="62">
        <v>24675</v>
      </c>
      <c r="J21" s="62">
        <v>183273</v>
      </c>
      <c r="K21" s="62" t="s">
        <v>29</v>
      </c>
      <c r="L21" s="64">
        <v>7.6863476889667326E-2</v>
      </c>
      <c r="M21" s="62" t="s">
        <v>32</v>
      </c>
      <c r="N21" s="64">
        <f>Hashtags!$H21/Hashtags!$J21</f>
        <v>4.8670562494202638E-3</v>
      </c>
      <c r="O21" s="66">
        <f>(Hashtags!$L21+Hashtags!$N21)*100</f>
        <v>8.1730533139087598</v>
      </c>
    </row>
    <row r="22" spans="1:15" x14ac:dyDescent="0.25">
      <c r="A22" s="59" t="s">
        <v>49</v>
      </c>
      <c r="B22" s="59" t="s">
        <v>14</v>
      </c>
      <c r="C22" s="60">
        <v>45690</v>
      </c>
      <c r="D22" s="59" t="s">
        <v>39</v>
      </c>
      <c r="E22" s="59">
        <v>12136</v>
      </c>
      <c r="F22" s="59">
        <v>1117</v>
      </c>
      <c r="G22" s="59">
        <v>834</v>
      </c>
      <c r="H22" s="59">
        <v>892</v>
      </c>
      <c r="I22" s="59">
        <v>24675</v>
      </c>
      <c r="J22" s="59">
        <v>183273</v>
      </c>
      <c r="K22" s="59" t="s">
        <v>29</v>
      </c>
      <c r="L22" s="61">
        <v>7.6863476889667326E-2</v>
      </c>
      <c r="M22" s="59" t="s">
        <v>33</v>
      </c>
      <c r="N22" s="61">
        <f>Hashtags!$H22/Hashtags!$J22</f>
        <v>4.8670562494202638E-3</v>
      </c>
      <c r="O22" s="65">
        <f>(Hashtags!$L22+Hashtags!$N22)*100</f>
        <v>8.1730533139087598</v>
      </c>
    </row>
    <row r="23" spans="1:15" x14ac:dyDescent="0.25">
      <c r="A23" s="62" t="s">
        <v>50</v>
      </c>
      <c r="B23" s="62" t="s">
        <v>14</v>
      </c>
      <c r="C23" s="63">
        <v>45494</v>
      </c>
      <c r="D23" s="62" t="s">
        <v>26</v>
      </c>
      <c r="E23" s="62">
        <v>2009</v>
      </c>
      <c r="F23" s="62">
        <v>1072</v>
      </c>
      <c r="G23" s="62">
        <v>550</v>
      </c>
      <c r="H23" s="62">
        <v>1437</v>
      </c>
      <c r="I23" s="62">
        <v>22982</v>
      </c>
      <c r="J23" s="62">
        <v>69426</v>
      </c>
      <c r="K23" s="62" t="s">
        <v>34</v>
      </c>
      <c r="L23" s="64">
        <v>5.2300290957278256E-2</v>
      </c>
      <c r="M23" s="62" t="s">
        <v>21</v>
      </c>
      <c r="N23" s="64">
        <f>Hashtags!$H23/Hashtags!$J23</f>
        <v>2.069829746780745E-2</v>
      </c>
      <c r="O23" s="66">
        <f>(Hashtags!$L23+Hashtags!$N23)*100</f>
        <v>7.2998588425085709</v>
      </c>
    </row>
    <row r="24" spans="1:15" x14ac:dyDescent="0.25">
      <c r="A24" s="59" t="s">
        <v>50</v>
      </c>
      <c r="B24" s="59" t="s">
        <v>14</v>
      </c>
      <c r="C24" s="60">
        <v>45494</v>
      </c>
      <c r="D24" s="59" t="s">
        <v>26</v>
      </c>
      <c r="E24" s="59">
        <v>2009</v>
      </c>
      <c r="F24" s="59">
        <v>1072</v>
      </c>
      <c r="G24" s="59">
        <v>550</v>
      </c>
      <c r="H24" s="59">
        <v>1437</v>
      </c>
      <c r="I24" s="59">
        <v>22982</v>
      </c>
      <c r="J24" s="59">
        <v>69426</v>
      </c>
      <c r="K24" s="59" t="s">
        <v>34</v>
      </c>
      <c r="L24" s="61">
        <v>5.2300290957278256E-2</v>
      </c>
      <c r="M24" s="59" t="s">
        <v>22</v>
      </c>
      <c r="N24" s="61">
        <f>Hashtags!$H24/Hashtags!$J24</f>
        <v>2.069829746780745E-2</v>
      </c>
      <c r="O24" s="65">
        <f>(Hashtags!$L24+Hashtags!$N24)*100</f>
        <v>7.2998588425085709</v>
      </c>
    </row>
    <row r="25" spans="1:15" x14ac:dyDescent="0.25">
      <c r="A25" s="62" t="s">
        <v>51</v>
      </c>
      <c r="B25" s="62" t="s">
        <v>14</v>
      </c>
      <c r="C25" s="63">
        <v>45614</v>
      </c>
      <c r="D25" s="62" t="s">
        <v>39</v>
      </c>
      <c r="E25" s="62">
        <v>21255</v>
      </c>
      <c r="F25" s="62">
        <v>1452</v>
      </c>
      <c r="G25" s="62">
        <v>625</v>
      </c>
      <c r="H25" s="62">
        <v>1624</v>
      </c>
      <c r="I25" s="62">
        <v>21282</v>
      </c>
      <c r="J25" s="62">
        <v>57778</v>
      </c>
      <c r="K25" s="62" t="s">
        <v>52</v>
      </c>
      <c r="L25" s="64">
        <v>0.40382152376337016</v>
      </c>
      <c r="M25" s="62" t="s">
        <v>40</v>
      </c>
      <c r="N25" s="64">
        <f>Hashtags!$H25/Hashtags!$J25</f>
        <v>2.8107584201599225E-2</v>
      </c>
      <c r="O25" s="66">
        <f>(Hashtags!$L25+Hashtags!$N25)*100</f>
        <v>43.192910796496939</v>
      </c>
    </row>
    <row r="26" spans="1:15" x14ac:dyDescent="0.25">
      <c r="A26" s="59" t="s">
        <v>51</v>
      </c>
      <c r="B26" s="59" t="s">
        <v>14</v>
      </c>
      <c r="C26" s="60">
        <v>45614</v>
      </c>
      <c r="D26" s="59" t="s">
        <v>39</v>
      </c>
      <c r="E26" s="59">
        <v>21255</v>
      </c>
      <c r="F26" s="59">
        <v>1452</v>
      </c>
      <c r="G26" s="59">
        <v>625</v>
      </c>
      <c r="H26" s="59">
        <v>1624</v>
      </c>
      <c r="I26" s="59">
        <v>21282</v>
      </c>
      <c r="J26" s="59">
        <v>57778</v>
      </c>
      <c r="K26" s="59" t="s">
        <v>52</v>
      </c>
      <c r="L26" s="61">
        <v>0.40382152376337016</v>
      </c>
      <c r="M26" s="59" t="s">
        <v>41</v>
      </c>
      <c r="N26" s="61">
        <f>Hashtags!$H26/Hashtags!$J26</f>
        <v>2.8107584201599225E-2</v>
      </c>
      <c r="O26" s="65">
        <f>(Hashtags!$L26+Hashtags!$N26)*100</f>
        <v>43.192910796496939</v>
      </c>
    </row>
    <row r="27" spans="1:15" x14ac:dyDescent="0.25">
      <c r="A27" s="62" t="s">
        <v>53</v>
      </c>
      <c r="B27" s="62" t="s">
        <v>14</v>
      </c>
      <c r="C27" s="63">
        <v>45906</v>
      </c>
      <c r="D27" s="62" t="s">
        <v>26</v>
      </c>
      <c r="E27" s="62">
        <v>7124</v>
      </c>
      <c r="F27" s="62">
        <v>469</v>
      </c>
      <c r="G27" s="62">
        <v>851</v>
      </c>
      <c r="H27" s="62">
        <v>2571</v>
      </c>
      <c r="I27" s="62">
        <v>33802</v>
      </c>
      <c r="J27" s="62">
        <v>216313</v>
      </c>
      <c r="K27" s="62" t="s">
        <v>23</v>
      </c>
      <c r="L27" s="64">
        <v>3.9036026498638549E-2</v>
      </c>
      <c r="M27" s="62" t="s">
        <v>43</v>
      </c>
      <c r="N27" s="64">
        <f>Hashtags!$H27/Hashtags!$J27</f>
        <v>1.1885554728564627E-2</v>
      </c>
      <c r="O27" s="66">
        <f>(Hashtags!$L27+Hashtags!$N27)*100</f>
        <v>5.092158122720317</v>
      </c>
    </row>
    <row r="28" spans="1:15" x14ac:dyDescent="0.25">
      <c r="A28" s="59" t="s">
        <v>53</v>
      </c>
      <c r="B28" s="59" t="s">
        <v>14</v>
      </c>
      <c r="C28" s="60">
        <v>45906</v>
      </c>
      <c r="D28" s="59" t="s">
        <v>26</v>
      </c>
      <c r="E28" s="59">
        <v>7124</v>
      </c>
      <c r="F28" s="59">
        <v>469</v>
      </c>
      <c r="G28" s="59">
        <v>851</v>
      </c>
      <c r="H28" s="59">
        <v>2571</v>
      </c>
      <c r="I28" s="59">
        <v>33802</v>
      </c>
      <c r="J28" s="59">
        <v>216313</v>
      </c>
      <c r="K28" s="59" t="s">
        <v>23</v>
      </c>
      <c r="L28" s="61">
        <v>3.9036026498638549E-2</v>
      </c>
      <c r="M28" s="59" t="s">
        <v>44</v>
      </c>
      <c r="N28" s="61">
        <f>Hashtags!$H28/Hashtags!$J28</f>
        <v>1.1885554728564627E-2</v>
      </c>
      <c r="O28" s="65">
        <f>(Hashtags!$L28+Hashtags!$N28)*100</f>
        <v>5.092158122720317</v>
      </c>
    </row>
    <row r="29" spans="1:15" x14ac:dyDescent="0.25">
      <c r="A29" s="62" t="s">
        <v>54</v>
      </c>
      <c r="B29" s="62" t="s">
        <v>20</v>
      </c>
      <c r="C29" s="63">
        <v>45907</v>
      </c>
      <c r="D29" s="62" t="s">
        <v>26</v>
      </c>
      <c r="E29" s="62">
        <v>3015</v>
      </c>
      <c r="F29" s="62">
        <v>997</v>
      </c>
      <c r="G29" s="62">
        <v>783</v>
      </c>
      <c r="H29" s="62">
        <v>617</v>
      </c>
      <c r="I29" s="62">
        <v>77167</v>
      </c>
      <c r="J29" s="62">
        <v>82229</v>
      </c>
      <c r="K29" s="62" t="s">
        <v>23</v>
      </c>
      <c r="L29" s="64">
        <v>5.8312760704860814E-2</v>
      </c>
      <c r="M29" s="62" t="s">
        <v>27</v>
      </c>
      <c r="N29" s="64">
        <f>Hashtags!$H29/Hashtags!$J29</f>
        <v>7.5034355276119135E-3</v>
      </c>
      <c r="O29" s="66">
        <f>(Hashtags!$L29+Hashtags!$N29)*100</f>
        <v>6.5816196232472732</v>
      </c>
    </row>
    <row r="30" spans="1:15" x14ac:dyDescent="0.25">
      <c r="A30" s="59" t="s">
        <v>54</v>
      </c>
      <c r="B30" s="59" t="s">
        <v>20</v>
      </c>
      <c r="C30" s="60">
        <v>45907</v>
      </c>
      <c r="D30" s="59" t="s">
        <v>26</v>
      </c>
      <c r="E30" s="59">
        <v>3015</v>
      </c>
      <c r="F30" s="59">
        <v>997</v>
      </c>
      <c r="G30" s="59">
        <v>783</v>
      </c>
      <c r="H30" s="59">
        <v>617</v>
      </c>
      <c r="I30" s="59">
        <v>77167</v>
      </c>
      <c r="J30" s="59">
        <v>82229</v>
      </c>
      <c r="K30" s="59" t="s">
        <v>23</v>
      </c>
      <c r="L30" s="61">
        <v>5.8312760704860814E-2</v>
      </c>
      <c r="M30" s="59" t="s">
        <v>28</v>
      </c>
      <c r="N30" s="61">
        <f>Hashtags!$H30/Hashtags!$J30</f>
        <v>7.5034355276119135E-3</v>
      </c>
      <c r="O30" s="65">
        <f>(Hashtags!$L30+Hashtags!$N30)*100</f>
        <v>6.5816196232472732</v>
      </c>
    </row>
    <row r="31" spans="1:15" x14ac:dyDescent="0.25">
      <c r="A31" s="62" t="s">
        <v>55</v>
      </c>
      <c r="B31" s="62" t="s">
        <v>25</v>
      </c>
      <c r="C31" s="63">
        <v>45530</v>
      </c>
      <c r="D31" s="62" t="s">
        <v>39</v>
      </c>
      <c r="E31" s="62">
        <v>4193</v>
      </c>
      <c r="F31" s="62">
        <v>924</v>
      </c>
      <c r="G31" s="62">
        <v>707</v>
      </c>
      <c r="H31" s="62">
        <v>2696</v>
      </c>
      <c r="I31" s="62">
        <v>55075</v>
      </c>
      <c r="J31" s="62">
        <v>126652</v>
      </c>
      <c r="K31" s="62" t="s">
        <v>34</v>
      </c>
      <c r="L31" s="64">
        <v>4.5984271863057827E-2</v>
      </c>
      <c r="M31" s="62" t="s">
        <v>43</v>
      </c>
      <c r="N31" s="64">
        <f>Hashtags!$H31/Hashtags!$J31</f>
        <v>2.1286675299245175E-2</v>
      </c>
      <c r="O31" s="66">
        <f>(Hashtags!$L31+Hashtags!$N31)*100</f>
        <v>6.7270947162303001</v>
      </c>
    </row>
    <row r="32" spans="1:15" x14ac:dyDescent="0.25">
      <c r="A32" s="59" t="s">
        <v>55</v>
      </c>
      <c r="B32" s="59" t="s">
        <v>25</v>
      </c>
      <c r="C32" s="60">
        <v>45530</v>
      </c>
      <c r="D32" s="59" t="s">
        <v>39</v>
      </c>
      <c r="E32" s="59">
        <v>4193</v>
      </c>
      <c r="F32" s="59">
        <v>924</v>
      </c>
      <c r="G32" s="59">
        <v>707</v>
      </c>
      <c r="H32" s="59">
        <v>2696</v>
      </c>
      <c r="I32" s="59">
        <v>55075</v>
      </c>
      <c r="J32" s="59">
        <v>126652</v>
      </c>
      <c r="K32" s="59" t="s">
        <v>34</v>
      </c>
      <c r="L32" s="61">
        <v>4.5984271863057827E-2</v>
      </c>
      <c r="M32" s="59" t="s">
        <v>44</v>
      </c>
      <c r="N32" s="61">
        <f>Hashtags!$H32/Hashtags!$J32</f>
        <v>2.1286675299245175E-2</v>
      </c>
      <c r="O32" s="65">
        <f>(Hashtags!$L32+Hashtags!$N32)*100</f>
        <v>6.7270947162303001</v>
      </c>
    </row>
    <row r="33" spans="1:15" x14ac:dyDescent="0.25">
      <c r="A33" s="62" t="s">
        <v>56</v>
      </c>
      <c r="B33" s="62" t="s">
        <v>20</v>
      </c>
      <c r="C33" s="63">
        <v>45782</v>
      </c>
      <c r="D33" s="62" t="s">
        <v>26</v>
      </c>
      <c r="E33" s="62">
        <v>10415</v>
      </c>
      <c r="F33" s="62">
        <v>1388</v>
      </c>
      <c r="G33" s="62">
        <v>725</v>
      </c>
      <c r="H33" s="62">
        <v>2462</v>
      </c>
      <c r="I33" s="62">
        <v>53082</v>
      </c>
      <c r="J33" s="62">
        <v>168267</v>
      </c>
      <c r="K33" s="62" t="s">
        <v>52</v>
      </c>
      <c r="L33" s="64">
        <v>7.4453101321114656E-2</v>
      </c>
      <c r="M33" s="62" t="s">
        <v>32</v>
      </c>
      <c r="N33" s="64">
        <f>Hashtags!$H33/Hashtags!$J33</f>
        <v>1.4631508257709473E-2</v>
      </c>
      <c r="O33" s="66">
        <f>(Hashtags!$L33+Hashtags!$N33)*100</f>
        <v>8.9084609578824132</v>
      </c>
    </row>
    <row r="34" spans="1:15" x14ac:dyDescent="0.25">
      <c r="A34" s="59" t="s">
        <v>56</v>
      </c>
      <c r="B34" s="59" t="s">
        <v>20</v>
      </c>
      <c r="C34" s="60">
        <v>45782</v>
      </c>
      <c r="D34" s="59" t="s">
        <v>26</v>
      </c>
      <c r="E34" s="59">
        <v>10415</v>
      </c>
      <c r="F34" s="59">
        <v>1388</v>
      </c>
      <c r="G34" s="59">
        <v>725</v>
      </c>
      <c r="H34" s="59">
        <v>2462</v>
      </c>
      <c r="I34" s="59">
        <v>53082</v>
      </c>
      <c r="J34" s="59">
        <v>168267</v>
      </c>
      <c r="K34" s="59" t="s">
        <v>52</v>
      </c>
      <c r="L34" s="61">
        <v>7.4453101321114656E-2</v>
      </c>
      <c r="M34" s="59" t="s">
        <v>57</v>
      </c>
      <c r="N34" s="61">
        <f>Hashtags!$H34/Hashtags!$J34</f>
        <v>1.4631508257709473E-2</v>
      </c>
      <c r="O34" s="65">
        <f>(Hashtags!$L34+Hashtags!$N34)*100</f>
        <v>8.9084609578824132</v>
      </c>
    </row>
    <row r="35" spans="1:15" x14ac:dyDescent="0.25">
      <c r="A35" s="62" t="s">
        <v>58</v>
      </c>
      <c r="B35" s="62" t="s">
        <v>20</v>
      </c>
      <c r="C35" s="63">
        <v>45523</v>
      </c>
      <c r="D35" s="62" t="s">
        <v>15</v>
      </c>
      <c r="E35" s="62">
        <v>15550</v>
      </c>
      <c r="F35" s="62">
        <v>204</v>
      </c>
      <c r="G35" s="62">
        <v>279</v>
      </c>
      <c r="H35" s="62">
        <v>1646</v>
      </c>
      <c r="I35" s="62">
        <v>35819</v>
      </c>
      <c r="J35" s="62">
        <v>219436</v>
      </c>
      <c r="K35" s="62" t="s">
        <v>18</v>
      </c>
      <c r="L35" s="64">
        <v>7.306458375107093E-2</v>
      </c>
      <c r="M35" s="62" t="s">
        <v>43</v>
      </c>
      <c r="N35" s="64">
        <f>Hashtags!$H35/Hashtags!$J35</f>
        <v>7.5010481415993726E-3</v>
      </c>
      <c r="O35" s="66">
        <f>(Hashtags!$L35+Hashtags!$N35)*100</f>
        <v>8.0565631892670293</v>
      </c>
    </row>
    <row r="36" spans="1:15" x14ac:dyDescent="0.25">
      <c r="A36" s="59" t="s">
        <v>58</v>
      </c>
      <c r="B36" s="59" t="s">
        <v>20</v>
      </c>
      <c r="C36" s="60">
        <v>45523</v>
      </c>
      <c r="D36" s="59" t="s">
        <v>15</v>
      </c>
      <c r="E36" s="59">
        <v>15550</v>
      </c>
      <c r="F36" s="59">
        <v>204</v>
      </c>
      <c r="G36" s="59">
        <v>279</v>
      </c>
      <c r="H36" s="59">
        <v>1646</v>
      </c>
      <c r="I36" s="59">
        <v>35819</v>
      </c>
      <c r="J36" s="59">
        <v>219436</v>
      </c>
      <c r="K36" s="59" t="s">
        <v>18</v>
      </c>
      <c r="L36" s="61">
        <v>7.306458375107093E-2</v>
      </c>
      <c r="M36" s="59" t="s">
        <v>44</v>
      </c>
      <c r="N36" s="61">
        <f>Hashtags!$H36/Hashtags!$J36</f>
        <v>7.5010481415993726E-3</v>
      </c>
      <c r="O36" s="65">
        <f>(Hashtags!$L36+Hashtags!$N36)*100</f>
        <v>8.0565631892670293</v>
      </c>
    </row>
    <row r="37" spans="1:15" x14ac:dyDescent="0.25">
      <c r="A37" s="62" t="s">
        <v>59</v>
      </c>
      <c r="B37" s="62" t="s">
        <v>20</v>
      </c>
      <c r="C37" s="63">
        <v>45466</v>
      </c>
      <c r="D37" s="62" t="s">
        <v>26</v>
      </c>
      <c r="E37" s="62">
        <v>16512</v>
      </c>
      <c r="F37" s="62">
        <v>1050</v>
      </c>
      <c r="G37" s="62">
        <v>971</v>
      </c>
      <c r="H37" s="62">
        <v>1891</v>
      </c>
      <c r="I37" s="62">
        <v>15865</v>
      </c>
      <c r="J37" s="62">
        <v>166503</v>
      </c>
      <c r="K37" s="62" t="s">
        <v>34</v>
      </c>
      <c r="L37" s="64">
        <v>0.1113073037723044</v>
      </c>
      <c r="M37" s="62" t="s">
        <v>32</v>
      </c>
      <c r="N37" s="64">
        <f>Hashtags!$H37/Hashtags!$J37</f>
        <v>1.1357152723974943E-2</v>
      </c>
      <c r="O37" s="66">
        <f>(Hashtags!$L37+Hashtags!$N37)*100</f>
        <v>12.266445649627935</v>
      </c>
    </row>
    <row r="38" spans="1:15" x14ac:dyDescent="0.25">
      <c r="A38" s="59" t="s">
        <v>59</v>
      </c>
      <c r="B38" s="59" t="s">
        <v>20</v>
      </c>
      <c r="C38" s="60">
        <v>45466</v>
      </c>
      <c r="D38" s="59" t="s">
        <v>26</v>
      </c>
      <c r="E38" s="59">
        <v>16512</v>
      </c>
      <c r="F38" s="59">
        <v>1050</v>
      </c>
      <c r="G38" s="59">
        <v>971</v>
      </c>
      <c r="H38" s="59">
        <v>1891</v>
      </c>
      <c r="I38" s="59">
        <v>15865</v>
      </c>
      <c r="J38" s="59">
        <v>166503</v>
      </c>
      <c r="K38" s="59" t="s">
        <v>34</v>
      </c>
      <c r="L38" s="61">
        <v>0.1113073037723044</v>
      </c>
      <c r="M38" s="59" t="s">
        <v>57</v>
      </c>
      <c r="N38" s="61">
        <f>Hashtags!$H38/Hashtags!$J38</f>
        <v>1.1357152723974943E-2</v>
      </c>
      <c r="O38" s="65">
        <f>(Hashtags!$L38+Hashtags!$N38)*100</f>
        <v>12.266445649627935</v>
      </c>
    </row>
    <row r="39" spans="1:15" x14ac:dyDescent="0.25">
      <c r="A39" s="62" t="s">
        <v>60</v>
      </c>
      <c r="B39" s="62" t="s">
        <v>14</v>
      </c>
      <c r="C39" s="63">
        <v>45544</v>
      </c>
      <c r="D39" s="62" t="s">
        <v>31</v>
      </c>
      <c r="E39" s="62">
        <v>6158</v>
      </c>
      <c r="F39" s="62">
        <v>277</v>
      </c>
      <c r="G39" s="62">
        <v>512</v>
      </c>
      <c r="H39" s="62">
        <v>2189</v>
      </c>
      <c r="I39" s="62">
        <v>76881</v>
      </c>
      <c r="J39" s="62">
        <v>124878</v>
      </c>
      <c r="K39" s="62" t="s">
        <v>34</v>
      </c>
      <c r="L39" s="64">
        <v>5.563029516808405E-2</v>
      </c>
      <c r="M39" s="62" t="s">
        <v>27</v>
      </c>
      <c r="N39" s="64">
        <f>Hashtags!$H39/Hashtags!$J39</f>
        <v>1.7529108409807974E-2</v>
      </c>
      <c r="O39" s="66">
        <f>(Hashtags!$L39+Hashtags!$N39)*100</f>
        <v>7.3159403577892022</v>
      </c>
    </row>
    <row r="40" spans="1:15" x14ac:dyDescent="0.25">
      <c r="A40" s="59" t="s">
        <v>60</v>
      </c>
      <c r="B40" s="59" t="s">
        <v>14</v>
      </c>
      <c r="C40" s="60">
        <v>45544</v>
      </c>
      <c r="D40" s="59" t="s">
        <v>31</v>
      </c>
      <c r="E40" s="59">
        <v>6158</v>
      </c>
      <c r="F40" s="59">
        <v>277</v>
      </c>
      <c r="G40" s="59">
        <v>512</v>
      </c>
      <c r="H40" s="59">
        <v>2189</v>
      </c>
      <c r="I40" s="59">
        <v>76881</v>
      </c>
      <c r="J40" s="59">
        <v>124878</v>
      </c>
      <c r="K40" s="59" t="s">
        <v>34</v>
      </c>
      <c r="L40" s="61">
        <v>5.563029516808405E-2</v>
      </c>
      <c r="M40" s="59" t="s">
        <v>28</v>
      </c>
      <c r="N40" s="61">
        <f>Hashtags!$H40/Hashtags!$J40</f>
        <v>1.7529108409807974E-2</v>
      </c>
      <c r="O40" s="65">
        <f>(Hashtags!$L40+Hashtags!$N40)*100</f>
        <v>7.3159403577892022</v>
      </c>
    </row>
    <row r="41" spans="1:15" x14ac:dyDescent="0.25">
      <c r="A41" s="62" t="s">
        <v>61</v>
      </c>
      <c r="B41" s="62" t="s">
        <v>47</v>
      </c>
      <c r="C41" s="63">
        <v>45908</v>
      </c>
      <c r="D41" s="62" t="s">
        <v>39</v>
      </c>
      <c r="E41" s="62">
        <v>22309</v>
      </c>
      <c r="F41" s="62">
        <v>773</v>
      </c>
      <c r="G41" s="62">
        <v>854</v>
      </c>
      <c r="H41" s="62">
        <v>2387</v>
      </c>
      <c r="I41" s="62">
        <v>72396</v>
      </c>
      <c r="J41" s="62">
        <v>97056</v>
      </c>
      <c r="K41" s="62" t="s">
        <v>23</v>
      </c>
      <c r="L41" s="64">
        <v>0.24662050774810418</v>
      </c>
      <c r="M41" s="62" t="s">
        <v>62</v>
      </c>
      <c r="N41" s="64">
        <f>Hashtags!$H41/Hashtags!$J41</f>
        <v>2.4594048796571052E-2</v>
      </c>
      <c r="O41" s="66">
        <f>(Hashtags!$L41+Hashtags!$N41)*100</f>
        <v>27.121455654467525</v>
      </c>
    </row>
    <row r="42" spans="1:15" x14ac:dyDescent="0.25">
      <c r="A42" s="59" t="s">
        <v>61</v>
      </c>
      <c r="B42" s="59" t="s">
        <v>47</v>
      </c>
      <c r="C42" s="60">
        <v>45908</v>
      </c>
      <c r="D42" s="59" t="s">
        <v>39</v>
      </c>
      <c r="E42" s="59">
        <v>22309</v>
      </c>
      <c r="F42" s="59">
        <v>773</v>
      </c>
      <c r="G42" s="59">
        <v>854</v>
      </c>
      <c r="H42" s="59">
        <v>2387</v>
      </c>
      <c r="I42" s="59">
        <v>72396</v>
      </c>
      <c r="J42" s="59">
        <v>97056</v>
      </c>
      <c r="K42" s="59" t="s">
        <v>23</v>
      </c>
      <c r="L42" s="61">
        <v>0.24662050774810418</v>
      </c>
      <c r="M42" s="59" t="s">
        <v>37</v>
      </c>
      <c r="N42" s="61">
        <f>Hashtags!$H42/Hashtags!$J42</f>
        <v>2.4594048796571052E-2</v>
      </c>
      <c r="O42" s="65">
        <f>(Hashtags!$L42+Hashtags!$N42)*100</f>
        <v>27.121455654467525</v>
      </c>
    </row>
    <row r="43" spans="1:15" x14ac:dyDescent="0.25">
      <c r="A43" s="62" t="s">
        <v>63</v>
      </c>
      <c r="B43" s="62" t="s">
        <v>25</v>
      </c>
      <c r="C43" s="63">
        <v>45715</v>
      </c>
      <c r="D43" s="62" t="s">
        <v>15</v>
      </c>
      <c r="E43" s="62">
        <v>8970</v>
      </c>
      <c r="F43" s="62">
        <v>331</v>
      </c>
      <c r="G43" s="62">
        <v>968</v>
      </c>
      <c r="H43" s="62">
        <v>2296</v>
      </c>
      <c r="I43" s="62">
        <v>24613</v>
      </c>
      <c r="J43" s="62">
        <v>198562</v>
      </c>
      <c r="K43" s="62" t="s">
        <v>34</v>
      </c>
      <c r="L43" s="64">
        <v>5.1716844109144754E-2</v>
      </c>
      <c r="M43" s="62" t="s">
        <v>40</v>
      </c>
      <c r="N43" s="64">
        <f>Hashtags!$H43/Hashtags!$J43</f>
        <v>1.1563138969188464E-2</v>
      </c>
      <c r="O43" s="66">
        <f>(Hashtags!$L43+Hashtags!$N43)*100</f>
        <v>6.3279983078333215</v>
      </c>
    </row>
    <row r="44" spans="1:15" x14ac:dyDescent="0.25">
      <c r="A44" s="59" t="s">
        <v>63</v>
      </c>
      <c r="B44" s="59" t="s">
        <v>25</v>
      </c>
      <c r="C44" s="60">
        <v>45715</v>
      </c>
      <c r="D44" s="59" t="s">
        <v>15</v>
      </c>
      <c r="E44" s="59">
        <v>8970</v>
      </c>
      <c r="F44" s="59">
        <v>331</v>
      </c>
      <c r="G44" s="59">
        <v>968</v>
      </c>
      <c r="H44" s="59">
        <v>2296</v>
      </c>
      <c r="I44" s="59">
        <v>24613</v>
      </c>
      <c r="J44" s="59">
        <v>198562</v>
      </c>
      <c r="K44" s="59" t="s">
        <v>34</v>
      </c>
      <c r="L44" s="61">
        <v>5.1716844109144754E-2</v>
      </c>
      <c r="M44" s="59" t="s">
        <v>41</v>
      </c>
      <c r="N44" s="61">
        <f>Hashtags!$H44/Hashtags!$J44</f>
        <v>1.1563138969188464E-2</v>
      </c>
      <c r="O44" s="65">
        <f>(Hashtags!$L44+Hashtags!$N44)*100</f>
        <v>6.3279983078333215</v>
      </c>
    </row>
    <row r="45" spans="1:15" x14ac:dyDescent="0.25">
      <c r="A45" s="62" t="s">
        <v>64</v>
      </c>
      <c r="B45" s="62" t="s">
        <v>47</v>
      </c>
      <c r="C45" s="63">
        <v>45602</v>
      </c>
      <c r="D45" s="62" t="s">
        <v>39</v>
      </c>
      <c r="E45" s="62">
        <v>8938</v>
      </c>
      <c r="F45" s="62">
        <v>800</v>
      </c>
      <c r="G45" s="62">
        <v>842</v>
      </c>
      <c r="H45" s="62">
        <v>2072</v>
      </c>
      <c r="I45" s="62">
        <v>31736</v>
      </c>
      <c r="J45" s="62">
        <v>59975</v>
      </c>
      <c r="K45" s="62" t="s">
        <v>34</v>
      </c>
      <c r="L45" s="64">
        <v>0.17640683618174238</v>
      </c>
      <c r="M45" s="62" t="s">
        <v>32</v>
      </c>
      <c r="N45" s="64">
        <f>Hashtags!$H45/Hashtags!$J45</f>
        <v>3.4547728220091702E-2</v>
      </c>
      <c r="O45" s="66">
        <f>(Hashtags!$L45+Hashtags!$N45)*100</f>
        <v>21.095456440183408</v>
      </c>
    </row>
    <row r="46" spans="1:15" x14ac:dyDescent="0.25">
      <c r="A46" s="59" t="s">
        <v>64</v>
      </c>
      <c r="B46" s="59" t="s">
        <v>47</v>
      </c>
      <c r="C46" s="60">
        <v>45602</v>
      </c>
      <c r="D46" s="59" t="s">
        <v>39</v>
      </c>
      <c r="E46" s="59">
        <v>8938</v>
      </c>
      <c r="F46" s="59">
        <v>800</v>
      </c>
      <c r="G46" s="59">
        <v>842</v>
      </c>
      <c r="H46" s="59">
        <v>2072</v>
      </c>
      <c r="I46" s="59">
        <v>31736</v>
      </c>
      <c r="J46" s="59">
        <v>59975</v>
      </c>
      <c r="K46" s="59" t="s">
        <v>34</v>
      </c>
      <c r="L46" s="61">
        <v>0.17640683618174238</v>
      </c>
      <c r="M46" s="59" t="s">
        <v>57</v>
      </c>
      <c r="N46" s="61">
        <f>Hashtags!$H46/Hashtags!$J46</f>
        <v>3.4547728220091702E-2</v>
      </c>
      <c r="O46" s="65">
        <f>(Hashtags!$L46+Hashtags!$N46)*100</f>
        <v>21.095456440183408</v>
      </c>
    </row>
    <row r="47" spans="1:15" x14ac:dyDescent="0.25">
      <c r="A47" s="62" t="s">
        <v>65</v>
      </c>
      <c r="B47" s="62" t="s">
        <v>20</v>
      </c>
      <c r="C47" s="63">
        <v>45680</v>
      </c>
      <c r="D47" s="62" t="s">
        <v>31</v>
      </c>
      <c r="E47" s="62">
        <v>23168</v>
      </c>
      <c r="F47" s="62">
        <v>1265</v>
      </c>
      <c r="G47" s="62">
        <v>441</v>
      </c>
      <c r="H47" s="62">
        <v>1612</v>
      </c>
      <c r="I47" s="62">
        <v>66615</v>
      </c>
      <c r="J47" s="62">
        <v>197795</v>
      </c>
      <c r="K47" s="62" t="s">
        <v>34</v>
      </c>
      <c r="L47" s="64">
        <v>0.12575646502692181</v>
      </c>
      <c r="M47" s="62" t="s">
        <v>48</v>
      </c>
      <c r="N47" s="64">
        <f>Hashtags!$H47/Hashtags!$J47</f>
        <v>8.1498521196187966E-3</v>
      </c>
      <c r="O47" s="66">
        <f>(Hashtags!$L47+Hashtags!$N47)*100</f>
        <v>13.390631714654061</v>
      </c>
    </row>
    <row r="48" spans="1:15" x14ac:dyDescent="0.25">
      <c r="A48" s="59" t="s">
        <v>65</v>
      </c>
      <c r="B48" s="59" t="s">
        <v>20</v>
      </c>
      <c r="C48" s="60">
        <v>45680</v>
      </c>
      <c r="D48" s="59" t="s">
        <v>31</v>
      </c>
      <c r="E48" s="59">
        <v>23168</v>
      </c>
      <c r="F48" s="59">
        <v>1265</v>
      </c>
      <c r="G48" s="59">
        <v>441</v>
      </c>
      <c r="H48" s="59">
        <v>1612</v>
      </c>
      <c r="I48" s="59">
        <v>66615</v>
      </c>
      <c r="J48" s="59">
        <v>197795</v>
      </c>
      <c r="K48" s="59" t="s">
        <v>34</v>
      </c>
      <c r="L48" s="61">
        <v>0.12575646502692181</v>
      </c>
      <c r="M48" s="59" t="s">
        <v>32</v>
      </c>
      <c r="N48" s="61">
        <f>Hashtags!$H48/Hashtags!$J48</f>
        <v>8.1498521196187966E-3</v>
      </c>
      <c r="O48" s="65">
        <f>(Hashtags!$L48+Hashtags!$N48)*100</f>
        <v>13.390631714654061</v>
      </c>
    </row>
    <row r="49" spans="1:15" x14ac:dyDescent="0.25">
      <c r="A49" s="62" t="s">
        <v>66</v>
      </c>
      <c r="B49" s="62" t="s">
        <v>20</v>
      </c>
      <c r="C49" s="63">
        <v>45909</v>
      </c>
      <c r="D49" s="62" t="s">
        <v>31</v>
      </c>
      <c r="E49" s="62">
        <v>15772</v>
      </c>
      <c r="F49" s="62">
        <v>288</v>
      </c>
      <c r="G49" s="62">
        <v>520</v>
      </c>
      <c r="H49" s="62">
        <v>1585</v>
      </c>
      <c r="I49" s="62">
        <v>59182</v>
      </c>
      <c r="J49" s="62">
        <v>194351</v>
      </c>
      <c r="K49" s="62" t="s">
        <v>23</v>
      </c>
      <c r="L49" s="64">
        <v>8.5309568769905988E-2</v>
      </c>
      <c r="M49" s="62" t="s">
        <v>43</v>
      </c>
      <c r="N49" s="64">
        <f>Hashtags!$H49/Hashtags!$J49</f>
        <v>8.1553477985706266E-3</v>
      </c>
      <c r="O49" s="66">
        <f>(Hashtags!$L49+Hashtags!$N49)*100</f>
        <v>9.346491656847661</v>
      </c>
    </row>
    <row r="50" spans="1:15" x14ac:dyDescent="0.25">
      <c r="A50" s="59" t="s">
        <v>66</v>
      </c>
      <c r="B50" s="59" t="s">
        <v>20</v>
      </c>
      <c r="C50" s="60">
        <v>45909</v>
      </c>
      <c r="D50" s="59" t="s">
        <v>31</v>
      </c>
      <c r="E50" s="59">
        <v>15772</v>
      </c>
      <c r="F50" s="59">
        <v>288</v>
      </c>
      <c r="G50" s="59">
        <v>520</v>
      </c>
      <c r="H50" s="59">
        <v>1585</v>
      </c>
      <c r="I50" s="59">
        <v>59182</v>
      </c>
      <c r="J50" s="59">
        <v>194351</v>
      </c>
      <c r="K50" s="59" t="s">
        <v>23</v>
      </c>
      <c r="L50" s="61">
        <v>8.5309568769905988E-2</v>
      </c>
      <c r="M50" s="59" t="s">
        <v>44</v>
      </c>
      <c r="N50" s="61">
        <f>Hashtags!$H50/Hashtags!$J50</f>
        <v>8.1553477985706266E-3</v>
      </c>
      <c r="O50" s="65">
        <f>(Hashtags!$L50+Hashtags!$N50)*100</f>
        <v>9.346491656847661</v>
      </c>
    </row>
    <row r="51" spans="1:15" x14ac:dyDescent="0.25">
      <c r="A51" s="62" t="s">
        <v>67</v>
      </c>
      <c r="B51" s="62" t="s">
        <v>47</v>
      </c>
      <c r="C51" s="63">
        <v>45752</v>
      </c>
      <c r="D51" s="62" t="s">
        <v>31</v>
      </c>
      <c r="E51" s="62">
        <v>22384</v>
      </c>
      <c r="F51" s="62">
        <v>601</v>
      </c>
      <c r="G51" s="62">
        <v>943</v>
      </c>
      <c r="H51" s="62">
        <v>515</v>
      </c>
      <c r="I51" s="62">
        <v>41309</v>
      </c>
      <c r="J51" s="62">
        <v>249373</v>
      </c>
      <c r="K51" s="62" t="s">
        <v>18</v>
      </c>
      <c r="L51" s="64">
        <v>9.5952649244304716E-2</v>
      </c>
      <c r="M51" s="62" t="s">
        <v>43</v>
      </c>
      <c r="N51" s="64">
        <f>Hashtags!$H51/Hashtags!$J51</f>
        <v>2.0651794701110385E-3</v>
      </c>
      <c r="O51" s="66">
        <f>(Hashtags!$L51+Hashtags!$N51)*100</f>
        <v>9.8017828714415742</v>
      </c>
    </row>
    <row r="52" spans="1:15" x14ac:dyDescent="0.25">
      <c r="A52" s="59" t="s">
        <v>67</v>
      </c>
      <c r="B52" s="59" t="s">
        <v>47</v>
      </c>
      <c r="C52" s="60">
        <v>45752</v>
      </c>
      <c r="D52" s="59" t="s">
        <v>31</v>
      </c>
      <c r="E52" s="59">
        <v>22384</v>
      </c>
      <c r="F52" s="59">
        <v>601</v>
      </c>
      <c r="G52" s="59">
        <v>943</v>
      </c>
      <c r="H52" s="59">
        <v>515</v>
      </c>
      <c r="I52" s="59">
        <v>41309</v>
      </c>
      <c r="J52" s="59">
        <v>249373</v>
      </c>
      <c r="K52" s="59" t="s">
        <v>18</v>
      </c>
      <c r="L52" s="61">
        <v>9.5952649244304716E-2</v>
      </c>
      <c r="M52" s="59" t="s">
        <v>44</v>
      </c>
      <c r="N52" s="61">
        <f>Hashtags!$H52/Hashtags!$J52</f>
        <v>2.0651794701110385E-3</v>
      </c>
      <c r="O52" s="65">
        <f>(Hashtags!$L52+Hashtags!$N52)*100</f>
        <v>9.8017828714415742</v>
      </c>
    </row>
    <row r="53" spans="1:15" x14ac:dyDescent="0.25">
      <c r="A53" s="62" t="s">
        <v>68</v>
      </c>
      <c r="B53" s="62" t="s">
        <v>47</v>
      </c>
      <c r="C53" s="63">
        <v>45552</v>
      </c>
      <c r="D53" s="62" t="s">
        <v>26</v>
      </c>
      <c r="E53" s="62">
        <v>20017</v>
      </c>
      <c r="F53" s="62">
        <v>495</v>
      </c>
      <c r="G53" s="62">
        <v>178</v>
      </c>
      <c r="H53" s="62">
        <v>2683</v>
      </c>
      <c r="I53" s="62">
        <v>32244</v>
      </c>
      <c r="J53" s="62">
        <v>182633</v>
      </c>
      <c r="K53" s="62" t="s">
        <v>18</v>
      </c>
      <c r="L53" s="64">
        <v>0.11328730295182141</v>
      </c>
      <c r="M53" s="62" t="s">
        <v>48</v>
      </c>
      <c r="N53" s="64">
        <f>Hashtags!$H53/Hashtags!$J53</f>
        <v>1.4690663790224111E-2</v>
      </c>
      <c r="O53" s="66">
        <f>(Hashtags!$L53+Hashtags!$N53)*100</f>
        <v>12.79779667420455</v>
      </c>
    </row>
    <row r="54" spans="1:15" x14ac:dyDescent="0.25">
      <c r="A54" s="59" t="s">
        <v>68</v>
      </c>
      <c r="B54" s="59" t="s">
        <v>47</v>
      </c>
      <c r="C54" s="60">
        <v>45552</v>
      </c>
      <c r="D54" s="59" t="s">
        <v>26</v>
      </c>
      <c r="E54" s="59">
        <v>20017</v>
      </c>
      <c r="F54" s="59">
        <v>495</v>
      </c>
      <c r="G54" s="59">
        <v>178</v>
      </c>
      <c r="H54" s="59">
        <v>2683</v>
      </c>
      <c r="I54" s="59">
        <v>32244</v>
      </c>
      <c r="J54" s="59">
        <v>182633</v>
      </c>
      <c r="K54" s="59" t="s">
        <v>18</v>
      </c>
      <c r="L54" s="61">
        <v>0.11328730295182141</v>
      </c>
      <c r="M54" s="59" t="s">
        <v>32</v>
      </c>
      <c r="N54" s="61">
        <f>Hashtags!$H54/Hashtags!$J54</f>
        <v>1.4690663790224111E-2</v>
      </c>
      <c r="O54" s="65">
        <f>(Hashtags!$L54+Hashtags!$N54)*100</f>
        <v>12.79779667420455</v>
      </c>
    </row>
    <row r="55" spans="1:15" x14ac:dyDescent="0.25">
      <c r="A55" s="62" t="s">
        <v>69</v>
      </c>
      <c r="B55" s="62" t="s">
        <v>47</v>
      </c>
      <c r="C55" s="63">
        <v>45720</v>
      </c>
      <c r="D55" s="62" t="s">
        <v>26</v>
      </c>
      <c r="E55" s="62">
        <v>12344</v>
      </c>
      <c r="F55" s="62">
        <v>815</v>
      </c>
      <c r="G55" s="62">
        <v>298</v>
      </c>
      <c r="H55" s="62">
        <v>2439</v>
      </c>
      <c r="I55" s="62">
        <v>6259</v>
      </c>
      <c r="J55" s="62">
        <v>237133</v>
      </c>
      <c r="K55" s="62" t="s">
        <v>34</v>
      </c>
      <c r="L55" s="64">
        <v>5.6748744375519224E-2</v>
      </c>
      <c r="M55" s="62" t="s">
        <v>37</v>
      </c>
      <c r="N55" s="64">
        <f>Hashtags!$H55/Hashtags!$J55</f>
        <v>1.0285367283338885E-2</v>
      </c>
      <c r="O55" s="66">
        <f>(Hashtags!$L55+Hashtags!$N55)*100</f>
        <v>6.7034111658858118</v>
      </c>
    </row>
    <row r="56" spans="1:15" x14ac:dyDescent="0.25">
      <c r="A56" s="59" t="s">
        <v>70</v>
      </c>
      <c r="B56" s="59" t="s">
        <v>20</v>
      </c>
      <c r="C56" s="60">
        <v>45910</v>
      </c>
      <c r="D56" s="59" t="s">
        <v>39</v>
      </c>
      <c r="E56" s="59">
        <v>9266</v>
      </c>
      <c r="F56" s="59">
        <v>999</v>
      </c>
      <c r="G56" s="59">
        <v>928</v>
      </c>
      <c r="H56" s="59">
        <v>2700</v>
      </c>
      <c r="I56" s="59">
        <v>12264</v>
      </c>
      <c r="J56" s="59">
        <v>128397</v>
      </c>
      <c r="K56" s="59" t="s">
        <v>23</v>
      </c>
      <c r="L56" s="61">
        <v>8.7174933993784898E-2</v>
      </c>
      <c r="M56" s="59" t="s">
        <v>71</v>
      </c>
      <c r="N56" s="61">
        <f>Hashtags!$H56/Hashtags!$J56</f>
        <v>2.102852870394168E-2</v>
      </c>
      <c r="O56" s="65">
        <f>(Hashtags!$L56+Hashtags!$N56)*100</f>
        <v>10.820346269772656</v>
      </c>
    </row>
    <row r="57" spans="1:15" x14ac:dyDescent="0.25">
      <c r="A57" s="62" t="s">
        <v>72</v>
      </c>
      <c r="B57" s="62" t="s">
        <v>20</v>
      </c>
      <c r="C57" s="63">
        <v>45713</v>
      </c>
      <c r="D57" s="62" t="s">
        <v>39</v>
      </c>
      <c r="E57" s="62">
        <v>10702</v>
      </c>
      <c r="F57" s="62">
        <v>621</v>
      </c>
      <c r="G57" s="62">
        <v>445</v>
      </c>
      <c r="H57" s="62">
        <v>2918</v>
      </c>
      <c r="I57" s="62">
        <v>54808</v>
      </c>
      <c r="J57" s="62">
        <v>220225</v>
      </c>
      <c r="K57" s="62" t="s">
        <v>18</v>
      </c>
      <c r="L57" s="64">
        <v>5.3436258372119426E-2</v>
      </c>
      <c r="M57" s="62" t="s">
        <v>62</v>
      </c>
      <c r="N57" s="64">
        <f>Hashtags!$H57/Hashtags!$J57</f>
        <v>1.3250085140197525E-2</v>
      </c>
      <c r="O57" s="66">
        <f>(Hashtags!$L57+Hashtags!$N57)*100</f>
        <v>6.6686343512316952</v>
      </c>
    </row>
    <row r="58" spans="1:15" x14ac:dyDescent="0.25">
      <c r="A58" s="59" t="s">
        <v>72</v>
      </c>
      <c r="B58" s="59" t="s">
        <v>20</v>
      </c>
      <c r="C58" s="60">
        <v>45713</v>
      </c>
      <c r="D58" s="59" t="s">
        <v>39</v>
      </c>
      <c r="E58" s="59">
        <v>10702</v>
      </c>
      <c r="F58" s="59">
        <v>621</v>
      </c>
      <c r="G58" s="59">
        <v>445</v>
      </c>
      <c r="H58" s="59">
        <v>2918</v>
      </c>
      <c r="I58" s="59">
        <v>54808</v>
      </c>
      <c r="J58" s="59">
        <v>220225</v>
      </c>
      <c r="K58" s="59" t="s">
        <v>18</v>
      </c>
      <c r="L58" s="61">
        <v>5.3436258372119426E-2</v>
      </c>
      <c r="M58" s="59" t="s">
        <v>37</v>
      </c>
      <c r="N58" s="61">
        <f>Hashtags!$H58/Hashtags!$J58</f>
        <v>1.3250085140197525E-2</v>
      </c>
      <c r="O58" s="65">
        <f>(Hashtags!$L58+Hashtags!$N58)*100</f>
        <v>6.6686343512316952</v>
      </c>
    </row>
    <row r="59" spans="1:15" x14ac:dyDescent="0.25">
      <c r="A59" s="62" t="s">
        <v>73</v>
      </c>
      <c r="B59" s="62" t="s">
        <v>25</v>
      </c>
      <c r="C59" s="63">
        <v>45642</v>
      </c>
      <c r="D59" s="62" t="s">
        <v>15</v>
      </c>
      <c r="E59" s="62">
        <v>2384</v>
      </c>
      <c r="F59" s="62">
        <v>1246</v>
      </c>
      <c r="G59" s="62">
        <v>160</v>
      </c>
      <c r="H59" s="62">
        <v>2004</v>
      </c>
      <c r="I59" s="62">
        <v>2701</v>
      </c>
      <c r="J59" s="62">
        <v>73142</v>
      </c>
      <c r="K59" s="62" t="s">
        <v>18</v>
      </c>
      <c r="L59" s="64">
        <v>5.1817013480626728E-2</v>
      </c>
      <c r="M59" s="62" t="s">
        <v>32</v>
      </c>
      <c r="N59" s="64">
        <f>Hashtags!$H59/Hashtags!$J59</f>
        <v>2.7398758579202102E-2</v>
      </c>
      <c r="O59" s="66">
        <f>(Hashtags!$L59+Hashtags!$N59)*100</f>
        <v>7.9215772059828824</v>
      </c>
    </row>
    <row r="60" spans="1:15" x14ac:dyDescent="0.25">
      <c r="A60" s="59" t="s">
        <v>73</v>
      </c>
      <c r="B60" s="59" t="s">
        <v>25</v>
      </c>
      <c r="C60" s="60">
        <v>45642</v>
      </c>
      <c r="D60" s="59" t="s">
        <v>15</v>
      </c>
      <c r="E60" s="59">
        <v>2384</v>
      </c>
      <c r="F60" s="59">
        <v>1246</v>
      </c>
      <c r="G60" s="59">
        <v>160</v>
      </c>
      <c r="H60" s="59">
        <v>2004</v>
      </c>
      <c r="I60" s="59">
        <v>2701</v>
      </c>
      <c r="J60" s="59">
        <v>73142</v>
      </c>
      <c r="K60" s="59" t="s">
        <v>18</v>
      </c>
      <c r="L60" s="61">
        <v>5.1817013480626728E-2</v>
      </c>
      <c r="M60" s="59" t="s">
        <v>33</v>
      </c>
      <c r="N60" s="61">
        <f>Hashtags!$H60/Hashtags!$J60</f>
        <v>2.7398758579202102E-2</v>
      </c>
      <c r="O60" s="65">
        <f>(Hashtags!$L60+Hashtags!$N60)*100</f>
        <v>7.9215772059828824</v>
      </c>
    </row>
    <row r="61" spans="1:15" x14ac:dyDescent="0.25">
      <c r="A61" s="62" t="s">
        <v>74</v>
      </c>
      <c r="B61" s="62" t="s">
        <v>25</v>
      </c>
      <c r="C61" s="63">
        <v>45504</v>
      </c>
      <c r="D61" s="62" t="s">
        <v>15</v>
      </c>
      <c r="E61" s="62">
        <v>2404</v>
      </c>
      <c r="F61" s="62">
        <v>774</v>
      </c>
      <c r="G61" s="62">
        <v>661</v>
      </c>
      <c r="H61" s="62">
        <v>662</v>
      </c>
      <c r="I61" s="62">
        <v>12676</v>
      </c>
      <c r="J61" s="62">
        <v>66916</v>
      </c>
      <c r="K61" s="62" t="s">
        <v>18</v>
      </c>
      <c r="L61" s="64">
        <v>5.7370434574690654E-2</v>
      </c>
      <c r="M61" s="62" t="s">
        <v>32</v>
      </c>
      <c r="N61" s="64">
        <f>Hashtags!$H61/Hashtags!$J61</f>
        <v>9.8930001793293091E-3</v>
      </c>
      <c r="O61" s="66">
        <f>(Hashtags!$L61+Hashtags!$N61)*100</f>
        <v>6.7263434754019968</v>
      </c>
    </row>
    <row r="62" spans="1:15" x14ac:dyDescent="0.25">
      <c r="A62" s="59" t="s">
        <v>74</v>
      </c>
      <c r="B62" s="59" t="s">
        <v>25</v>
      </c>
      <c r="C62" s="60">
        <v>45504</v>
      </c>
      <c r="D62" s="59" t="s">
        <v>15</v>
      </c>
      <c r="E62" s="59">
        <v>2404</v>
      </c>
      <c r="F62" s="59">
        <v>774</v>
      </c>
      <c r="G62" s="59">
        <v>661</v>
      </c>
      <c r="H62" s="59">
        <v>662</v>
      </c>
      <c r="I62" s="59">
        <v>12676</v>
      </c>
      <c r="J62" s="59">
        <v>66916</v>
      </c>
      <c r="K62" s="59" t="s">
        <v>18</v>
      </c>
      <c r="L62" s="61">
        <v>5.7370434574690654E-2</v>
      </c>
      <c r="M62" s="59" t="s">
        <v>57</v>
      </c>
      <c r="N62" s="61">
        <f>Hashtags!$H62/Hashtags!$J62</f>
        <v>9.8930001793293091E-3</v>
      </c>
      <c r="O62" s="65">
        <f>(Hashtags!$L62+Hashtags!$N62)*100</f>
        <v>6.7263434754019968</v>
      </c>
    </row>
    <row r="63" spans="1:15" x14ac:dyDescent="0.25">
      <c r="A63" s="62" t="s">
        <v>75</v>
      </c>
      <c r="B63" s="62" t="s">
        <v>20</v>
      </c>
      <c r="C63" s="63">
        <v>45911</v>
      </c>
      <c r="D63" s="62" t="s">
        <v>39</v>
      </c>
      <c r="E63" s="62">
        <v>10175</v>
      </c>
      <c r="F63" s="62">
        <v>342</v>
      </c>
      <c r="G63" s="62">
        <v>825</v>
      </c>
      <c r="H63" s="62">
        <v>2904</v>
      </c>
      <c r="I63" s="62">
        <v>15954</v>
      </c>
      <c r="J63" s="62">
        <v>104324</v>
      </c>
      <c r="K63" s="62" t="s">
        <v>23</v>
      </c>
      <c r="L63" s="64">
        <v>0.10871899083624094</v>
      </c>
      <c r="M63" s="62" t="s">
        <v>48</v>
      </c>
      <c r="N63" s="64">
        <f>Hashtags!$H63/Hashtags!$J63</f>
        <v>2.7836355967946015E-2</v>
      </c>
      <c r="O63" s="66">
        <f>(Hashtags!$L63+Hashtags!$N63)*100</f>
        <v>13.655534680418697</v>
      </c>
    </row>
    <row r="64" spans="1:15" x14ac:dyDescent="0.25">
      <c r="A64" s="59" t="s">
        <v>75</v>
      </c>
      <c r="B64" s="59" t="s">
        <v>20</v>
      </c>
      <c r="C64" s="60">
        <v>45911</v>
      </c>
      <c r="D64" s="59" t="s">
        <v>39</v>
      </c>
      <c r="E64" s="59">
        <v>10175</v>
      </c>
      <c r="F64" s="59">
        <v>342</v>
      </c>
      <c r="G64" s="59">
        <v>825</v>
      </c>
      <c r="H64" s="59">
        <v>2904</v>
      </c>
      <c r="I64" s="59">
        <v>15954</v>
      </c>
      <c r="J64" s="59">
        <v>104324</v>
      </c>
      <c r="K64" s="59" t="s">
        <v>23</v>
      </c>
      <c r="L64" s="61">
        <v>0.10871899083624094</v>
      </c>
      <c r="M64" s="59" t="s">
        <v>32</v>
      </c>
      <c r="N64" s="61">
        <f>Hashtags!$H64/Hashtags!$J64</f>
        <v>2.7836355967946015E-2</v>
      </c>
      <c r="O64" s="65">
        <f>(Hashtags!$L64+Hashtags!$N64)*100</f>
        <v>13.655534680418697</v>
      </c>
    </row>
    <row r="65" spans="1:15" x14ac:dyDescent="0.25">
      <c r="A65" s="62" t="s">
        <v>76</v>
      </c>
      <c r="B65" s="62" t="s">
        <v>47</v>
      </c>
      <c r="C65" s="63">
        <v>45912</v>
      </c>
      <c r="D65" s="62" t="s">
        <v>26</v>
      </c>
      <c r="E65" s="62">
        <v>17158</v>
      </c>
      <c r="F65" s="62">
        <v>1192</v>
      </c>
      <c r="G65" s="62">
        <v>262</v>
      </c>
      <c r="H65" s="62">
        <v>2016</v>
      </c>
      <c r="I65" s="62">
        <v>28771</v>
      </c>
      <c r="J65" s="62">
        <v>216037</v>
      </c>
      <c r="K65" s="62" t="s">
        <v>23</v>
      </c>
      <c r="L65" s="64">
        <v>8.6151909163708074E-2</v>
      </c>
      <c r="M65" s="62" t="s">
        <v>27</v>
      </c>
      <c r="N65" s="64">
        <f>Hashtags!$H65/Hashtags!$J65</f>
        <v>9.3317348417169283E-3</v>
      </c>
      <c r="O65" s="66">
        <f>(Hashtags!$L65+Hashtags!$N65)*100</f>
        <v>9.5483644005424999</v>
      </c>
    </row>
    <row r="66" spans="1:15" x14ac:dyDescent="0.25">
      <c r="A66" s="59" t="s">
        <v>76</v>
      </c>
      <c r="B66" s="59" t="s">
        <v>47</v>
      </c>
      <c r="C66" s="60">
        <v>45912</v>
      </c>
      <c r="D66" s="59" t="s">
        <v>26</v>
      </c>
      <c r="E66" s="59">
        <v>17158</v>
      </c>
      <c r="F66" s="59">
        <v>1192</v>
      </c>
      <c r="G66" s="59">
        <v>262</v>
      </c>
      <c r="H66" s="59">
        <v>2016</v>
      </c>
      <c r="I66" s="59">
        <v>28771</v>
      </c>
      <c r="J66" s="59">
        <v>216037</v>
      </c>
      <c r="K66" s="59" t="s">
        <v>23</v>
      </c>
      <c r="L66" s="61">
        <v>8.6151909163708074E-2</v>
      </c>
      <c r="M66" s="59" t="s">
        <v>28</v>
      </c>
      <c r="N66" s="61">
        <f>Hashtags!$H66/Hashtags!$J66</f>
        <v>9.3317348417169283E-3</v>
      </c>
      <c r="O66" s="65">
        <f>(Hashtags!$L66+Hashtags!$N66)*100</f>
        <v>9.5483644005424999</v>
      </c>
    </row>
    <row r="67" spans="1:15" x14ac:dyDescent="0.25">
      <c r="A67" s="62" t="s">
        <v>77</v>
      </c>
      <c r="B67" s="62" t="s">
        <v>47</v>
      </c>
      <c r="C67" s="63">
        <v>45626</v>
      </c>
      <c r="D67" s="62" t="s">
        <v>31</v>
      </c>
      <c r="E67" s="62">
        <v>14763</v>
      </c>
      <c r="F67" s="62">
        <v>864</v>
      </c>
      <c r="G67" s="62">
        <v>336</v>
      </c>
      <c r="H67" s="62">
        <v>1493</v>
      </c>
      <c r="I67" s="62">
        <v>33310</v>
      </c>
      <c r="J67" s="62">
        <v>165932</v>
      </c>
      <c r="K67" s="62" t="s">
        <v>34</v>
      </c>
      <c r="L67" s="64">
        <v>9.6202058674637797E-2</v>
      </c>
      <c r="M67" s="62" t="s">
        <v>32</v>
      </c>
      <c r="N67" s="64">
        <f>Hashtags!$H67/Hashtags!$J67</f>
        <v>8.9976616927416042E-3</v>
      </c>
      <c r="O67" s="66">
        <f>(Hashtags!$L67+Hashtags!$N67)*100</f>
        <v>10.51997203673794</v>
      </c>
    </row>
    <row r="68" spans="1:15" x14ac:dyDescent="0.25">
      <c r="A68" s="59" t="s">
        <v>77</v>
      </c>
      <c r="B68" s="59" t="s">
        <v>47</v>
      </c>
      <c r="C68" s="60">
        <v>45626</v>
      </c>
      <c r="D68" s="59" t="s">
        <v>31</v>
      </c>
      <c r="E68" s="59">
        <v>14763</v>
      </c>
      <c r="F68" s="59">
        <v>864</v>
      </c>
      <c r="G68" s="59">
        <v>336</v>
      </c>
      <c r="H68" s="59">
        <v>1493</v>
      </c>
      <c r="I68" s="59">
        <v>33310</v>
      </c>
      <c r="J68" s="59">
        <v>165932</v>
      </c>
      <c r="K68" s="59" t="s">
        <v>34</v>
      </c>
      <c r="L68" s="61">
        <v>9.6202058674637797E-2</v>
      </c>
      <c r="M68" s="59" t="s">
        <v>57</v>
      </c>
      <c r="N68" s="61">
        <f>Hashtags!$H68/Hashtags!$J68</f>
        <v>8.9976616927416042E-3</v>
      </c>
      <c r="O68" s="65">
        <f>(Hashtags!$L68+Hashtags!$N68)*100</f>
        <v>10.51997203673794</v>
      </c>
    </row>
    <row r="69" spans="1:15" x14ac:dyDescent="0.25">
      <c r="A69" s="62" t="s">
        <v>78</v>
      </c>
      <c r="B69" s="62" t="s">
        <v>25</v>
      </c>
      <c r="C69" s="63">
        <v>45766</v>
      </c>
      <c r="D69" s="62" t="s">
        <v>39</v>
      </c>
      <c r="E69" s="62">
        <v>20384</v>
      </c>
      <c r="F69" s="62">
        <v>344</v>
      </c>
      <c r="G69" s="62">
        <v>956</v>
      </c>
      <c r="H69" s="62">
        <v>655</v>
      </c>
      <c r="I69" s="62">
        <v>67621</v>
      </c>
      <c r="J69" s="62">
        <v>175720</v>
      </c>
      <c r="K69" s="62" t="s">
        <v>29</v>
      </c>
      <c r="L69" s="64">
        <v>0.12340086501251991</v>
      </c>
      <c r="M69" s="62" t="s">
        <v>71</v>
      </c>
      <c r="N69" s="64">
        <f>Hashtags!$H69/Hashtags!$J69</f>
        <v>3.7275210562258136E-3</v>
      </c>
      <c r="O69" s="66">
        <f>(Hashtags!$L69+Hashtags!$N69)*100</f>
        <v>12.712838606874573</v>
      </c>
    </row>
    <row r="70" spans="1:15" x14ac:dyDescent="0.25">
      <c r="A70" s="59" t="s">
        <v>79</v>
      </c>
      <c r="B70" s="59" t="s">
        <v>20</v>
      </c>
      <c r="C70" s="60">
        <v>45663</v>
      </c>
      <c r="D70" s="59" t="s">
        <v>15</v>
      </c>
      <c r="E70" s="59">
        <v>11860</v>
      </c>
      <c r="F70" s="59">
        <v>1448</v>
      </c>
      <c r="G70" s="59">
        <v>893</v>
      </c>
      <c r="H70" s="59">
        <v>490</v>
      </c>
      <c r="I70" s="59">
        <v>23518</v>
      </c>
      <c r="J70" s="59">
        <v>206205</v>
      </c>
      <c r="K70" s="59" t="s">
        <v>18</v>
      </c>
      <c r="L70" s="61">
        <v>6.8868359157149436E-2</v>
      </c>
      <c r="M70" s="59" t="s">
        <v>27</v>
      </c>
      <c r="N70" s="61">
        <f>Hashtags!$H70/Hashtags!$J70</f>
        <v>2.3762760359836085E-3</v>
      </c>
      <c r="O70" s="65">
        <f>(Hashtags!$L70+Hashtags!$N70)*100</f>
        <v>7.1244635193133039</v>
      </c>
    </row>
    <row r="71" spans="1:15" x14ac:dyDescent="0.25">
      <c r="A71" s="62" t="s">
        <v>79</v>
      </c>
      <c r="B71" s="62" t="s">
        <v>20</v>
      </c>
      <c r="C71" s="63">
        <v>45663</v>
      </c>
      <c r="D71" s="62" t="s">
        <v>15</v>
      </c>
      <c r="E71" s="62">
        <v>11860</v>
      </c>
      <c r="F71" s="62">
        <v>1448</v>
      </c>
      <c r="G71" s="62">
        <v>893</v>
      </c>
      <c r="H71" s="62">
        <v>490</v>
      </c>
      <c r="I71" s="62">
        <v>23518</v>
      </c>
      <c r="J71" s="62">
        <v>206205</v>
      </c>
      <c r="K71" s="62" t="s">
        <v>18</v>
      </c>
      <c r="L71" s="64">
        <v>6.8868359157149436E-2</v>
      </c>
      <c r="M71" s="62" t="s">
        <v>28</v>
      </c>
      <c r="N71" s="64">
        <f>Hashtags!$H71/Hashtags!$J71</f>
        <v>2.3762760359836085E-3</v>
      </c>
      <c r="O71" s="66">
        <f>(Hashtags!$L71+Hashtags!$N71)*100</f>
        <v>7.1244635193133039</v>
      </c>
    </row>
    <row r="72" spans="1:15" x14ac:dyDescent="0.25">
      <c r="A72" s="59" t="s">
        <v>80</v>
      </c>
      <c r="B72" s="59" t="s">
        <v>25</v>
      </c>
      <c r="C72" s="60">
        <v>45705</v>
      </c>
      <c r="D72" s="59" t="s">
        <v>26</v>
      </c>
      <c r="E72" s="59">
        <v>7989</v>
      </c>
      <c r="F72" s="59">
        <v>1206</v>
      </c>
      <c r="G72" s="59">
        <v>376</v>
      </c>
      <c r="H72" s="59">
        <v>2769</v>
      </c>
      <c r="I72" s="59">
        <v>27550</v>
      </c>
      <c r="J72" s="59">
        <v>221749</v>
      </c>
      <c r="K72" s="59" t="s">
        <v>29</v>
      </c>
      <c r="L72" s="61">
        <v>4.3161412227338117E-2</v>
      </c>
      <c r="M72" s="59" t="s">
        <v>21</v>
      </c>
      <c r="N72" s="61">
        <f>Hashtags!$H72/Hashtags!$J72</f>
        <v>1.248709126083996E-2</v>
      </c>
      <c r="O72" s="65">
        <f>(Hashtags!$L72+Hashtags!$N72)*100</f>
        <v>5.5648503488178074</v>
      </c>
    </row>
    <row r="73" spans="1:15" x14ac:dyDescent="0.25">
      <c r="A73" s="62" t="s">
        <v>80</v>
      </c>
      <c r="B73" s="62" t="s">
        <v>25</v>
      </c>
      <c r="C73" s="63">
        <v>45705</v>
      </c>
      <c r="D73" s="62" t="s">
        <v>26</v>
      </c>
      <c r="E73" s="62">
        <v>7989</v>
      </c>
      <c r="F73" s="62">
        <v>1206</v>
      </c>
      <c r="G73" s="62">
        <v>376</v>
      </c>
      <c r="H73" s="62">
        <v>2769</v>
      </c>
      <c r="I73" s="62">
        <v>27550</v>
      </c>
      <c r="J73" s="62">
        <v>221749</v>
      </c>
      <c r="K73" s="62" t="s">
        <v>29</v>
      </c>
      <c r="L73" s="64">
        <v>4.3161412227338117E-2</v>
      </c>
      <c r="M73" s="62" t="s">
        <v>22</v>
      </c>
      <c r="N73" s="64">
        <f>Hashtags!$H73/Hashtags!$J73</f>
        <v>1.248709126083996E-2</v>
      </c>
      <c r="O73" s="66">
        <f>(Hashtags!$L73+Hashtags!$N73)*100</f>
        <v>5.5648503488178074</v>
      </c>
    </row>
    <row r="74" spans="1:15" x14ac:dyDescent="0.25">
      <c r="A74" s="59" t="s">
        <v>81</v>
      </c>
      <c r="B74" s="59" t="s">
        <v>25</v>
      </c>
      <c r="C74" s="60">
        <v>45913</v>
      </c>
      <c r="D74" s="59" t="s">
        <v>39</v>
      </c>
      <c r="E74" s="59">
        <v>17106</v>
      </c>
      <c r="F74" s="59">
        <v>702</v>
      </c>
      <c r="G74" s="59">
        <v>459</v>
      </c>
      <c r="H74" s="59">
        <v>999</v>
      </c>
      <c r="I74" s="59">
        <v>59627</v>
      </c>
      <c r="J74" s="59">
        <v>136059</v>
      </c>
      <c r="K74" s="59" t="s">
        <v>23</v>
      </c>
      <c r="L74" s="61">
        <v>0.13425793222058077</v>
      </c>
      <c r="M74" s="59" t="s">
        <v>40</v>
      </c>
      <c r="N74" s="61">
        <f>Hashtags!$H74/Hashtags!$J74</f>
        <v>7.3424029281414678E-3</v>
      </c>
      <c r="O74" s="65">
        <f>(Hashtags!$L74+Hashtags!$N74)*100</f>
        <v>14.160033514872225</v>
      </c>
    </row>
    <row r="75" spans="1:15" x14ac:dyDescent="0.25">
      <c r="A75" s="62" t="s">
        <v>81</v>
      </c>
      <c r="B75" s="62" t="s">
        <v>25</v>
      </c>
      <c r="C75" s="63">
        <v>45913</v>
      </c>
      <c r="D75" s="62" t="s">
        <v>39</v>
      </c>
      <c r="E75" s="62">
        <v>17106</v>
      </c>
      <c r="F75" s="62">
        <v>702</v>
      </c>
      <c r="G75" s="62">
        <v>459</v>
      </c>
      <c r="H75" s="62">
        <v>999</v>
      </c>
      <c r="I75" s="62">
        <v>59627</v>
      </c>
      <c r="J75" s="62">
        <v>136059</v>
      </c>
      <c r="K75" s="62" t="s">
        <v>23</v>
      </c>
      <c r="L75" s="64">
        <v>0.13425793222058077</v>
      </c>
      <c r="M75" s="62" t="s">
        <v>41</v>
      </c>
      <c r="N75" s="64">
        <f>Hashtags!$H75/Hashtags!$J75</f>
        <v>7.3424029281414678E-3</v>
      </c>
      <c r="O75" s="66">
        <f>(Hashtags!$L75+Hashtags!$N75)*100</f>
        <v>14.160033514872225</v>
      </c>
    </row>
    <row r="76" spans="1:15" x14ac:dyDescent="0.25">
      <c r="A76" s="59" t="s">
        <v>82</v>
      </c>
      <c r="B76" s="59" t="s">
        <v>14</v>
      </c>
      <c r="C76" s="60">
        <v>45914</v>
      </c>
      <c r="D76" s="59" t="s">
        <v>39</v>
      </c>
      <c r="E76" s="59">
        <v>19844</v>
      </c>
      <c r="F76" s="59">
        <v>1020</v>
      </c>
      <c r="G76" s="59">
        <v>247</v>
      </c>
      <c r="H76" s="59">
        <v>2354</v>
      </c>
      <c r="I76" s="59">
        <v>37792</v>
      </c>
      <c r="J76" s="59">
        <v>138317</v>
      </c>
      <c r="K76" s="59" t="s">
        <v>23</v>
      </c>
      <c r="L76" s="61">
        <v>0.15262765965138053</v>
      </c>
      <c r="M76" s="59" t="s">
        <v>43</v>
      </c>
      <c r="N76" s="61">
        <f>Hashtags!$H76/Hashtags!$J76</f>
        <v>1.701887692763724E-2</v>
      </c>
      <c r="O76" s="65">
        <f>(Hashtags!$L76+Hashtags!$N76)*100</f>
        <v>16.964653657901778</v>
      </c>
    </row>
    <row r="77" spans="1:15" x14ac:dyDescent="0.25">
      <c r="A77" s="62" t="s">
        <v>82</v>
      </c>
      <c r="B77" s="62" t="s">
        <v>14</v>
      </c>
      <c r="C77" s="63">
        <v>45914</v>
      </c>
      <c r="D77" s="62" t="s">
        <v>39</v>
      </c>
      <c r="E77" s="62">
        <v>19844</v>
      </c>
      <c r="F77" s="62">
        <v>1020</v>
      </c>
      <c r="G77" s="62">
        <v>247</v>
      </c>
      <c r="H77" s="62">
        <v>2354</v>
      </c>
      <c r="I77" s="62">
        <v>37792</v>
      </c>
      <c r="J77" s="62">
        <v>138317</v>
      </c>
      <c r="K77" s="62" t="s">
        <v>23</v>
      </c>
      <c r="L77" s="64">
        <v>0.15262765965138053</v>
      </c>
      <c r="M77" s="62" t="s">
        <v>44</v>
      </c>
      <c r="N77" s="64">
        <f>Hashtags!$H77/Hashtags!$J77</f>
        <v>1.701887692763724E-2</v>
      </c>
      <c r="O77" s="66">
        <f>(Hashtags!$L77+Hashtags!$N77)*100</f>
        <v>16.964653657901778</v>
      </c>
    </row>
    <row r="78" spans="1:15" x14ac:dyDescent="0.25">
      <c r="A78" s="59" t="s">
        <v>83</v>
      </c>
      <c r="B78" s="59" t="s">
        <v>14</v>
      </c>
      <c r="C78" s="60">
        <v>45915</v>
      </c>
      <c r="D78" s="59" t="s">
        <v>26</v>
      </c>
      <c r="E78" s="59">
        <v>5636</v>
      </c>
      <c r="F78" s="59">
        <v>303</v>
      </c>
      <c r="G78" s="59">
        <v>204</v>
      </c>
      <c r="H78" s="59">
        <v>2480</v>
      </c>
      <c r="I78" s="59">
        <v>7377</v>
      </c>
      <c r="J78" s="59">
        <v>241207</v>
      </c>
      <c r="K78" s="59" t="s">
        <v>23</v>
      </c>
      <c r="L78" s="61">
        <v>2.5467751765081443E-2</v>
      </c>
      <c r="M78" s="59" t="s">
        <v>21</v>
      </c>
      <c r="N78" s="61">
        <f>Hashtags!$H78/Hashtags!$J78</f>
        <v>1.0281625325964836E-2</v>
      </c>
      <c r="O78" s="65">
        <f>(Hashtags!$L78+Hashtags!$N78)*100</f>
        <v>3.5749377091046282</v>
      </c>
    </row>
    <row r="79" spans="1:15" x14ac:dyDescent="0.25">
      <c r="A79" s="62" t="s">
        <v>83</v>
      </c>
      <c r="B79" s="62" t="s">
        <v>14</v>
      </c>
      <c r="C79" s="63">
        <v>45915</v>
      </c>
      <c r="D79" s="62" t="s">
        <v>26</v>
      </c>
      <c r="E79" s="62">
        <v>5636</v>
      </c>
      <c r="F79" s="62">
        <v>303</v>
      </c>
      <c r="G79" s="62">
        <v>204</v>
      </c>
      <c r="H79" s="62">
        <v>2480</v>
      </c>
      <c r="I79" s="62">
        <v>7377</v>
      </c>
      <c r="J79" s="62">
        <v>241207</v>
      </c>
      <c r="K79" s="62" t="s">
        <v>23</v>
      </c>
      <c r="L79" s="64">
        <v>2.5467751765081443E-2</v>
      </c>
      <c r="M79" s="62" t="s">
        <v>22</v>
      </c>
      <c r="N79" s="64">
        <f>Hashtags!$H79/Hashtags!$J79</f>
        <v>1.0281625325964836E-2</v>
      </c>
      <c r="O79" s="66">
        <f>(Hashtags!$L79+Hashtags!$N79)*100</f>
        <v>3.5749377091046282</v>
      </c>
    </row>
    <row r="80" spans="1:15" x14ac:dyDescent="0.25">
      <c r="A80" s="59" t="s">
        <v>84</v>
      </c>
      <c r="B80" s="59" t="s">
        <v>14</v>
      </c>
      <c r="C80" s="60">
        <v>45721</v>
      </c>
      <c r="D80" s="59" t="s">
        <v>39</v>
      </c>
      <c r="E80" s="59">
        <v>12916</v>
      </c>
      <c r="F80" s="59">
        <v>1262</v>
      </c>
      <c r="G80" s="59">
        <v>772</v>
      </c>
      <c r="H80" s="59">
        <v>856</v>
      </c>
      <c r="I80" s="59">
        <v>11496</v>
      </c>
      <c r="J80" s="59">
        <v>75046</v>
      </c>
      <c r="K80" s="59" t="s">
        <v>29</v>
      </c>
      <c r="L80" s="61">
        <v>0.19921115049436347</v>
      </c>
      <c r="M80" s="59" t="s">
        <v>32</v>
      </c>
      <c r="N80" s="61">
        <f>Hashtags!$H80/Hashtags!$J80</f>
        <v>1.1406337446366229E-2</v>
      </c>
      <c r="O80" s="65">
        <f>(Hashtags!$L80+Hashtags!$N80)*100</f>
        <v>21.061748794072972</v>
      </c>
    </row>
    <row r="81" spans="1:15" x14ac:dyDescent="0.25">
      <c r="A81" s="62" t="s">
        <v>84</v>
      </c>
      <c r="B81" s="62" t="s">
        <v>14</v>
      </c>
      <c r="C81" s="63">
        <v>45721</v>
      </c>
      <c r="D81" s="62" t="s">
        <v>39</v>
      </c>
      <c r="E81" s="62">
        <v>12916</v>
      </c>
      <c r="F81" s="62">
        <v>1262</v>
      </c>
      <c r="G81" s="62">
        <v>772</v>
      </c>
      <c r="H81" s="62">
        <v>856</v>
      </c>
      <c r="I81" s="62">
        <v>11496</v>
      </c>
      <c r="J81" s="62">
        <v>75046</v>
      </c>
      <c r="K81" s="62" t="s">
        <v>29</v>
      </c>
      <c r="L81" s="64">
        <v>0.19921115049436347</v>
      </c>
      <c r="M81" s="62" t="s">
        <v>57</v>
      </c>
      <c r="N81" s="64">
        <f>Hashtags!$H81/Hashtags!$J81</f>
        <v>1.1406337446366229E-2</v>
      </c>
      <c r="O81" s="66">
        <f>(Hashtags!$L81+Hashtags!$N81)*100</f>
        <v>21.061748794072972</v>
      </c>
    </row>
    <row r="82" spans="1:15" x14ac:dyDescent="0.25">
      <c r="A82" s="59" t="s">
        <v>85</v>
      </c>
      <c r="B82" s="59" t="s">
        <v>47</v>
      </c>
      <c r="C82" s="60">
        <v>45916</v>
      </c>
      <c r="D82" s="59" t="s">
        <v>26</v>
      </c>
      <c r="E82" s="59">
        <v>6809</v>
      </c>
      <c r="F82" s="59">
        <v>397</v>
      </c>
      <c r="G82" s="59">
        <v>813</v>
      </c>
      <c r="H82" s="59">
        <v>1125</v>
      </c>
      <c r="I82" s="59">
        <v>12206</v>
      </c>
      <c r="J82" s="59">
        <v>218136</v>
      </c>
      <c r="K82" s="59" t="s">
        <v>23</v>
      </c>
      <c r="L82" s="61">
        <v>3.6761469908680823E-2</v>
      </c>
      <c r="M82" s="59" t="s">
        <v>71</v>
      </c>
      <c r="N82" s="61">
        <f>Hashtags!$H82/Hashtags!$J82</f>
        <v>5.1573330399383869E-3</v>
      </c>
      <c r="O82" s="65">
        <f>(Hashtags!$L82+Hashtags!$N82)*100</f>
        <v>4.1918802948619209</v>
      </c>
    </row>
    <row r="83" spans="1:15" x14ac:dyDescent="0.25">
      <c r="A83" s="62" t="s">
        <v>86</v>
      </c>
      <c r="B83" s="62" t="s">
        <v>20</v>
      </c>
      <c r="C83" s="63">
        <v>45718</v>
      </c>
      <c r="D83" s="62" t="s">
        <v>31</v>
      </c>
      <c r="E83" s="62">
        <v>22562</v>
      </c>
      <c r="F83" s="62">
        <v>778</v>
      </c>
      <c r="G83" s="62">
        <v>907</v>
      </c>
      <c r="H83" s="62">
        <v>1354</v>
      </c>
      <c r="I83" s="62">
        <v>34475</v>
      </c>
      <c r="J83" s="62">
        <v>141459</v>
      </c>
      <c r="K83" s="62" t="s">
        <v>34</v>
      </c>
      <c r="L83" s="64">
        <v>0.17140655596321194</v>
      </c>
      <c r="M83" s="62" t="s">
        <v>62</v>
      </c>
      <c r="N83" s="64">
        <f>Hashtags!$H83/Hashtags!$J83</f>
        <v>9.5716780127103971E-3</v>
      </c>
      <c r="O83" s="66">
        <f>(Hashtags!$L83+Hashtags!$N83)*100</f>
        <v>18.097823397592233</v>
      </c>
    </row>
    <row r="84" spans="1:15" x14ac:dyDescent="0.25">
      <c r="A84" s="59" t="s">
        <v>86</v>
      </c>
      <c r="B84" s="59" t="s">
        <v>20</v>
      </c>
      <c r="C84" s="60">
        <v>45718</v>
      </c>
      <c r="D84" s="59" t="s">
        <v>31</v>
      </c>
      <c r="E84" s="59">
        <v>22562</v>
      </c>
      <c r="F84" s="59">
        <v>778</v>
      </c>
      <c r="G84" s="59">
        <v>907</v>
      </c>
      <c r="H84" s="59">
        <v>1354</v>
      </c>
      <c r="I84" s="59">
        <v>34475</v>
      </c>
      <c r="J84" s="59">
        <v>141459</v>
      </c>
      <c r="K84" s="59" t="s">
        <v>34</v>
      </c>
      <c r="L84" s="61">
        <v>0.17140655596321194</v>
      </c>
      <c r="M84" s="59" t="s">
        <v>37</v>
      </c>
      <c r="N84" s="61">
        <f>Hashtags!$H84/Hashtags!$J84</f>
        <v>9.5716780127103971E-3</v>
      </c>
      <c r="O84" s="65">
        <f>(Hashtags!$L84+Hashtags!$N84)*100</f>
        <v>18.097823397592233</v>
      </c>
    </row>
    <row r="85" spans="1:15" x14ac:dyDescent="0.25">
      <c r="A85" s="62" t="s">
        <v>87</v>
      </c>
      <c r="B85" s="62" t="s">
        <v>20</v>
      </c>
      <c r="C85" s="63">
        <v>45917</v>
      </c>
      <c r="D85" s="62" t="s">
        <v>26</v>
      </c>
      <c r="E85" s="62">
        <v>15456</v>
      </c>
      <c r="F85" s="62">
        <v>590</v>
      </c>
      <c r="G85" s="62">
        <v>555</v>
      </c>
      <c r="H85" s="62">
        <v>2882</v>
      </c>
      <c r="I85" s="62">
        <v>49816</v>
      </c>
      <c r="J85" s="62">
        <v>240422</v>
      </c>
      <c r="K85" s="62" t="s">
        <v>23</v>
      </c>
      <c r="L85" s="64">
        <v>6.9049421433978589E-2</v>
      </c>
      <c r="M85" s="62" t="s">
        <v>40</v>
      </c>
      <c r="N85" s="64">
        <f>Hashtags!$H85/Hashtags!$J85</f>
        <v>1.1987255741987007E-2</v>
      </c>
      <c r="O85" s="66">
        <f>(Hashtags!$L85+Hashtags!$N85)*100</f>
        <v>8.1036677175965597</v>
      </c>
    </row>
    <row r="86" spans="1:15" x14ac:dyDescent="0.25">
      <c r="A86" s="59" t="s">
        <v>87</v>
      </c>
      <c r="B86" s="59" t="s">
        <v>20</v>
      </c>
      <c r="C86" s="60">
        <v>45917</v>
      </c>
      <c r="D86" s="59" t="s">
        <v>26</v>
      </c>
      <c r="E86" s="59">
        <v>15456</v>
      </c>
      <c r="F86" s="59">
        <v>590</v>
      </c>
      <c r="G86" s="59">
        <v>555</v>
      </c>
      <c r="H86" s="59">
        <v>2882</v>
      </c>
      <c r="I86" s="59">
        <v>49816</v>
      </c>
      <c r="J86" s="59">
        <v>240422</v>
      </c>
      <c r="K86" s="59" t="s">
        <v>23</v>
      </c>
      <c r="L86" s="61">
        <v>6.9049421433978589E-2</v>
      </c>
      <c r="M86" s="59" t="s">
        <v>41</v>
      </c>
      <c r="N86" s="61">
        <f>Hashtags!$H86/Hashtags!$J86</f>
        <v>1.1987255741987007E-2</v>
      </c>
      <c r="O86" s="65">
        <f>(Hashtags!$L86+Hashtags!$N86)*100</f>
        <v>8.1036677175965597</v>
      </c>
    </row>
    <row r="87" spans="1:15" x14ac:dyDescent="0.25">
      <c r="A87" s="62" t="s">
        <v>88</v>
      </c>
      <c r="B87" s="62" t="s">
        <v>20</v>
      </c>
      <c r="C87" s="63">
        <v>45779</v>
      </c>
      <c r="D87" s="62" t="s">
        <v>26</v>
      </c>
      <c r="E87" s="62">
        <v>17444</v>
      </c>
      <c r="F87" s="62">
        <v>1402</v>
      </c>
      <c r="G87" s="62">
        <v>218</v>
      </c>
      <c r="H87" s="62">
        <v>725</v>
      </c>
      <c r="I87" s="62">
        <v>8710</v>
      </c>
      <c r="J87" s="62">
        <v>85893</v>
      </c>
      <c r="K87" s="62" t="s">
        <v>52</v>
      </c>
      <c r="L87" s="64">
        <v>0.22195056640238436</v>
      </c>
      <c r="M87" s="62" t="s">
        <v>32</v>
      </c>
      <c r="N87" s="64">
        <f>Hashtags!$H87/Hashtags!$J87</f>
        <v>8.4407344021049449E-3</v>
      </c>
      <c r="O87" s="66">
        <f>(Hashtags!$L87+Hashtags!$N87)*100</f>
        <v>23.039130080448931</v>
      </c>
    </row>
    <row r="88" spans="1:15" x14ac:dyDescent="0.25">
      <c r="A88" s="59" t="s">
        <v>88</v>
      </c>
      <c r="B88" s="59" t="s">
        <v>20</v>
      </c>
      <c r="C88" s="60">
        <v>45779</v>
      </c>
      <c r="D88" s="59" t="s">
        <v>26</v>
      </c>
      <c r="E88" s="59">
        <v>17444</v>
      </c>
      <c r="F88" s="59">
        <v>1402</v>
      </c>
      <c r="G88" s="59">
        <v>218</v>
      </c>
      <c r="H88" s="59">
        <v>725</v>
      </c>
      <c r="I88" s="59">
        <v>8710</v>
      </c>
      <c r="J88" s="59">
        <v>85893</v>
      </c>
      <c r="K88" s="59" t="s">
        <v>52</v>
      </c>
      <c r="L88" s="61">
        <v>0.22195056640238436</v>
      </c>
      <c r="M88" s="59" t="s">
        <v>57</v>
      </c>
      <c r="N88" s="61">
        <f>Hashtags!$H88/Hashtags!$J88</f>
        <v>8.4407344021049449E-3</v>
      </c>
      <c r="O88" s="65">
        <f>(Hashtags!$L88+Hashtags!$N88)*100</f>
        <v>23.039130080448931</v>
      </c>
    </row>
    <row r="89" spans="1:15" x14ac:dyDescent="0.25">
      <c r="A89" s="62" t="s">
        <v>89</v>
      </c>
      <c r="B89" s="62" t="s">
        <v>20</v>
      </c>
      <c r="C89" s="63">
        <v>45712</v>
      </c>
      <c r="D89" s="62" t="s">
        <v>26</v>
      </c>
      <c r="E89" s="62">
        <v>24984</v>
      </c>
      <c r="F89" s="62">
        <v>753</v>
      </c>
      <c r="G89" s="62">
        <v>461</v>
      </c>
      <c r="H89" s="62">
        <v>2710</v>
      </c>
      <c r="I89" s="62">
        <v>20792</v>
      </c>
      <c r="J89" s="62">
        <v>141520</v>
      </c>
      <c r="K89" s="62" t="s">
        <v>29</v>
      </c>
      <c r="L89" s="64">
        <v>0.18511871113623515</v>
      </c>
      <c r="M89" s="62" t="s">
        <v>48</v>
      </c>
      <c r="N89" s="64">
        <f>Hashtags!$H89/Hashtags!$J89</f>
        <v>1.9149236856981347E-2</v>
      </c>
      <c r="O89" s="66">
        <f>(Hashtags!$L89+Hashtags!$N89)*100</f>
        <v>20.426794799321652</v>
      </c>
    </row>
    <row r="90" spans="1:15" x14ac:dyDescent="0.25">
      <c r="A90" s="59" t="s">
        <v>89</v>
      </c>
      <c r="B90" s="59" t="s">
        <v>20</v>
      </c>
      <c r="C90" s="60">
        <v>45712</v>
      </c>
      <c r="D90" s="59" t="s">
        <v>26</v>
      </c>
      <c r="E90" s="59">
        <v>24984</v>
      </c>
      <c r="F90" s="59">
        <v>753</v>
      </c>
      <c r="G90" s="59">
        <v>461</v>
      </c>
      <c r="H90" s="59">
        <v>2710</v>
      </c>
      <c r="I90" s="59">
        <v>20792</v>
      </c>
      <c r="J90" s="59">
        <v>141520</v>
      </c>
      <c r="K90" s="59" t="s">
        <v>29</v>
      </c>
      <c r="L90" s="61">
        <v>0.18511871113623515</v>
      </c>
      <c r="M90" s="59" t="s">
        <v>32</v>
      </c>
      <c r="N90" s="61">
        <f>Hashtags!$H90/Hashtags!$J90</f>
        <v>1.9149236856981347E-2</v>
      </c>
      <c r="O90" s="65">
        <f>(Hashtags!$L90+Hashtags!$N90)*100</f>
        <v>20.426794799321652</v>
      </c>
    </row>
    <row r="91" spans="1:15" x14ac:dyDescent="0.25">
      <c r="A91" s="62" t="s">
        <v>90</v>
      </c>
      <c r="B91" s="62" t="s">
        <v>14</v>
      </c>
      <c r="C91" s="63">
        <v>45727</v>
      </c>
      <c r="D91" s="62" t="s">
        <v>39</v>
      </c>
      <c r="E91" s="62">
        <v>7997</v>
      </c>
      <c r="F91" s="62">
        <v>1238</v>
      </c>
      <c r="G91" s="62">
        <v>438</v>
      </c>
      <c r="H91" s="62">
        <v>1874</v>
      </c>
      <c r="I91" s="62">
        <v>36272</v>
      </c>
      <c r="J91" s="62">
        <v>165818</v>
      </c>
      <c r="K91" s="62" t="s">
        <v>52</v>
      </c>
      <c r="L91" s="64">
        <v>5.8335042034037318E-2</v>
      </c>
      <c r="M91" s="62" t="s">
        <v>16</v>
      </c>
      <c r="N91" s="64">
        <f>Hashtags!$H91/Hashtags!$J91</f>
        <v>1.1301547479766973E-2</v>
      </c>
      <c r="O91" s="66">
        <f>(Hashtags!$L91+Hashtags!$N91)*100</f>
        <v>6.9636589513804292</v>
      </c>
    </row>
    <row r="92" spans="1:15" x14ac:dyDescent="0.25">
      <c r="A92" s="59" t="s">
        <v>90</v>
      </c>
      <c r="B92" s="59" t="s">
        <v>14</v>
      </c>
      <c r="C92" s="60">
        <v>45727</v>
      </c>
      <c r="D92" s="59" t="s">
        <v>39</v>
      </c>
      <c r="E92" s="59">
        <v>7997</v>
      </c>
      <c r="F92" s="59">
        <v>1238</v>
      </c>
      <c r="G92" s="59">
        <v>438</v>
      </c>
      <c r="H92" s="59">
        <v>1874</v>
      </c>
      <c r="I92" s="59">
        <v>36272</v>
      </c>
      <c r="J92" s="59">
        <v>165818</v>
      </c>
      <c r="K92" s="59" t="s">
        <v>52</v>
      </c>
      <c r="L92" s="61">
        <v>5.8335042034037318E-2</v>
      </c>
      <c r="M92" s="59" t="s">
        <v>17</v>
      </c>
      <c r="N92" s="61">
        <f>Hashtags!$H92/Hashtags!$J92</f>
        <v>1.1301547479766973E-2</v>
      </c>
      <c r="O92" s="65">
        <f>(Hashtags!$L92+Hashtags!$N92)*100</f>
        <v>6.9636589513804292</v>
      </c>
    </row>
    <row r="93" spans="1:15" x14ac:dyDescent="0.25">
      <c r="A93" s="62" t="s">
        <v>91</v>
      </c>
      <c r="B93" s="62" t="s">
        <v>47</v>
      </c>
      <c r="C93" s="63">
        <v>45918</v>
      </c>
      <c r="D93" s="62" t="s">
        <v>39</v>
      </c>
      <c r="E93" s="62">
        <v>4048</v>
      </c>
      <c r="F93" s="62">
        <v>677</v>
      </c>
      <c r="G93" s="62">
        <v>911</v>
      </c>
      <c r="H93" s="62">
        <v>2429</v>
      </c>
      <c r="I93" s="62">
        <v>27361</v>
      </c>
      <c r="J93" s="62">
        <v>101272</v>
      </c>
      <c r="K93" s="62" t="s">
        <v>23</v>
      </c>
      <c r="L93" s="64">
        <v>5.5652105221581483E-2</v>
      </c>
      <c r="M93" s="62" t="s">
        <v>32</v>
      </c>
      <c r="N93" s="64">
        <f>Hashtags!$H93/Hashtags!$J93</f>
        <v>2.3984911920372859E-2</v>
      </c>
      <c r="O93" s="66">
        <f>(Hashtags!$L93+Hashtags!$N93)*100</f>
        <v>7.9637017141954338</v>
      </c>
    </row>
    <row r="94" spans="1:15" x14ac:dyDescent="0.25">
      <c r="A94" s="59" t="s">
        <v>91</v>
      </c>
      <c r="B94" s="59" t="s">
        <v>47</v>
      </c>
      <c r="C94" s="60">
        <v>45918</v>
      </c>
      <c r="D94" s="59" t="s">
        <v>39</v>
      </c>
      <c r="E94" s="59">
        <v>4048</v>
      </c>
      <c r="F94" s="59">
        <v>677</v>
      </c>
      <c r="G94" s="59">
        <v>911</v>
      </c>
      <c r="H94" s="59">
        <v>2429</v>
      </c>
      <c r="I94" s="59">
        <v>27361</v>
      </c>
      <c r="J94" s="59">
        <v>101272</v>
      </c>
      <c r="K94" s="59" t="s">
        <v>23</v>
      </c>
      <c r="L94" s="61">
        <v>5.5652105221581483E-2</v>
      </c>
      <c r="M94" s="59" t="s">
        <v>57</v>
      </c>
      <c r="N94" s="61">
        <f>Hashtags!$H94/Hashtags!$J94</f>
        <v>2.3984911920372859E-2</v>
      </c>
      <c r="O94" s="65">
        <f>(Hashtags!$L94+Hashtags!$N94)*100</f>
        <v>7.9637017141954338</v>
      </c>
    </row>
    <row r="95" spans="1:15" x14ac:dyDescent="0.25">
      <c r="A95" s="62" t="s">
        <v>92</v>
      </c>
      <c r="B95" s="62" t="s">
        <v>47</v>
      </c>
      <c r="C95" s="63">
        <v>45476</v>
      </c>
      <c r="D95" s="62" t="s">
        <v>26</v>
      </c>
      <c r="E95" s="62">
        <v>14338</v>
      </c>
      <c r="F95" s="62">
        <v>1454</v>
      </c>
      <c r="G95" s="62">
        <v>697</v>
      </c>
      <c r="H95" s="62">
        <v>2703</v>
      </c>
      <c r="I95" s="62">
        <v>21288</v>
      </c>
      <c r="J95" s="62">
        <v>107649</v>
      </c>
      <c r="K95" s="62" t="s">
        <v>34</v>
      </c>
      <c r="L95" s="64">
        <v>0.1531737405828201</v>
      </c>
      <c r="M95" s="62" t="s">
        <v>40</v>
      </c>
      <c r="N95" s="64">
        <f>Hashtags!$H95/Hashtags!$J95</f>
        <v>2.5109383273416382E-2</v>
      </c>
      <c r="O95" s="66">
        <f>(Hashtags!$L95+Hashtags!$N95)*100</f>
        <v>17.828312385623647</v>
      </c>
    </row>
    <row r="96" spans="1:15" x14ac:dyDescent="0.25">
      <c r="A96" s="59" t="s">
        <v>92</v>
      </c>
      <c r="B96" s="59" t="s">
        <v>47</v>
      </c>
      <c r="C96" s="60">
        <v>45476</v>
      </c>
      <c r="D96" s="59" t="s">
        <v>26</v>
      </c>
      <c r="E96" s="59">
        <v>14338</v>
      </c>
      <c r="F96" s="59">
        <v>1454</v>
      </c>
      <c r="G96" s="59">
        <v>697</v>
      </c>
      <c r="H96" s="59">
        <v>2703</v>
      </c>
      <c r="I96" s="59">
        <v>21288</v>
      </c>
      <c r="J96" s="59">
        <v>107649</v>
      </c>
      <c r="K96" s="59" t="s">
        <v>34</v>
      </c>
      <c r="L96" s="61">
        <v>0.1531737405828201</v>
      </c>
      <c r="M96" s="59" t="s">
        <v>41</v>
      </c>
      <c r="N96" s="61">
        <f>Hashtags!$H96/Hashtags!$J96</f>
        <v>2.5109383273416382E-2</v>
      </c>
      <c r="O96" s="65">
        <f>(Hashtags!$L96+Hashtags!$N96)*100</f>
        <v>17.828312385623647</v>
      </c>
    </row>
    <row r="97" spans="1:15" x14ac:dyDescent="0.25">
      <c r="A97" s="62" t="s">
        <v>93</v>
      </c>
      <c r="B97" s="62" t="s">
        <v>14</v>
      </c>
      <c r="C97" s="63">
        <v>45456</v>
      </c>
      <c r="D97" s="62" t="s">
        <v>39</v>
      </c>
      <c r="E97" s="62">
        <v>23164</v>
      </c>
      <c r="F97" s="62">
        <v>1122</v>
      </c>
      <c r="G97" s="62">
        <v>900</v>
      </c>
      <c r="H97" s="62">
        <v>888</v>
      </c>
      <c r="I97" s="62">
        <v>36938</v>
      </c>
      <c r="J97" s="62">
        <v>104674</v>
      </c>
      <c r="K97" s="62" t="s">
        <v>18</v>
      </c>
      <c r="L97" s="64">
        <v>0.24061371496264594</v>
      </c>
      <c r="M97" s="62" t="s">
        <v>43</v>
      </c>
      <c r="N97" s="64">
        <f>Hashtags!$H97/Hashtags!$J97</f>
        <v>8.4834820490284121E-3</v>
      </c>
      <c r="O97" s="66">
        <f>(Hashtags!$L97+Hashtags!$N97)*100</f>
        <v>24.909719701167436</v>
      </c>
    </row>
    <row r="98" spans="1:15" x14ac:dyDescent="0.25">
      <c r="A98" s="59" t="s">
        <v>93</v>
      </c>
      <c r="B98" s="59" t="s">
        <v>14</v>
      </c>
      <c r="C98" s="60">
        <v>45456</v>
      </c>
      <c r="D98" s="59" t="s">
        <v>39</v>
      </c>
      <c r="E98" s="59">
        <v>23164</v>
      </c>
      <c r="F98" s="59">
        <v>1122</v>
      </c>
      <c r="G98" s="59">
        <v>900</v>
      </c>
      <c r="H98" s="59">
        <v>888</v>
      </c>
      <c r="I98" s="59">
        <v>36938</v>
      </c>
      <c r="J98" s="59">
        <v>104674</v>
      </c>
      <c r="K98" s="59" t="s">
        <v>18</v>
      </c>
      <c r="L98" s="61">
        <v>0.24061371496264594</v>
      </c>
      <c r="M98" s="59" t="s">
        <v>44</v>
      </c>
      <c r="N98" s="61">
        <f>Hashtags!$H98/Hashtags!$J98</f>
        <v>8.4834820490284121E-3</v>
      </c>
      <c r="O98" s="65">
        <f>(Hashtags!$L98+Hashtags!$N98)*100</f>
        <v>24.909719701167436</v>
      </c>
    </row>
    <row r="99" spans="1:15" x14ac:dyDescent="0.25">
      <c r="A99" s="62" t="s">
        <v>94</v>
      </c>
      <c r="B99" s="62" t="s">
        <v>47</v>
      </c>
      <c r="C99" s="63">
        <v>45919</v>
      </c>
      <c r="D99" s="62" t="s">
        <v>15</v>
      </c>
      <c r="E99" s="62">
        <v>19100</v>
      </c>
      <c r="F99" s="62">
        <v>619</v>
      </c>
      <c r="G99" s="62">
        <v>297</v>
      </c>
      <c r="H99" s="62">
        <v>2312</v>
      </c>
      <c r="I99" s="62">
        <v>9730</v>
      </c>
      <c r="J99" s="62">
        <v>184832</v>
      </c>
      <c r="K99" s="62" t="s">
        <v>23</v>
      </c>
      <c r="L99" s="64">
        <v>0.10829293628808864</v>
      </c>
      <c r="M99" s="62" t="s">
        <v>43</v>
      </c>
      <c r="N99" s="64">
        <f>Hashtags!$H99/Hashtags!$J99</f>
        <v>1.2508656509695291E-2</v>
      </c>
      <c r="O99" s="66">
        <f>(Hashtags!$L99+Hashtags!$N99)*100</f>
        <v>12.080159279778394</v>
      </c>
    </row>
    <row r="100" spans="1:15" x14ac:dyDescent="0.25">
      <c r="A100" s="59" t="s">
        <v>94</v>
      </c>
      <c r="B100" s="59" t="s">
        <v>47</v>
      </c>
      <c r="C100" s="60">
        <v>45919</v>
      </c>
      <c r="D100" s="59" t="s">
        <v>15</v>
      </c>
      <c r="E100" s="59">
        <v>19100</v>
      </c>
      <c r="F100" s="59">
        <v>619</v>
      </c>
      <c r="G100" s="59">
        <v>297</v>
      </c>
      <c r="H100" s="59">
        <v>2312</v>
      </c>
      <c r="I100" s="59">
        <v>9730</v>
      </c>
      <c r="J100" s="59">
        <v>184832</v>
      </c>
      <c r="K100" s="59" t="s">
        <v>23</v>
      </c>
      <c r="L100" s="61">
        <v>0.10829293628808864</v>
      </c>
      <c r="M100" s="59" t="s">
        <v>44</v>
      </c>
      <c r="N100" s="61">
        <f>Hashtags!$H100/Hashtags!$J100</f>
        <v>1.2508656509695291E-2</v>
      </c>
      <c r="O100" s="65">
        <f>(Hashtags!$L100+Hashtags!$N100)*100</f>
        <v>12.080159279778394</v>
      </c>
    </row>
    <row r="101" spans="1:15" x14ac:dyDescent="0.25">
      <c r="A101" s="62" t="s">
        <v>95</v>
      </c>
      <c r="B101" s="62" t="s">
        <v>14</v>
      </c>
      <c r="C101" s="63">
        <v>45712</v>
      </c>
      <c r="D101" s="62" t="s">
        <v>15</v>
      </c>
      <c r="E101" s="62">
        <v>23949</v>
      </c>
      <c r="F101" s="62">
        <v>356</v>
      </c>
      <c r="G101" s="62">
        <v>616</v>
      </c>
      <c r="H101" s="62">
        <v>1847</v>
      </c>
      <c r="I101" s="62">
        <v>3144</v>
      </c>
      <c r="J101" s="62">
        <v>192999</v>
      </c>
      <c r="K101" s="62" t="s">
        <v>34</v>
      </c>
      <c r="L101" s="64">
        <v>0.12912502137316773</v>
      </c>
      <c r="M101" s="62" t="s">
        <v>32</v>
      </c>
      <c r="N101" s="64">
        <f>Hashtags!$H101/Hashtags!$J101</f>
        <v>9.5699977720091808E-3</v>
      </c>
      <c r="O101" s="66">
        <f>(Hashtags!$L101+Hashtags!$N101)*100</f>
        <v>13.86950191451769</v>
      </c>
    </row>
    <row r="102" spans="1:15" x14ac:dyDescent="0.25">
      <c r="A102" s="59" t="s">
        <v>95</v>
      </c>
      <c r="B102" s="59" t="s">
        <v>14</v>
      </c>
      <c r="C102" s="60">
        <v>45712</v>
      </c>
      <c r="D102" s="59" t="s">
        <v>15</v>
      </c>
      <c r="E102" s="59">
        <v>23949</v>
      </c>
      <c r="F102" s="59">
        <v>356</v>
      </c>
      <c r="G102" s="59">
        <v>616</v>
      </c>
      <c r="H102" s="59">
        <v>1847</v>
      </c>
      <c r="I102" s="59">
        <v>3144</v>
      </c>
      <c r="J102" s="59">
        <v>192999</v>
      </c>
      <c r="K102" s="59" t="s">
        <v>34</v>
      </c>
      <c r="L102" s="61">
        <v>0.12912502137316773</v>
      </c>
      <c r="M102" s="59" t="s">
        <v>57</v>
      </c>
      <c r="N102" s="61">
        <f>Hashtags!$H102/Hashtags!$J102</f>
        <v>9.5699977720091808E-3</v>
      </c>
      <c r="O102" s="65">
        <f>(Hashtags!$L102+Hashtags!$N102)*100</f>
        <v>13.86950191451769</v>
      </c>
    </row>
    <row r="103" spans="1:15" x14ac:dyDescent="0.25">
      <c r="A103" s="62" t="s">
        <v>96</v>
      </c>
      <c r="B103" s="62" t="s">
        <v>20</v>
      </c>
      <c r="C103" s="63">
        <v>45729</v>
      </c>
      <c r="D103" s="62" t="s">
        <v>39</v>
      </c>
      <c r="E103" s="62">
        <v>6544</v>
      </c>
      <c r="F103" s="62">
        <v>749</v>
      </c>
      <c r="G103" s="62">
        <v>888</v>
      </c>
      <c r="H103" s="62">
        <v>594</v>
      </c>
      <c r="I103" s="62">
        <v>18171</v>
      </c>
      <c r="J103" s="62">
        <v>126475</v>
      </c>
      <c r="K103" s="62" t="s">
        <v>29</v>
      </c>
      <c r="L103" s="64">
        <v>6.4684720300454635E-2</v>
      </c>
      <c r="M103" s="62" t="s">
        <v>27</v>
      </c>
      <c r="N103" s="64">
        <f>Hashtags!$H103/Hashtags!$J103</f>
        <v>4.6965803518481918E-3</v>
      </c>
      <c r="O103" s="66">
        <f>(Hashtags!$L103+Hashtags!$N103)*100</f>
        <v>6.9381300652302826</v>
      </c>
    </row>
    <row r="104" spans="1:15" x14ac:dyDescent="0.25">
      <c r="A104" s="59" t="s">
        <v>96</v>
      </c>
      <c r="B104" s="59" t="s">
        <v>20</v>
      </c>
      <c r="C104" s="60">
        <v>45729</v>
      </c>
      <c r="D104" s="59" t="s">
        <v>39</v>
      </c>
      <c r="E104" s="59">
        <v>6544</v>
      </c>
      <c r="F104" s="59">
        <v>749</v>
      </c>
      <c r="G104" s="59">
        <v>888</v>
      </c>
      <c r="H104" s="59">
        <v>594</v>
      </c>
      <c r="I104" s="59">
        <v>18171</v>
      </c>
      <c r="J104" s="59">
        <v>126475</v>
      </c>
      <c r="K104" s="59" t="s">
        <v>29</v>
      </c>
      <c r="L104" s="61">
        <v>6.4684720300454635E-2</v>
      </c>
      <c r="M104" s="59" t="s">
        <v>28</v>
      </c>
      <c r="N104" s="61">
        <f>Hashtags!$H104/Hashtags!$J104</f>
        <v>4.6965803518481918E-3</v>
      </c>
      <c r="O104" s="65">
        <f>(Hashtags!$L104+Hashtags!$N104)*100</f>
        <v>6.9381300652302826</v>
      </c>
    </row>
    <row r="105" spans="1:15" x14ac:dyDescent="0.25">
      <c r="A105" s="62" t="s">
        <v>97</v>
      </c>
      <c r="B105" s="62" t="s">
        <v>14</v>
      </c>
      <c r="C105" s="63">
        <v>45460</v>
      </c>
      <c r="D105" s="62" t="s">
        <v>39</v>
      </c>
      <c r="E105" s="62">
        <v>6976</v>
      </c>
      <c r="F105" s="62">
        <v>1320</v>
      </c>
      <c r="G105" s="62">
        <v>393</v>
      </c>
      <c r="H105" s="62">
        <v>2285</v>
      </c>
      <c r="I105" s="62">
        <v>14049</v>
      </c>
      <c r="J105" s="62">
        <v>101367</v>
      </c>
      <c r="K105" s="62" t="s">
        <v>52</v>
      </c>
      <c r="L105" s="64">
        <v>8.5718231771681114E-2</v>
      </c>
      <c r="M105" s="62" t="s">
        <v>16</v>
      </c>
      <c r="N105" s="64">
        <f>Hashtags!$H105/Hashtags!$J105</f>
        <v>2.2541852871250011E-2</v>
      </c>
      <c r="O105" s="66">
        <f>(Hashtags!$L105+Hashtags!$N105)*100</f>
        <v>10.826008464293114</v>
      </c>
    </row>
    <row r="106" spans="1:15" x14ac:dyDescent="0.25">
      <c r="A106" s="59" t="s">
        <v>97</v>
      </c>
      <c r="B106" s="59" t="s">
        <v>14</v>
      </c>
      <c r="C106" s="60">
        <v>45460</v>
      </c>
      <c r="D106" s="59" t="s">
        <v>39</v>
      </c>
      <c r="E106" s="59">
        <v>6976</v>
      </c>
      <c r="F106" s="59">
        <v>1320</v>
      </c>
      <c r="G106" s="59">
        <v>393</v>
      </c>
      <c r="H106" s="59">
        <v>2285</v>
      </c>
      <c r="I106" s="59">
        <v>14049</v>
      </c>
      <c r="J106" s="59">
        <v>101367</v>
      </c>
      <c r="K106" s="59" t="s">
        <v>52</v>
      </c>
      <c r="L106" s="61">
        <v>8.5718231771681114E-2</v>
      </c>
      <c r="M106" s="59" t="s">
        <v>17</v>
      </c>
      <c r="N106" s="61">
        <f>Hashtags!$H106/Hashtags!$J106</f>
        <v>2.2541852871250011E-2</v>
      </c>
      <c r="O106" s="65">
        <f>(Hashtags!$L106+Hashtags!$N106)*100</f>
        <v>10.826008464293114</v>
      </c>
    </row>
    <row r="107" spans="1:15" x14ac:dyDescent="0.25">
      <c r="A107" s="62" t="s">
        <v>98</v>
      </c>
      <c r="B107" s="62" t="s">
        <v>20</v>
      </c>
      <c r="C107" s="63">
        <v>45644</v>
      </c>
      <c r="D107" s="62" t="s">
        <v>26</v>
      </c>
      <c r="E107" s="62">
        <v>14775</v>
      </c>
      <c r="F107" s="62">
        <v>1220</v>
      </c>
      <c r="G107" s="62">
        <v>640</v>
      </c>
      <c r="H107" s="62">
        <v>1547</v>
      </c>
      <c r="I107" s="62">
        <v>28527</v>
      </c>
      <c r="J107" s="62">
        <v>183660</v>
      </c>
      <c r="K107" s="62" t="s">
        <v>52</v>
      </c>
      <c r="L107" s="64">
        <v>9.0574975498203203E-2</v>
      </c>
      <c r="M107" s="62" t="s">
        <v>48</v>
      </c>
      <c r="N107" s="64">
        <f>Hashtags!$H107/Hashtags!$J107</f>
        <v>8.4231732549275833E-3</v>
      </c>
      <c r="O107" s="66">
        <f>(Hashtags!$L107+Hashtags!$N107)*100</f>
        <v>9.8998148753130781</v>
      </c>
    </row>
    <row r="108" spans="1:15" x14ac:dyDescent="0.25">
      <c r="A108" s="59" t="s">
        <v>98</v>
      </c>
      <c r="B108" s="59" t="s">
        <v>20</v>
      </c>
      <c r="C108" s="60">
        <v>45644</v>
      </c>
      <c r="D108" s="59" t="s">
        <v>26</v>
      </c>
      <c r="E108" s="59">
        <v>14775</v>
      </c>
      <c r="F108" s="59">
        <v>1220</v>
      </c>
      <c r="G108" s="59">
        <v>640</v>
      </c>
      <c r="H108" s="59">
        <v>1547</v>
      </c>
      <c r="I108" s="59">
        <v>28527</v>
      </c>
      <c r="J108" s="59">
        <v>183660</v>
      </c>
      <c r="K108" s="59" t="s">
        <v>52</v>
      </c>
      <c r="L108" s="61">
        <v>9.0574975498203203E-2</v>
      </c>
      <c r="M108" s="59" t="s">
        <v>32</v>
      </c>
      <c r="N108" s="61">
        <f>Hashtags!$H108/Hashtags!$J108</f>
        <v>8.4231732549275833E-3</v>
      </c>
      <c r="O108" s="65">
        <f>(Hashtags!$L108+Hashtags!$N108)*100</f>
        <v>9.8998148753130781</v>
      </c>
    </row>
    <row r="109" spans="1:15" x14ac:dyDescent="0.25">
      <c r="A109" s="62" t="s">
        <v>99</v>
      </c>
      <c r="B109" s="62" t="s">
        <v>20</v>
      </c>
      <c r="C109" s="63">
        <v>45586</v>
      </c>
      <c r="D109" s="62" t="s">
        <v>31</v>
      </c>
      <c r="E109" s="62">
        <v>12015</v>
      </c>
      <c r="F109" s="62">
        <v>1196</v>
      </c>
      <c r="G109" s="62">
        <v>998</v>
      </c>
      <c r="H109" s="62">
        <v>1848</v>
      </c>
      <c r="I109" s="62">
        <v>44739</v>
      </c>
      <c r="J109" s="62">
        <v>161750</v>
      </c>
      <c r="K109" s="62" t="s">
        <v>52</v>
      </c>
      <c r="L109" s="64">
        <v>8.7845440494590421E-2</v>
      </c>
      <c r="M109" s="62" t="s">
        <v>32</v>
      </c>
      <c r="N109" s="64">
        <f>Hashtags!$H109/Hashtags!$J109</f>
        <v>1.1425038639876352E-2</v>
      </c>
      <c r="O109" s="66">
        <f>(Hashtags!$L109+Hashtags!$N109)*100</f>
        <v>9.9270479134466765</v>
      </c>
    </row>
    <row r="110" spans="1:15" x14ac:dyDescent="0.25">
      <c r="A110" s="59" t="s">
        <v>99</v>
      </c>
      <c r="B110" s="59" t="s">
        <v>20</v>
      </c>
      <c r="C110" s="60">
        <v>45586</v>
      </c>
      <c r="D110" s="59" t="s">
        <v>31</v>
      </c>
      <c r="E110" s="59">
        <v>12015</v>
      </c>
      <c r="F110" s="59">
        <v>1196</v>
      </c>
      <c r="G110" s="59">
        <v>998</v>
      </c>
      <c r="H110" s="59">
        <v>1848</v>
      </c>
      <c r="I110" s="59">
        <v>44739</v>
      </c>
      <c r="J110" s="59">
        <v>161750</v>
      </c>
      <c r="K110" s="59" t="s">
        <v>52</v>
      </c>
      <c r="L110" s="61">
        <v>8.7845440494590421E-2</v>
      </c>
      <c r="M110" s="59" t="s">
        <v>57</v>
      </c>
      <c r="N110" s="61">
        <f>Hashtags!$H110/Hashtags!$J110</f>
        <v>1.1425038639876352E-2</v>
      </c>
      <c r="O110" s="65">
        <f>(Hashtags!$L110+Hashtags!$N110)*100</f>
        <v>9.9270479134466765</v>
      </c>
    </row>
    <row r="111" spans="1:15" x14ac:dyDescent="0.25">
      <c r="A111" s="62" t="s">
        <v>100</v>
      </c>
      <c r="B111" s="62" t="s">
        <v>25</v>
      </c>
      <c r="C111" s="63">
        <v>45762</v>
      </c>
      <c r="D111" s="62" t="s">
        <v>39</v>
      </c>
      <c r="E111" s="62">
        <v>5419</v>
      </c>
      <c r="F111" s="62">
        <v>1150</v>
      </c>
      <c r="G111" s="62">
        <v>656</v>
      </c>
      <c r="H111" s="62">
        <v>1990</v>
      </c>
      <c r="I111" s="62">
        <v>410</v>
      </c>
      <c r="J111" s="62">
        <v>158154</v>
      </c>
      <c r="K111" s="62" t="s">
        <v>29</v>
      </c>
      <c r="L111" s="64">
        <v>4.5683321319726342E-2</v>
      </c>
      <c r="M111" s="62" t="s">
        <v>27</v>
      </c>
      <c r="N111" s="64">
        <f>Hashtags!$H111/Hashtags!$J111</f>
        <v>1.2582672584948848E-2</v>
      </c>
      <c r="O111" s="66">
        <f>(Hashtags!$L111+Hashtags!$N111)*100</f>
        <v>5.8265993904675195</v>
      </c>
    </row>
    <row r="112" spans="1:15" x14ac:dyDescent="0.25">
      <c r="A112" s="59" t="s">
        <v>100</v>
      </c>
      <c r="B112" s="59" t="s">
        <v>25</v>
      </c>
      <c r="C112" s="60">
        <v>45762</v>
      </c>
      <c r="D112" s="59" t="s">
        <v>39</v>
      </c>
      <c r="E112" s="59">
        <v>5419</v>
      </c>
      <c r="F112" s="59">
        <v>1150</v>
      </c>
      <c r="G112" s="59">
        <v>656</v>
      </c>
      <c r="H112" s="59">
        <v>1990</v>
      </c>
      <c r="I112" s="59">
        <v>410</v>
      </c>
      <c r="J112" s="59">
        <v>158154</v>
      </c>
      <c r="K112" s="59" t="s">
        <v>29</v>
      </c>
      <c r="L112" s="61">
        <v>4.5683321319726342E-2</v>
      </c>
      <c r="M112" s="59" t="s">
        <v>28</v>
      </c>
      <c r="N112" s="61">
        <f>Hashtags!$H112/Hashtags!$J112</f>
        <v>1.2582672584948848E-2</v>
      </c>
      <c r="O112" s="65">
        <f>(Hashtags!$L112+Hashtags!$N112)*100</f>
        <v>5.8265993904675195</v>
      </c>
    </row>
    <row r="113" spans="1:15" x14ac:dyDescent="0.25">
      <c r="A113" s="62" t="s">
        <v>101</v>
      </c>
      <c r="B113" s="62" t="s">
        <v>14</v>
      </c>
      <c r="C113" s="63">
        <v>45465</v>
      </c>
      <c r="D113" s="62" t="s">
        <v>15</v>
      </c>
      <c r="E113" s="62">
        <v>16430</v>
      </c>
      <c r="F113" s="62">
        <v>488</v>
      </c>
      <c r="G113" s="62">
        <v>514</v>
      </c>
      <c r="H113" s="62">
        <v>1436</v>
      </c>
      <c r="I113" s="62">
        <v>30059</v>
      </c>
      <c r="J113" s="62">
        <v>223305</v>
      </c>
      <c r="K113" s="62" t="s">
        <v>34</v>
      </c>
      <c r="L113" s="64">
        <v>7.8063634938760881E-2</v>
      </c>
      <c r="M113" s="62" t="s">
        <v>43</v>
      </c>
      <c r="N113" s="64">
        <f>Hashtags!$H113/Hashtags!$J113</f>
        <v>6.4306665771030657E-3</v>
      </c>
      <c r="O113" s="66">
        <f>(Hashtags!$L113+Hashtags!$N113)*100</f>
        <v>8.4494301515863945</v>
      </c>
    </row>
    <row r="114" spans="1:15" x14ac:dyDescent="0.25">
      <c r="A114" s="59" t="s">
        <v>101</v>
      </c>
      <c r="B114" s="59" t="s">
        <v>14</v>
      </c>
      <c r="C114" s="60">
        <v>45465</v>
      </c>
      <c r="D114" s="59" t="s">
        <v>15</v>
      </c>
      <c r="E114" s="59">
        <v>16430</v>
      </c>
      <c r="F114" s="59">
        <v>488</v>
      </c>
      <c r="G114" s="59">
        <v>514</v>
      </c>
      <c r="H114" s="59">
        <v>1436</v>
      </c>
      <c r="I114" s="59">
        <v>30059</v>
      </c>
      <c r="J114" s="59">
        <v>223305</v>
      </c>
      <c r="K114" s="59" t="s">
        <v>34</v>
      </c>
      <c r="L114" s="61">
        <v>7.8063634938760881E-2</v>
      </c>
      <c r="M114" s="59" t="s">
        <v>44</v>
      </c>
      <c r="N114" s="61">
        <f>Hashtags!$H114/Hashtags!$J114</f>
        <v>6.4306665771030657E-3</v>
      </c>
      <c r="O114" s="65">
        <f>(Hashtags!$L114+Hashtags!$N114)*100</f>
        <v>8.4494301515863945</v>
      </c>
    </row>
    <row r="115" spans="1:15" x14ac:dyDescent="0.25">
      <c r="A115" s="62" t="s">
        <v>102</v>
      </c>
      <c r="B115" s="62" t="s">
        <v>25</v>
      </c>
      <c r="C115" s="63">
        <v>45685</v>
      </c>
      <c r="D115" s="62" t="s">
        <v>26</v>
      </c>
      <c r="E115" s="62">
        <v>9239</v>
      </c>
      <c r="F115" s="62">
        <v>1477</v>
      </c>
      <c r="G115" s="62">
        <v>631</v>
      </c>
      <c r="H115" s="62">
        <v>1556</v>
      </c>
      <c r="I115" s="62">
        <v>11580</v>
      </c>
      <c r="J115" s="62">
        <v>84738</v>
      </c>
      <c r="K115" s="62" t="s">
        <v>29</v>
      </c>
      <c r="L115" s="64">
        <v>0.13390686586891359</v>
      </c>
      <c r="M115" s="62" t="s">
        <v>43</v>
      </c>
      <c r="N115" s="64">
        <f>Hashtags!$H115/Hashtags!$J115</f>
        <v>1.8362482003351506E-2</v>
      </c>
      <c r="O115" s="66">
        <f>(Hashtags!$L115+Hashtags!$N115)*100</f>
        <v>15.22693478722651</v>
      </c>
    </row>
    <row r="116" spans="1:15" x14ac:dyDescent="0.25">
      <c r="A116" s="59" t="s">
        <v>102</v>
      </c>
      <c r="B116" s="59" t="s">
        <v>25</v>
      </c>
      <c r="C116" s="60">
        <v>45685</v>
      </c>
      <c r="D116" s="59" t="s">
        <v>26</v>
      </c>
      <c r="E116" s="59">
        <v>9239</v>
      </c>
      <c r="F116" s="59">
        <v>1477</v>
      </c>
      <c r="G116" s="59">
        <v>631</v>
      </c>
      <c r="H116" s="59">
        <v>1556</v>
      </c>
      <c r="I116" s="59">
        <v>11580</v>
      </c>
      <c r="J116" s="59">
        <v>84738</v>
      </c>
      <c r="K116" s="59" t="s">
        <v>29</v>
      </c>
      <c r="L116" s="61">
        <v>0.13390686586891359</v>
      </c>
      <c r="M116" s="59" t="s">
        <v>44</v>
      </c>
      <c r="N116" s="61">
        <f>Hashtags!$H116/Hashtags!$J116</f>
        <v>1.8362482003351506E-2</v>
      </c>
      <c r="O116" s="65">
        <f>(Hashtags!$L116+Hashtags!$N116)*100</f>
        <v>15.22693478722651</v>
      </c>
    </row>
    <row r="117" spans="1:15" x14ac:dyDescent="0.25">
      <c r="A117" s="62" t="s">
        <v>103</v>
      </c>
      <c r="B117" s="62" t="s">
        <v>14</v>
      </c>
      <c r="C117" s="63">
        <v>45540</v>
      </c>
      <c r="D117" s="62" t="s">
        <v>39</v>
      </c>
      <c r="E117" s="62">
        <v>16489</v>
      </c>
      <c r="F117" s="62">
        <v>395</v>
      </c>
      <c r="G117" s="62">
        <v>350</v>
      </c>
      <c r="H117" s="62">
        <v>2364</v>
      </c>
      <c r="I117" s="62">
        <v>43239</v>
      </c>
      <c r="J117" s="62">
        <v>73397</v>
      </c>
      <c r="K117" s="62" t="s">
        <v>52</v>
      </c>
      <c r="L117" s="64">
        <v>0.23480523727127811</v>
      </c>
      <c r="M117" s="62" t="s">
        <v>71</v>
      </c>
      <c r="N117" s="64">
        <f>Hashtags!$H117/Hashtags!$J117</f>
        <v>3.2208400888319687E-2</v>
      </c>
      <c r="O117" s="66">
        <f>(Hashtags!$L117+Hashtags!$N117)*100</f>
        <v>26.701363815959777</v>
      </c>
    </row>
    <row r="118" spans="1:15" x14ac:dyDescent="0.25">
      <c r="A118" s="59" t="s">
        <v>104</v>
      </c>
      <c r="B118" s="59" t="s">
        <v>14</v>
      </c>
      <c r="C118" s="60">
        <v>45920</v>
      </c>
      <c r="D118" s="59" t="s">
        <v>15</v>
      </c>
      <c r="E118" s="59">
        <v>18633</v>
      </c>
      <c r="F118" s="59">
        <v>797</v>
      </c>
      <c r="G118" s="59">
        <v>303</v>
      </c>
      <c r="H118" s="59">
        <v>659</v>
      </c>
      <c r="I118" s="59">
        <v>7</v>
      </c>
      <c r="J118" s="59">
        <v>122189</v>
      </c>
      <c r="K118" s="59" t="s">
        <v>23</v>
      </c>
      <c r="L118" s="61">
        <v>0.16149571565361859</v>
      </c>
      <c r="M118" s="59" t="s">
        <v>32</v>
      </c>
      <c r="N118" s="61">
        <f>Hashtags!$H118/Hashtags!$J118</f>
        <v>5.3932841745165279E-3</v>
      </c>
      <c r="O118" s="65">
        <f>(Hashtags!$L118+Hashtags!$N118)*100</f>
        <v>16.688899982813513</v>
      </c>
    </row>
    <row r="119" spans="1:15" x14ac:dyDescent="0.25">
      <c r="A119" s="62" t="s">
        <v>104</v>
      </c>
      <c r="B119" s="62" t="s">
        <v>14</v>
      </c>
      <c r="C119" s="63">
        <v>45920</v>
      </c>
      <c r="D119" s="62" t="s">
        <v>15</v>
      </c>
      <c r="E119" s="62">
        <v>18633</v>
      </c>
      <c r="F119" s="62">
        <v>797</v>
      </c>
      <c r="G119" s="62">
        <v>303</v>
      </c>
      <c r="H119" s="62">
        <v>659</v>
      </c>
      <c r="I119" s="62">
        <v>7</v>
      </c>
      <c r="J119" s="62">
        <v>122189</v>
      </c>
      <c r="K119" s="62" t="s">
        <v>23</v>
      </c>
      <c r="L119" s="64">
        <v>0.16149571565361859</v>
      </c>
      <c r="M119" s="62" t="s">
        <v>57</v>
      </c>
      <c r="N119" s="64">
        <f>Hashtags!$H119/Hashtags!$J119</f>
        <v>5.3932841745165279E-3</v>
      </c>
      <c r="O119" s="66">
        <f>(Hashtags!$L119+Hashtags!$N119)*100</f>
        <v>16.688899982813513</v>
      </c>
    </row>
    <row r="120" spans="1:15" x14ac:dyDescent="0.25">
      <c r="A120" s="59" t="s">
        <v>105</v>
      </c>
      <c r="B120" s="59" t="s">
        <v>25</v>
      </c>
      <c r="C120" s="60">
        <v>45504</v>
      </c>
      <c r="D120" s="59" t="s">
        <v>15</v>
      </c>
      <c r="E120" s="59">
        <v>12357</v>
      </c>
      <c r="F120" s="59">
        <v>716</v>
      </c>
      <c r="G120" s="59">
        <v>599</v>
      </c>
      <c r="H120" s="59">
        <v>999</v>
      </c>
      <c r="I120" s="59">
        <v>89591</v>
      </c>
      <c r="J120" s="59">
        <v>116367</v>
      </c>
      <c r="K120" s="59" t="s">
        <v>18</v>
      </c>
      <c r="L120" s="61">
        <v>0.11749035379446063</v>
      </c>
      <c r="M120" s="59" t="s">
        <v>16</v>
      </c>
      <c r="N120" s="61">
        <f>Hashtags!$H120/Hashtags!$J120</f>
        <v>8.5849080925004505E-3</v>
      </c>
      <c r="O120" s="65">
        <f>(Hashtags!$L120+Hashtags!$N120)*100</f>
        <v>12.607526188696108</v>
      </c>
    </row>
    <row r="121" spans="1:15" x14ac:dyDescent="0.25">
      <c r="A121" s="62" t="s">
        <v>105</v>
      </c>
      <c r="B121" s="62" t="s">
        <v>25</v>
      </c>
      <c r="C121" s="63">
        <v>45504</v>
      </c>
      <c r="D121" s="62" t="s">
        <v>15</v>
      </c>
      <c r="E121" s="62">
        <v>12357</v>
      </c>
      <c r="F121" s="62">
        <v>716</v>
      </c>
      <c r="G121" s="62">
        <v>599</v>
      </c>
      <c r="H121" s="62">
        <v>999</v>
      </c>
      <c r="I121" s="62">
        <v>89591</v>
      </c>
      <c r="J121" s="62">
        <v>116367</v>
      </c>
      <c r="K121" s="62" t="s">
        <v>18</v>
      </c>
      <c r="L121" s="64">
        <v>0.11749035379446063</v>
      </c>
      <c r="M121" s="62" t="s">
        <v>17</v>
      </c>
      <c r="N121" s="64">
        <f>Hashtags!$H121/Hashtags!$J121</f>
        <v>8.5849080925004505E-3</v>
      </c>
      <c r="O121" s="66">
        <f>(Hashtags!$L121+Hashtags!$N121)*100</f>
        <v>12.607526188696108</v>
      </c>
    </row>
    <row r="122" spans="1:15" x14ac:dyDescent="0.25">
      <c r="A122" s="59" t="s">
        <v>106</v>
      </c>
      <c r="B122" s="59" t="s">
        <v>25</v>
      </c>
      <c r="C122" s="60">
        <v>45521</v>
      </c>
      <c r="D122" s="59" t="s">
        <v>31</v>
      </c>
      <c r="E122" s="59">
        <v>19154</v>
      </c>
      <c r="F122" s="59">
        <v>1064</v>
      </c>
      <c r="G122" s="59">
        <v>650</v>
      </c>
      <c r="H122" s="59">
        <v>747</v>
      </c>
      <c r="I122" s="59">
        <v>42667</v>
      </c>
      <c r="J122" s="59">
        <v>242332</v>
      </c>
      <c r="K122" s="59" t="s">
        <v>29</v>
      </c>
      <c r="L122" s="61">
        <v>8.6113266097750191E-2</v>
      </c>
      <c r="M122" s="59" t="s">
        <v>37</v>
      </c>
      <c r="N122" s="61">
        <f>Hashtags!$H122/Hashtags!$J122</f>
        <v>3.0825479094795569E-3</v>
      </c>
      <c r="O122" s="65">
        <f>(Hashtags!$L122+Hashtags!$N122)*100</f>
        <v>8.9195814007229739</v>
      </c>
    </row>
    <row r="123" spans="1:15" x14ac:dyDescent="0.25">
      <c r="A123" s="62" t="s">
        <v>107</v>
      </c>
      <c r="B123" s="62" t="s">
        <v>14</v>
      </c>
      <c r="C123" s="63">
        <v>45744</v>
      </c>
      <c r="D123" s="62" t="s">
        <v>26</v>
      </c>
      <c r="E123" s="62">
        <v>6363</v>
      </c>
      <c r="F123" s="62">
        <v>1341</v>
      </c>
      <c r="G123" s="62">
        <v>222</v>
      </c>
      <c r="H123" s="62">
        <v>2712</v>
      </c>
      <c r="I123" s="62">
        <v>19987</v>
      </c>
      <c r="J123" s="62">
        <v>160585</v>
      </c>
      <c r="K123" s="62" t="s">
        <v>29</v>
      </c>
      <c r="L123" s="64">
        <v>4.9357038328611019E-2</v>
      </c>
      <c r="M123" s="62" t="s">
        <v>16</v>
      </c>
      <c r="N123" s="64">
        <f>Hashtags!$H123/Hashtags!$J123</f>
        <v>1.6888252327427841E-2</v>
      </c>
      <c r="O123" s="66">
        <f>(Hashtags!$L123+Hashtags!$N123)*100</f>
        <v>6.6245290656038858</v>
      </c>
    </row>
    <row r="124" spans="1:15" x14ac:dyDescent="0.25">
      <c r="A124" s="59" t="s">
        <v>107</v>
      </c>
      <c r="B124" s="59" t="s">
        <v>14</v>
      </c>
      <c r="C124" s="60">
        <v>45744</v>
      </c>
      <c r="D124" s="59" t="s">
        <v>26</v>
      </c>
      <c r="E124" s="59">
        <v>6363</v>
      </c>
      <c r="F124" s="59">
        <v>1341</v>
      </c>
      <c r="G124" s="59">
        <v>222</v>
      </c>
      <c r="H124" s="59">
        <v>2712</v>
      </c>
      <c r="I124" s="59">
        <v>19987</v>
      </c>
      <c r="J124" s="59">
        <v>160585</v>
      </c>
      <c r="K124" s="59" t="s">
        <v>29</v>
      </c>
      <c r="L124" s="61">
        <v>4.9357038328611019E-2</v>
      </c>
      <c r="M124" s="59" t="s">
        <v>17</v>
      </c>
      <c r="N124" s="61">
        <f>Hashtags!$H124/Hashtags!$J124</f>
        <v>1.6888252327427841E-2</v>
      </c>
      <c r="O124" s="65">
        <f>(Hashtags!$L124+Hashtags!$N124)*100</f>
        <v>6.6245290656038858</v>
      </c>
    </row>
    <row r="125" spans="1:15" x14ac:dyDescent="0.25">
      <c r="A125" s="62" t="s">
        <v>108</v>
      </c>
      <c r="B125" s="62" t="s">
        <v>47</v>
      </c>
      <c r="C125" s="63">
        <v>45499</v>
      </c>
      <c r="D125" s="62" t="s">
        <v>26</v>
      </c>
      <c r="E125" s="62">
        <v>12176</v>
      </c>
      <c r="F125" s="62">
        <v>1005</v>
      </c>
      <c r="G125" s="62">
        <v>862</v>
      </c>
      <c r="H125" s="62">
        <v>974</v>
      </c>
      <c r="I125" s="62">
        <v>2285</v>
      </c>
      <c r="J125" s="62">
        <v>116619</v>
      </c>
      <c r="K125" s="62" t="s">
        <v>34</v>
      </c>
      <c r="L125" s="64">
        <v>0.12041777068916729</v>
      </c>
      <c r="M125" s="62" t="s">
        <v>43</v>
      </c>
      <c r="N125" s="64">
        <f>Hashtags!$H125/Hashtags!$J125</f>
        <v>8.351983810528301E-3</v>
      </c>
      <c r="O125" s="66">
        <f>(Hashtags!$L125+Hashtags!$N125)*100</f>
        <v>12.876975449969558</v>
      </c>
    </row>
    <row r="126" spans="1:15" x14ac:dyDescent="0.25">
      <c r="A126" s="59" t="s">
        <v>108</v>
      </c>
      <c r="B126" s="59" t="s">
        <v>47</v>
      </c>
      <c r="C126" s="60">
        <v>45499</v>
      </c>
      <c r="D126" s="59" t="s">
        <v>26</v>
      </c>
      <c r="E126" s="59">
        <v>12176</v>
      </c>
      <c r="F126" s="59">
        <v>1005</v>
      </c>
      <c r="G126" s="59">
        <v>862</v>
      </c>
      <c r="H126" s="59">
        <v>974</v>
      </c>
      <c r="I126" s="59">
        <v>2285</v>
      </c>
      <c r="J126" s="59">
        <v>116619</v>
      </c>
      <c r="K126" s="59" t="s">
        <v>34</v>
      </c>
      <c r="L126" s="61">
        <v>0.12041777068916729</v>
      </c>
      <c r="M126" s="59" t="s">
        <v>44</v>
      </c>
      <c r="N126" s="61">
        <f>Hashtags!$H126/Hashtags!$J126</f>
        <v>8.351983810528301E-3</v>
      </c>
      <c r="O126" s="65">
        <f>(Hashtags!$L126+Hashtags!$N126)*100</f>
        <v>12.876975449969558</v>
      </c>
    </row>
    <row r="127" spans="1:15" x14ac:dyDescent="0.25">
      <c r="A127" s="62" t="s">
        <v>109</v>
      </c>
      <c r="B127" s="62" t="s">
        <v>20</v>
      </c>
      <c r="C127" s="63">
        <v>45745</v>
      </c>
      <c r="D127" s="62" t="s">
        <v>31</v>
      </c>
      <c r="E127" s="62">
        <v>19461</v>
      </c>
      <c r="F127" s="62">
        <v>1382</v>
      </c>
      <c r="G127" s="62">
        <v>445</v>
      </c>
      <c r="H127" s="62">
        <v>1307</v>
      </c>
      <c r="I127" s="62">
        <v>84691</v>
      </c>
      <c r="J127" s="62">
        <v>151453</v>
      </c>
      <c r="K127" s="62" t="s">
        <v>34</v>
      </c>
      <c r="L127" s="64">
        <v>0.14055845707909384</v>
      </c>
      <c r="M127" s="62" t="s">
        <v>43</v>
      </c>
      <c r="N127" s="64">
        <f>Hashtags!$H127/Hashtags!$J127</f>
        <v>8.6297399193149028E-3</v>
      </c>
      <c r="O127" s="66">
        <f>(Hashtags!$L127+Hashtags!$N127)*100</f>
        <v>14.918819699840874</v>
      </c>
    </row>
    <row r="128" spans="1:15" x14ac:dyDescent="0.25">
      <c r="A128" s="59" t="s">
        <v>109</v>
      </c>
      <c r="B128" s="59" t="s">
        <v>20</v>
      </c>
      <c r="C128" s="60">
        <v>45745</v>
      </c>
      <c r="D128" s="59" t="s">
        <v>31</v>
      </c>
      <c r="E128" s="59">
        <v>19461</v>
      </c>
      <c r="F128" s="59">
        <v>1382</v>
      </c>
      <c r="G128" s="59">
        <v>445</v>
      </c>
      <c r="H128" s="59">
        <v>1307</v>
      </c>
      <c r="I128" s="59">
        <v>84691</v>
      </c>
      <c r="J128" s="59">
        <v>151453</v>
      </c>
      <c r="K128" s="59" t="s">
        <v>34</v>
      </c>
      <c r="L128" s="61">
        <v>0.14055845707909384</v>
      </c>
      <c r="M128" s="59" t="s">
        <v>44</v>
      </c>
      <c r="N128" s="61">
        <f>Hashtags!$H128/Hashtags!$J128</f>
        <v>8.6297399193149028E-3</v>
      </c>
      <c r="O128" s="65">
        <f>(Hashtags!$L128+Hashtags!$N128)*100</f>
        <v>14.918819699840874</v>
      </c>
    </row>
    <row r="129" spans="1:15" x14ac:dyDescent="0.25">
      <c r="A129" s="62" t="s">
        <v>110</v>
      </c>
      <c r="B129" s="62" t="s">
        <v>25</v>
      </c>
      <c r="C129" s="63">
        <v>45634</v>
      </c>
      <c r="D129" s="62" t="s">
        <v>31</v>
      </c>
      <c r="E129" s="62">
        <v>10427</v>
      </c>
      <c r="F129" s="62">
        <v>1014</v>
      </c>
      <c r="G129" s="62">
        <v>166</v>
      </c>
      <c r="H129" s="62">
        <v>1649</v>
      </c>
      <c r="I129" s="62">
        <v>15145</v>
      </c>
      <c r="J129" s="62">
        <v>59816</v>
      </c>
      <c r="K129" s="62" t="s">
        <v>29</v>
      </c>
      <c r="L129" s="64">
        <v>0.19404507155276179</v>
      </c>
      <c r="M129" s="62" t="s">
        <v>21</v>
      </c>
      <c r="N129" s="64">
        <f>Hashtags!$H129/Hashtags!$J129</f>
        <v>2.7567874816102716E-2</v>
      </c>
      <c r="O129" s="66">
        <f>(Hashtags!$L129+Hashtags!$N129)*100</f>
        <v>22.161294636886449</v>
      </c>
    </row>
    <row r="130" spans="1:15" x14ac:dyDescent="0.25">
      <c r="A130" s="59" t="s">
        <v>110</v>
      </c>
      <c r="B130" s="59" t="s">
        <v>25</v>
      </c>
      <c r="C130" s="60">
        <v>45634</v>
      </c>
      <c r="D130" s="59" t="s">
        <v>31</v>
      </c>
      <c r="E130" s="59">
        <v>10427</v>
      </c>
      <c r="F130" s="59">
        <v>1014</v>
      </c>
      <c r="G130" s="59">
        <v>166</v>
      </c>
      <c r="H130" s="59">
        <v>1649</v>
      </c>
      <c r="I130" s="59">
        <v>15145</v>
      </c>
      <c r="J130" s="59">
        <v>59816</v>
      </c>
      <c r="K130" s="59" t="s">
        <v>29</v>
      </c>
      <c r="L130" s="61">
        <v>0.19404507155276179</v>
      </c>
      <c r="M130" s="59" t="s">
        <v>22</v>
      </c>
      <c r="N130" s="61">
        <f>Hashtags!$H130/Hashtags!$J130</f>
        <v>2.7567874816102716E-2</v>
      </c>
      <c r="O130" s="65">
        <f>(Hashtags!$L130+Hashtags!$N130)*100</f>
        <v>22.161294636886449</v>
      </c>
    </row>
    <row r="131" spans="1:15" x14ac:dyDescent="0.25">
      <c r="A131" s="62" t="s">
        <v>111</v>
      </c>
      <c r="B131" s="62" t="s">
        <v>20</v>
      </c>
      <c r="C131" s="63">
        <v>45724</v>
      </c>
      <c r="D131" s="62" t="s">
        <v>26</v>
      </c>
      <c r="E131" s="62">
        <v>10580</v>
      </c>
      <c r="F131" s="62">
        <v>427</v>
      </c>
      <c r="G131" s="62">
        <v>790</v>
      </c>
      <c r="H131" s="62">
        <v>2814</v>
      </c>
      <c r="I131" s="62">
        <v>24916</v>
      </c>
      <c r="J131" s="62">
        <v>213312</v>
      </c>
      <c r="K131" s="62" t="s">
        <v>52</v>
      </c>
      <c r="L131" s="64">
        <v>5.530396789678968E-2</v>
      </c>
      <c r="M131" s="62" t="s">
        <v>43</v>
      </c>
      <c r="N131" s="64">
        <f>Hashtags!$H131/Hashtags!$J131</f>
        <v>1.3191944194419441E-2</v>
      </c>
      <c r="O131" s="66">
        <f>(Hashtags!$L131+Hashtags!$N131)*100</f>
        <v>6.8495912091209119</v>
      </c>
    </row>
    <row r="132" spans="1:15" x14ac:dyDescent="0.25">
      <c r="A132" s="59" t="s">
        <v>111</v>
      </c>
      <c r="B132" s="59" t="s">
        <v>20</v>
      </c>
      <c r="C132" s="60">
        <v>45724</v>
      </c>
      <c r="D132" s="59" t="s">
        <v>26</v>
      </c>
      <c r="E132" s="59">
        <v>10580</v>
      </c>
      <c r="F132" s="59">
        <v>427</v>
      </c>
      <c r="G132" s="59">
        <v>790</v>
      </c>
      <c r="H132" s="59">
        <v>2814</v>
      </c>
      <c r="I132" s="59">
        <v>24916</v>
      </c>
      <c r="J132" s="59">
        <v>213312</v>
      </c>
      <c r="K132" s="59" t="s">
        <v>52</v>
      </c>
      <c r="L132" s="61">
        <v>5.530396789678968E-2</v>
      </c>
      <c r="M132" s="59" t="s">
        <v>44</v>
      </c>
      <c r="N132" s="61">
        <f>Hashtags!$H132/Hashtags!$J132</f>
        <v>1.3191944194419441E-2</v>
      </c>
      <c r="O132" s="65">
        <f>(Hashtags!$L132+Hashtags!$N132)*100</f>
        <v>6.8495912091209119</v>
      </c>
    </row>
    <row r="133" spans="1:15" x14ac:dyDescent="0.25">
      <c r="A133" s="62" t="s">
        <v>112</v>
      </c>
      <c r="B133" s="62" t="s">
        <v>47</v>
      </c>
      <c r="C133" s="63">
        <v>45749</v>
      </c>
      <c r="D133" s="62" t="s">
        <v>26</v>
      </c>
      <c r="E133" s="62">
        <v>6858</v>
      </c>
      <c r="F133" s="62">
        <v>415</v>
      </c>
      <c r="G133" s="62">
        <v>366</v>
      </c>
      <c r="H133" s="62">
        <v>2761</v>
      </c>
      <c r="I133" s="62">
        <v>2988</v>
      </c>
      <c r="J133" s="62">
        <v>177348</v>
      </c>
      <c r="K133" s="62" t="s">
        <v>18</v>
      </c>
      <c r="L133" s="64">
        <v>4.3073505198818141E-2</v>
      </c>
      <c r="M133" s="62" t="s">
        <v>48</v>
      </c>
      <c r="N133" s="64">
        <f>Hashtags!$H133/Hashtags!$J133</f>
        <v>1.5568261271624152E-2</v>
      </c>
      <c r="O133" s="66">
        <f>(Hashtags!$L133+Hashtags!$N133)*100</f>
        <v>5.8641766470442294</v>
      </c>
    </row>
    <row r="134" spans="1:15" x14ac:dyDescent="0.25">
      <c r="A134" s="59" t="s">
        <v>112</v>
      </c>
      <c r="B134" s="59" t="s">
        <v>47</v>
      </c>
      <c r="C134" s="60">
        <v>45749</v>
      </c>
      <c r="D134" s="59" t="s">
        <v>26</v>
      </c>
      <c r="E134" s="59">
        <v>6858</v>
      </c>
      <c r="F134" s="59">
        <v>415</v>
      </c>
      <c r="G134" s="59">
        <v>366</v>
      </c>
      <c r="H134" s="59">
        <v>2761</v>
      </c>
      <c r="I134" s="59">
        <v>2988</v>
      </c>
      <c r="J134" s="59">
        <v>177348</v>
      </c>
      <c r="K134" s="59" t="s">
        <v>18</v>
      </c>
      <c r="L134" s="61">
        <v>4.3073505198818141E-2</v>
      </c>
      <c r="M134" s="59" t="s">
        <v>32</v>
      </c>
      <c r="N134" s="61">
        <f>Hashtags!$H134/Hashtags!$J134</f>
        <v>1.5568261271624152E-2</v>
      </c>
      <c r="O134" s="65">
        <f>(Hashtags!$L134+Hashtags!$N134)*100</f>
        <v>5.8641766470442294</v>
      </c>
    </row>
    <row r="135" spans="1:15" x14ac:dyDescent="0.25">
      <c r="A135" s="62" t="s">
        <v>113</v>
      </c>
      <c r="B135" s="62" t="s">
        <v>47</v>
      </c>
      <c r="C135" s="63">
        <v>45537</v>
      </c>
      <c r="D135" s="62" t="s">
        <v>39</v>
      </c>
      <c r="E135" s="62">
        <v>12040</v>
      </c>
      <c r="F135" s="62">
        <v>1147</v>
      </c>
      <c r="G135" s="62">
        <v>210</v>
      </c>
      <c r="H135" s="62">
        <v>885</v>
      </c>
      <c r="I135" s="62">
        <v>30360</v>
      </c>
      <c r="J135" s="62">
        <v>119530</v>
      </c>
      <c r="K135" s="62" t="s">
        <v>34</v>
      </c>
      <c r="L135" s="64">
        <v>0.1120806492094035</v>
      </c>
      <c r="M135" s="62" t="s">
        <v>32</v>
      </c>
      <c r="N135" s="64">
        <f>Hashtags!$H135/Hashtags!$J135</f>
        <v>7.4039989960679323E-3</v>
      </c>
      <c r="O135" s="66">
        <f>(Hashtags!$L135+Hashtags!$N135)*100</f>
        <v>11.948464820547143</v>
      </c>
    </row>
    <row r="136" spans="1:15" x14ac:dyDescent="0.25">
      <c r="A136" s="59" t="s">
        <v>113</v>
      </c>
      <c r="B136" s="59" t="s">
        <v>47</v>
      </c>
      <c r="C136" s="60">
        <v>45537</v>
      </c>
      <c r="D136" s="59" t="s">
        <v>39</v>
      </c>
      <c r="E136" s="59">
        <v>12040</v>
      </c>
      <c r="F136" s="59">
        <v>1147</v>
      </c>
      <c r="G136" s="59">
        <v>210</v>
      </c>
      <c r="H136" s="59">
        <v>885</v>
      </c>
      <c r="I136" s="59">
        <v>30360</v>
      </c>
      <c r="J136" s="59">
        <v>119530</v>
      </c>
      <c r="K136" s="59" t="s">
        <v>34</v>
      </c>
      <c r="L136" s="61">
        <v>0.1120806492094035</v>
      </c>
      <c r="M136" s="59" t="s">
        <v>33</v>
      </c>
      <c r="N136" s="61">
        <f>Hashtags!$H136/Hashtags!$J136</f>
        <v>7.4039989960679323E-3</v>
      </c>
      <c r="O136" s="65">
        <f>(Hashtags!$L136+Hashtags!$N136)*100</f>
        <v>11.948464820547143</v>
      </c>
    </row>
    <row r="137" spans="1:15" x14ac:dyDescent="0.25">
      <c r="A137" s="62" t="s">
        <v>114</v>
      </c>
      <c r="B137" s="62" t="s">
        <v>47</v>
      </c>
      <c r="C137" s="63">
        <v>45719</v>
      </c>
      <c r="D137" s="62" t="s">
        <v>39</v>
      </c>
      <c r="E137" s="62">
        <v>24928</v>
      </c>
      <c r="F137" s="62">
        <v>214</v>
      </c>
      <c r="G137" s="62">
        <v>765</v>
      </c>
      <c r="H137" s="62">
        <v>1556</v>
      </c>
      <c r="I137" s="62">
        <v>5239</v>
      </c>
      <c r="J137" s="62">
        <v>194571</v>
      </c>
      <c r="K137" s="62" t="s">
        <v>52</v>
      </c>
      <c r="L137" s="64">
        <v>0.13314933880177415</v>
      </c>
      <c r="M137" s="62" t="s">
        <v>32</v>
      </c>
      <c r="N137" s="64">
        <f>Hashtags!$H137/Hashtags!$J137</f>
        <v>7.9970807571529152E-3</v>
      </c>
      <c r="O137" s="66">
        <f>(Hashtags!$L137+Hashtags!$N137)*100</f>
        <v>14.114641955892706</v>
      </c>
    </row>
    <row r="138" spans="1:15" x14ac:dyDescent="0.25">
      <c r="A138" s="59" t="s">
        <v>114</v>
      </c>
      <c r="B138" s="59" t="s">
        <v>47</v>
      </c>
      <c r="C138" s="60">
        <v>45719</v>
      </c>
      <c r="D138" s="59" t="s">
        <v>39</v>
      </c>
      <c r="E138" s="59">
        <v>24928</v>
      </c>
      <c r="F138" s="59">
        <v>214</v>
      </c>
      <c r="G138" s="59">
        <v>765</v>
      </c>
      <c r="H138" s="59">
        <v>1556</v>
      </c>
      <c r="I138" s="59">
        <v>5239</v>
      </c>
      <c r="J138" s="59">
        <v>194571</v>
      </c>
      <c r="K138" s="59" t="s">
        <v>52</v>
      </c>
      <c r="L138" s="61">
        <v>0.13314933880177415</v>
      </c>
      <c r="M138" s="59" t="s">
        <v>57</v>
      </c>
      <c r="N138" s="61">
        <f>Hashtags!$H138/Hashtags!$J138</f>
        <v>7.9970807571529152E-3</v>
      </c>
      <c r="O138" s="65">
        <f>(Hashtags!$L138+Hashtags!$N138)*100</f>
        <v>14.114641955892706</v>
      </c>
    </row>
    <row r="139" spans="1:15" x14ac:dyDescent="0.25">
      <c r="A139" s="62" t="s">
        <v>115</v>
      </c>
      <c r="B139" s="62" t="s">
        <v>25</v>
      </c>
      <c r="C139" s="63">
        <v>45921</v>
      </c>
      <c r="D139" s="62" t="s">
        <v>31</v>
      </c>
      <c r="E139" s="62">
        <v>23103</v>
      </c>
      <c r="F139" s="62">
        <v>1380</v>
      </c>
      <c r="G139" s="62">
        <v>191</v>
      </c>
      <c r="H139" s="62">
        <v>1547</v>
      </c>
      <c r="I139" s="62">
        <v>77798</v>
      </c>
      <c r="J139" s="62">
        <v>148856</v>
      </c>
      <c r="K139" s="62" t="s">
        <v>23</v>
      </c>
      <c r="L139" s="64">
        <v>0.16575751061428495</v>
      </c>
      <c r="M139" s="62" t="s">
        <v>16</v>
      </c>
      <c r="N139" s="64">
        <f>Hashtags!$H139/Hashtags!$J139</f>
        <v>1.0392594184984146E-2</v>
      </c>
      <c r="O139" s="66">
        <f>(Hashtags!$L139+Hashtags!$N139)*100</f>
        <v>17.615010479926909</v>
      </c>
    </row>
    <row r="140" spans="1:15" x14ac:dyDescent="0.25">
      <c r="A140" s="59" t="s">
        <v>115</v>
      </c>
      <c r="B140" s="59" t="s">
        <v>25</v>
      </c>
      <c r="C140" s="60">
        <v>45921</v>
      </c>
      <c r="D140" s="59" t="s">
        <v>31</v>
      </c>
      <c r="E140" s="59">
        <v>23103</v>
      </c>
      <c r="F140" s="59">
        <v>1380</v>
      </c>
      <c r="G140" s="59">
        <v>191</v>
      </c>
      <c r="H140" s="59">
        <v>1547</v>
      </c>
      <c r="I140" s="59">
        <v>77798</v>
      </c>
      <c r="J140" s="59">
        <v>148856</v>
      </c>
      <c r="K140" s="59" t="s">
        <v>23</v>
      </c>
      <c r="L140" s="61">
        <v>0.16575751061428495</v>
      </c>
      <c r="M140" s="59" t="s">
        <v>17</v>
      </c>
      <c r="N140" s="61">
        <f>Hashtags!$H140/Hashtags!$J140</f>
        <v>1.0392594184984146E-2</v>
      </c>
      <c r="O140" s="65">
        <f>(Hashtags!$L140+Hashtags!$N140)*100</f>
        <v>17.615010479926909</v>
      </c>
    </row>
    <row r="141" spans="1:15" x14ac:dyDescent="0.25">
      <c r="A141" s="62" t="s">
        <v>116</v>
      </c>
      <c r="B141" s="62" t="s">
        <v>47</v>
      </c>
      <c r="C141" s="63">
        <v>45593</v>
      </c>
      <c r="D141" s="62" t="s">
        <v>39</v>
      </c>
      <c r="E141" s="62">
        <v>21198</v>
      </c>
      <c r="F141" s="62">
        <v>1484</v>
      </c>
      <c r="G141" s="62">
        <v>174</v>
      </c>
      <c r="H141" s="62">
        <v>1293</v>
      </c>
      <c r="I141" s="62">
        <v>16330</v>
      </c>
      <c r="J141" s="62">
        <v>111635</v>
      </c>
      <c r="K141" s="62" t="s">
        <v>34</v>
      </c>
      <c r="L141" s="64">
        <v>0.20473865723115511</v>
      </c>
      <c r="M141" s="62" t="s">
        <v>32</v>
      </c>
      <c r="N141" s="64">
        <f>Hashtags!$H141/Hashtags!$J141</f>
        <v>1.1582389035696691E-2</v>
      </c>
      <c r="O141" s="66">
        <f>(Hashtags!$L141+Hashtags!$N141)*100</f>
        <v>21.63210462668518</v>
      </c>
    </row>
    <row r="142" spans="1:15" x14ac:dyDescent="0.25">
      <c r="A142" s="59" t="s">
        <v>116</v>
      </c>
      <c r="B142" s="59" t="s">
        <v>47</v>
      </c>
      <c r="C142" s="60">
        <v>45593</v>
      </c>
      <c r="D142" s="59" t="s">
        <v>39</v>
      </c>
      <c r="E142" s="59">
        <v>21198</v>
      </c>
      <c r="F142" s="59">
        <v>1484</v>
      </c>
      <c r="G142" s="59">
        <v>174</v>
      </c>
      <c r="H142" s="59">
        <v>1293</v>
      </c>
      <c r="I142" s="59">
        <v>16330</v>
      </c>
      <c r="J142" s="59">
        <v>111635</v>
      </c>
      <c r="K142" s="59" t="s">
        <v>34</v>
      </c>
      <c r="L142" s="61">
        <v>0.20473865723115511</v>
      </c>
      <c r="M142" s="59" t="s">
        <v>33</v>
      </c>
      <c r="N142" s="61">
        <f>Hashtags!$H142/Hashtags!$J142</f>
        <v>1.1582389035696691E-2</v>
      </c>
      <c r="O142" s="65">
        <f>(Hashtags!$L142+Hashtags!$N142)*100</f>
        <v>21.63210462668518</v>
      </c>
    </row>
    <row r="143" spans="1:15" x14ac:dyDescent="0.25">
      <c r="A143" s="62" t="s">
        <v>117</v>
      </c>
      <c r="B143" s="62" t="s">
        <v>25</v>
      </c>
      <c r="C143" s="63">
        <v>45505</v>
      </c>
      <c r="D143" s="62" t="s">
        <v>15</v>
      </c>
      <c r="E143" s="62">
        <v>21758</v>
      </c>
      <c r="F143" s="62">
        <v>1380</v>
      </c>
      <c r="G143" s="62">
        <v>188</v>
      </c>
      <c r="H143" s="62">
        <v>1735</v>
      </c>
      <c r="I143" s="62">
        <v>20998</v>
      </c>
      <c r="J143" s="62">
        <v>147803</v>
      </c>
      <c r="K143" s="62" t="s">
        <v>52</v>
      </c>
      <c r="L143" s="64">
        <v>0.15781817689762725</v>
      </c>
      <c r="M143" s="62" t="s">
        <v>27</v>
      </c>
      <c r="N143" s="64">
        <f>Hashtags!$H143/Hashtags!$J143</f>
        <v>1.1738597998687442E-2</v>
      </c>
      <c r="O143" s="66">
        <f>(Hashtags!$L143+Hashtags!$N143)*100</f>
        <v>16.955677489631469</v>
      </c>
    </row>
    <row r="144" spans="1:15" x14ac:dyDescent="0.25">
      <c r="A144" s="59" t="s">
        <v>117</v>
      </c>
      <c r="B144" s="59" t="s">
        <v>25</v>
      </c>
      <c r="C144" s="60">
        <v>45505</v>
      </c>
      <c r="D144" s="59" t="s">
        <v>15</v>
      </c>
      <c r="E144" s="59">
        <v>21758</v>
      </c>
      <c r="F144" s="59">
        <v>1380</v>
      </c>
      <c r="G144" s="59">
        <v>188</v>
      </c>
      <c r="H144" s="59">
        <v>1735</v>
      </c>
      <c r="I144" s="59">
        <v>20998</v>
      </c>
      <c r="J144" s="59">
        <v>147803</v>
      </c>
      <c r="K144" s="59" t="s">
        <v>52</v>
      </c>
      <c r="L144" s="61">
        <v>0.15781817689762725</v>
      </c>
      <c r="M144" s="59" t="s">
        <v>28</v>
      </c>
      <c r="N144" s="61">
        <f>Hashtags!$H144/Hashtags!$J144</f>
        <v>1.1738597998687442E-2</v>
      </c>
      <c r="O144" s="65">
        <f>(Hashtags!$L144+Hashtags!$N144)*100</f>
        <v>16.955677489631469</v>
      </c>
    </row>
    <row r="145" spans="1:15" x14ac:dyDescent="0.25">
      <c r="A145" s="62" t="s">
        <v>118</v>
      </c>
      <c r="B145" s="62" t="s">
        <v>47</v>
      </c>
      <c r="C145" s="63">
        <v>45603</v>
      </c>
      <c r="D145" s="62" t="s">
        <v>39</v>
      </c>
      <c r="E145" s="62">
        <v>17254</v>
      </c>
      <c r="F145" s="62">
        <v>246</v>
      </c>
      <c r="G145" s="62">
        <v>952</v>
      </c>
      <c r="H145" s="62">
        <v>871</v>
      </c>
      <c r="I145" s="62">
        <v>14957</v>
      </c>
      <c r="J145" s="62">
        <v>75946</v>
      </c>
      <c r="K145" s="62" t="s">
        <v>52</v>
      </c>
      <c r="L145" s="64">
        <v>0.24296210465330631</v>
      </c>
      <c r="M145" s="62" t="s">
        <v>37</v>
      </c>
      <c r="N145" s="64">
        <f>Hashtags!$H145/Hashtags!$J145</f>
        <v>1.1468675111263265E-2</v>
      </c>
      <c r="O145" s="66">
        <f>(Hashtags!$L145+Hashtags!$N145)*100</f>
        <v>25.443077976456959</v>
      </c>
    </row>
    <row r="146" spans="1:15" x14ac:dyDescent="0.25">
      <c r="A146" s="59" t="s">
        <v>119</v>
      </c>
      <c r="B146" s="59" t="s">
        <v>20</v>
      </c>
      <c r="C146" s="60">
        <v>45720</v>
      </c>
      <c r="D146" s="59" t="s">
        <v>39</v>
      </c>
      <c r="E146" s="59">
        <v>13470</v>
      </c>
      <c r="F146" s="59">
        <v>523</v>
      </c>
      <c r="G146" s="59">
        <v>280</v>
      </c>
      <c r="H146" s="59">
        <v>2682</v>
      </c>
      <c r="I146" s="59">
        <v>8538</v>
      </c>
      <c r="J146" s="59">
        <v>95204</v>
      </c>
      <c r="K146" s="59" t="s">
        <v>18</v>
      </c>
      <c r="L146" s="61">
        <v>0.14992017142136885</v>
      </c>
      <c r="M146" s="59" t="s">
        <v>48</v>
      </c>
      <c r="N146" s="61">
        <f>Hashtags!$H146/Hashtags!$J146</f>
        <v>2.8171085248518971E-2</v>
      </c>
      <c r="O146" s="65">
        <f>(Hashtags!$L146+Hashtags!$N146)*100</f>
        <v>17.809125666988781</v>
      </c>
    </row>
    <row r="147" spans="1:15" x14ac:dyDescent="0.25">
      <c r="A147" s="62" t="s">
        <v>119</v>
      </c>
      <c r="B147" s="62" t="s">
        <v>20</v>
      </c>
      <c r="C147" s="63">
        <v>45720</v>
      </c>
      <c r="D147" s="62" t="s">
        <v>39</v>
      </c>
      <c r="E147" s="62">
        <v>13470</v>
      </c>
      <c r="F147" s="62">
        <v>523</v>
      </c>
      <c r="G147" s="62">
        <v>280</v>
      </c>
      <c r="H147" s="62">
        <v>2682</v>
      </c>
      <c r="I147" s="62">
        <v>8538</v>
      </c>
      <c r="J147" s="62">
        <v>95204</v>
      </c>
      <c r="K147" s="62" t="s">
        <v>18</v>
      </c>
      <c r="L147" s="64">
        <v>0.14992017142136885</v>
      </c>
      <c r="M147" s="62" t="s">
        <v>32</v>
      </c>
      <c r="N147" s="64">
        <f>Hashtags!$H147/Hashtags!$J147</f>
        <v>2.8171085248518971E-2</v>
      </c>
      <c r="O147" s="66">
        <f>(Hashtags!$L147+Hashtags!$N147)*100</f>
        <v>17.809125666988781</v>
      </c>
    </row>
    <row r="148" spans="1:15" x14ac:dyDescent="0.25">
      <c r="A148" s="59" t="s">
        <v>120</v>
      </c>
      <c r="B148" s="59" t="s">
        <v>20</v>
      </c>
      <c r="C148" s="60">
        <v>45460</v>
      </c>
      <c r="D148" s="59" t="s">
        <v>15</v>
      </c>
      <c r="E148" s="59">
        <v>3252</v>
      </c>
      <c r="F148" s="59">
        <v>1043</v>
      </c>
      <c r="G148" s="59">
        <v>647</v>
      </c>
      <c r="H148" s="59">
        <v>1545</v>
      </c>
      <c r="I148" s="59">
        <v>18859</v>
      </c>
      <c r="J148" s="59">
        <v>222958</v>
      </c>
      <c r="K148" s="59" t="s">
        <v>18</v>
      </c>
      <c r="L148" s="61">
        <v>2.2165609666394567E-2</v>
      </c>
      <c r="M148" s="59" t="s">
        <v>40</v>
      </c>
      <c r="N148" s="61">
        <f>Hashtags!$H148/Hashtags!$J148</f>
        <v>6.9295562392917053E-3</v>
      </c>
      <c r="O148" s="65">
        <f>(Hashtags!$L148+Hashtags!$N148)*100</f>
        <v>2.9095165905686273</v>
      </c>
    </row>
    <row r="149" spans="1:15" x14ac:dyDescent="0.25">
      <c r="A149" s="62" t="s">
        <v>120</v>
      </c>
      <c r="B149" s="62" t="s">
        <v>20</v>
      </c>
      <c r="C149" s="63">
        <v>45460</v>
      </c>
      <c r="D149" s="62" t="s">
        <v>15</v>
      </c>
      <c r="E149" s="62">
        <v>3252</v>
      </c>
      <c r="F149" s="62">
        <v>1043</v>
      </c>
      <c r="G149" s="62">
        <v>647</v>
      </c>
      <c r="H149" s="62">
        <v>1545</v>
      </c>
      <c r="I149" s="62">
        <v>18859</v>
      </c>
      <c r="J149" s="62">
        <v>222958</v>
      </c>
      <c r="K149" s="62" t="s">
        <v>18</v>
      </c>
      <c r="L149" s="64">
        <v>2.2165609666394567E-2</v>
      </c>
      <c r="M149" s="62" t="s">
        <v>41</v>
      </c>
      <c r="N149" s="64">
        <f>Hashtags!$H149/Hashtags!$J149</f>
        <v>6.9295562392917053E-3</v>
      </c>
      <c r="O149" s="66">
        <f>(Hashtags!$L149+Hashtags!$N149)*100</f>
        <v>2.9095165905686273</v>
      </c>
    </row>
    <row r="150" spans="1:15" x14ac:dyDescent="0.25">
      <c r="A150" s="59" t="s">
        <v>121</v>
      </c>
      <c r="B150" s="59" t="s">
        <v>14</v>
      </c>
      <c r="C150" s="60">
        <v>45922</v>
      </c>
      <c r="D150" s="59" t="s">
        <v>31</v>
      </c>
      <c r="E150" s="59">
        <v>8996</v>
      </c>
      <c r="F150" s="59">
        <v>329</v>
      </c>
      <c r="G150" s="59">
        <v>378</v>
      </c>
      <c r="H150" s="59">
        <v>2384</v>
      </c>
      <c r="I150" s="59">
        <v>39404</v>
      </c>
      <c r="J150" s="59">
        <v>242724</v>
      </c>
      <c r="K150" s="59" t="s">
        <v>23</v>
      </c>
      <c r="L150" s="61">
        <v>3.9975445361810122E-2</v>
      </c>
      <c r="M150" s="59" t="s">
        <v>122</v>
      </c>
      <c r="N150" s="61">
        <f>Hashtags!$H150/Hashtags!$J150</f>
        <v>9.821855275951287E-3</v>
      </c>
      <c r="O150" s="65">
        <f>(Hashtags!$L150+Hashtags!$N150)*100</f>
        <v>4.9797300637761408</v>
      </c>
    </row>
    <row r="151" spans="1:15" x14ac:dyDescent="0.25">
      <c r="A151" s="62" t="s">
        <v>121</v>
      </c>
      <c r="B151" s="62" t="s">
        <v>14</v>
      </c>
      <c r="C151" s="63">
        <v>45922</v>
      </c>
      <c r="D151" s="62" t="s">
        <v>31</v>
      </c>
      <c r="E151" s="62">
        <v>8996</v>
      </c>
      <c r="F151" s="62">
        <v>329</v>
      </c>
      <c r="G151" s="62">
        <v>378</v>
      </c>
      <c r="H151" s="62">
        <v>2384</v>
      </c>
      <c r="I151" s="62">
        <v>39404</v>
      </c>
      <c r="J151" s="62">
        <v>242724</v>
      </c>
      <c r="K151" s="62" t="s">
        <v>23</v>
      </c>
      <c r="L151" s="64">
        <v>3.9975445361810122E-2</v>
      </c>
      <c r="M151" s="62" t="s">
        <v>123</v>
      </c>
      <c r="N151" s="64">
        <f>Hashtags!$H151/Hashtags!$J151</f>
        <v>9.821855275951287E-3</v>
      </c>
      <c r="O151" s="66">
        <f>(Hashtags!$L151+Hashtags!$N151)*100</f>
        <v>4.9797300637761408</v>
      </c>
    </row>
    <row r="152" spans="1:15" x14ac:dyDescent="0.25">
      <c r="A152" s="59" t="s">
        <v>124</v>
      </c>
      <c r="B152" s="59" t="s">
        <v>20</v>
      </c>
      <c r="C152" s="60">
        <v>45456</v>
      </c>
      <c r="D152" s="59" t="s">
        <v>15</v>
      </c>
      <c r="E152" s="59">
        <v>14173</v>
      </c>
      <c r="F152" s="59">
        <v>294</v>
      </c>
      <c r="G152" s="59">
        <v>257</v>
      </c>
      <c r="H152" s="59">
        <v>1288</v>
      </c>
      <c r="I152" s="59">
        <v>39466</v>
      </c>
      <c r="J152" s="59">
        <v>55563</v>
      </c>
      <c r="K152" s="59" t="s">
        <v>52</v>
      </c>
      <c r="L152" s="61">
        <v>0.26499649047027696</v>
      </c>
      <c r="M152" s="59" t="s">
        <v>16</v>
      </c>
      <c r="N152" s="61">
        <f>Hashtags!$H152/Hashtags!$J152</f>
        <v>2.3180893760236129E-2</v>
      </c>
      <c r="O152" s="65">
        <f>(Hashtags!$L152+Hashtags!$N152)*100</f>
        <v>28.81773842305131</v>
      </c>
    </row>
    <row r="153" spans="1:15" x14ac:dyDescent="0.25">
      <c r="A153" s="62" t="s">
        <v>124</v>
      </c>
      <c r="B153" s="62" t="s">
        <v>20</v>
      </c>
      <c r="C153" s="63">
        <v>45456</v>
      </c>
      <c r="D153" s="62" t="s">
        <v>15</v>
      </c>
      <c r="E153" s="62">
        <v>14173</v>
      </c>
      <c r="F153" s="62">
        <v>294</v>
      </c>
      <c r="G153" s="62">
        <v>257</v>
      </c>
      <c r="H153" s="62">
        <v>1288</v>
      </c>
      <c r="I153" s="62">
        <v>39466</v>
      </c>
      <c r="J153" s="62">
        <v>55563</v>
      </c>
      <c r="K153" s="62" t="s">
        <v>52</v>
      </c>
      <c r="L153" s="64">
        <v>0.26499649047027696</v>
      </c>
      <c r="M153" s="62" t="s">
        <v>17</v>
      </c>
      <c r="N153" s="64">
        <f>Hashtags!$H153/Hashtags!$J153</f>
        <v>2.3180893760236129E-2</v>
      </c>
      <c r="O153" s="66">
        <f>(Hashtags!$L153+Hashtags!$N153)*100</f>
        <v>28.81773842305131</v>
      </c>
    </row>
    <row r="154" spans="1:15" x14ac:dyDescent="0.25">
      <c r="A154" s="59" t="s">
        <v>125</v>
      </c>
      <c r="B154" s="59" t="s">
        <v>14</v>
      </c>
      <c r="C154" s="60">
        <v>45584</v>
      </c>
      <c r="D154" s="59" t="s">
        <v>39</v>
      </c>
      <c r="E154" s="59">
        <v>6673</v>
      </c>
      <c r="F154" s="59">
        <v>826</v>
      </c>
      <c r="G154" s="59">
        <v>321</v>
      </c>
      <c r="H154" s="59">
        <v>577</v>
      </c>
      <c r="I154" s="59">
        <v>19262</v>
      </c>
      <c r="J154" s="59">
        <v>132324</v>
      </c>
      <c r="K154" s="59" t="s">
        <v>52</v>
      </c>
      <c r="L154" s="61">
        <v>5.9097367068710133E-2</v>
      </c>
      <c r="M154" s="59" t="s">
        <v>32</v>
      </c>
      <c r="N154" s="61">
        <f>Hashtags!$H154/Hashtags!$J154</f>
        <v>4.3605090535352616E-3</v>
      </c>
      <c r="O154" s="65">
        <f>(Hashtags!$L154+Hashtags!$N154)*100</f>
        <v>6.3457876122245391</v>
      </c>
    </row>
    <row r="155" spans="1:15" x14ac:dyDescent="0.25">
      <c r="A155" s="62" t="s">
        <v>125</v>
      </c>
      <c r="B155" s="62" t="s">
        <v>14</v>
      </c>
      <c r="C155" s="63">
        <v>45584</v>
      </c>
      <c r="D155" s="62" t="s">
        <v>39</v>
      </c>
      <c r="E155" s="62">
        <v>6673</v>
      </c>
      <c r="F155" s="62">
        <v>826</v>
      </c>
      <c r="G155" s="62">
        <v>321</v>
      </c>
      <c r="H155" s="62">
        <v>577</v>
      </c>
      <c r="I155" s="62">
        <v>19262</v>
      </c>
      <c r="J155" s="62">
        <v>132324</v>
      </c>
      <c r="K155" s="62" t="s">
        <v>52</v>
      </c>
      <c r="L155" s="64">
        <v>5.9097367068710133E-2</v>
      </c>
      <c r="M155" s="62" t="s">
        <v>33</v>
      </c>
      <c r="N155" s="64">
        <f>Hashtags!$H155/Hashtags!$J155</f>
        <v>4.3605090535352616E-3</v>
      </c>
      <c r="O155" s="66">
        <f>(Hashtags!$L155+Hashtags!$N155)*100</f>
        <v>6.3457876122245391</v>
      </c>
    </row>
    <row r="156" spans="1:15" x14ac:dyDescent="0.25">
      <c r="A156" s="59" t="s">
        <v>126</v>
      </c>
      <c r="B156" s="59" t="s">
        <v>20</v>
      </c>
      <c r="C156" s="60">
        <v>45497</v>
      </c>
      <c r="D156" s="59" t="s">
        <v>31</v>
      </c>
      <c r="E156" s="59">
        <v>22914</v>
      </c>
      <c r="F156" s="59">
        <v>954</v>
      </c>
      <c r="G156" s="59">
        <v>584</v>
      </c>
      <c r="H156" s="59">
        <v>1519</v>
      </c>
      <c r="I156" s="59">
        <v>13637</v>
      </c>
      <c r="J156" s="59">
        <v>49847</v>
      </c>
      <c r="K156" s="59" t="s">
        <v>18</v>
      </c>
      <c r="L156" s="61">
        <v>0.49054105563022848</v>
      </c>
      <c r="M156" s="59" t="s">
        <v>40</v>
      </c>
      <c r="N156" s="61">
        <f>Hashtags!$H156/Hashtags!$J156</f>
        <v>3.0473248139306276E-2</v>
      </c>
      <c r="O156" s="65">
        <f>(Hashtags!$L156+Hashtags!$N156)*100</f>
        <v>52.101430376953473</v>
      </c>
    </row>
    <row r="157" spans="1:15" x14ac:dyDescent="0.25">
      <c r="A157" s="62" t="s">
        <v>126</v>
      </c>
      <c r="B157" s="62" t="s">
        <v>20</v>
      </c>
      <c r="C157" s="63">
        <v>45497</v>
      </c>
      <c r="D157" s="62" t="s">
        <v>31</v>
      </c>
      <c r="E157" s="62">
        <v>22914</v>
      </c>
      <c r="F157" s="62">
        <v>954</v>
      </c>
      <c r="G157" s="62">
        <v>584</v>
      </c>
      <c r="H157" s="62">
        <v>1519</v>
      </c>
      <c r="I157" s="62">
        <v>13637</v>
      </c>
      <c r="J157" s="62">
        <v>49847</v>
      </c>
      <c r="K157" s="62" t="s">
        <v>18</v>
      </c>
      <c r="L157" s="64">
        <v>0.49054105563022848</v>
      </c>
      <c r="M157" s="62" t="s">
        <v>41</v>
      </c>
      <c r="N157" s="64">
        <f>Hashtags!$H157/Hashtags!$J157</f>
        <v>3.0473248139306276E-2</v>
      </c>
      <c r="O157" s="66">
        <f>(Hashtags!$L157+Hashtags!$N157)*100</f>
        <v>52.101430376953473</v>
      </c>
    </row>
    <row r="158" spans="1:15" x14ac:dyDescent="0.25">
      <c r="A158" s="59" t="s">
        <v>127</v>
      </c>
      <c r="B158" s="59" t="s">
        <v>25</v>
      </c>
      <c r="C158" s="60">
        <v>45580</v>
      </c>
      <c r="D158" s="59" t="s">
        <v>39</v>
      </c>
      <c r="E158" s="59">
        <v>17781</v>
      </c>
      <c r="F158" s="59">
        <v>993</v>
      </c>
      <c r="G158" s="59">
        <v>627</v>
      </c>
      <c r="H158" s="59">
        <v>2187</v>
      </c>
      <c r="I158" s="59">
        <v>9609</v>
      </c>
      <c r="J158" s="59">
        <v>66155</v>
      </c>
      <c r="K158" s="59" t="s">
        <v>34</v>
      </c>
      <c r="L158" s="61">
        <v>0.29326581513113142</v>
      </c>
      <c r="M158" s="59" t="s">
        <v>37</v>
      </c>
      <c r="N158" s="61">
        <f>Hashtags!$H158/Hashtags!$J158</f>
        <v>3.3058725719900234E-2</v>
      </c>
      <c r="O158" s="65">
        <f>(Hashtags!$L158+Hashtags!$N158)*100</f>
        <v>32.63245408510317</v>
      </c>
    </row>
    <row r="159" spans="1:15" x14ac:dyDescent="0.25">
      <c r="A159" s="62" t="s">
        <v>128</v>
      </c>
      <c r="B159" s="62" t="s">
        <v>20</v>
      </c>
      <c r="C159" s="63">
        <v>45635</v>
      </c>
      <c r="D159" s="62" t="s">
        <v>15</v>
      </c>
      <c r="E159" s="62">
        <v>15051</v>
      </c>
      <c r="F159" s="62">
        <v>268</v>
      </c>
      <c r="G159" s="62">
        <v>251</v>
      </c>
      <c r="H159" s="62">
        <v>783</v>
      </c>
      <c r="I159" s="62">
        <v>34154</v>
      </c>
      <c r="J159" s="62">
        <v>119671</v>
      </c>
      <c r="K159" s="62" t="s">
        <v>34</v>
      </c>
      <c r="L159" s="64">
        <v>0.13010670922779954</v>
      </c>
      <c r="M159" s="62" t="s">
        <v>21</v>
      </c>
      <c r="N159" s="64">
        <f>Hashtags!$H159/Hashtags!$J159</f>
        <v>6.5429385565425211E-3</v>
      </c>
      <c r="O159" s="66">
        <f>(Hashtags!$L159+Hashtags!$N159)*100</f>
        <v>13.664964778434207</v>
      </c>
    </row>
    <row r="160" spans="1:15" x14ac:dyDescent="0.25">
      <c r="A160" s="59" t="s">
        <v>128</v>
      </c>
      <c r="B160" s="59" t="s">
        <v>20</v>
      </c>
      <c r="C160" s="60">
        <v>45635</v>
      </c>
      <c r="D160" s="59" t="s">
        <v>15</v>
      </c>
      <c r="E160" s="59">
        <v>15051</v>
      </c>
      <c r="F160" s="59">
        <v>268</v>
      </c>
      <c r="G160" s="59">
        <v>251</v>
      </c>
      <c r="H160" s="59">
        <v>783</v>
      </c>
      <c r="I160" s="59">
        <v>34154</v>
      </c>
      <c r="J160" s="59">
        <v>119671</v>
      </c>
      <c r="K160" s="59" t="s">
        <v>34</v>
      </c>
      <c r="L160" s="61">
        <v>0.13010670922779954</v>
      </c>
      <c r="M160" s="59" t="s">
        <v>22</v>
      </c>
      <c r="N160" s="61">
        <f>Hashtags!$H160/Hashtags!$J160</f>
        <v>6.5429385565425211E-3</v>
      </c>
      <c r="O160" s="65">
        <f>(Hashtags!$L160+Hashtags!$N160)*100</f>
        <v>13.664964778434207</v>
      </c>
    </row>
    <row r="161" spans="1:15" x14ac:dyDescent="0.25">
      <c r="A161" s="62" t="s">
        <v>129</v>
      </c>
      <c r="B161" s="62" t="s">
        <v>14</v>
      </c>
      <c r="C161" s="63">
        <v>45766</v>
      </c>
      <c r="D161" s="62" t="s">
        <v>15</v>
      </c>
      <c r="E161" s="62">
        <v>8881</v>
      </c>
      <c r="F161" s="62">
        <v>210</v>
      </c>
      <c r="G161" s="62">
        <v>673</v>
      </c>
      <c r="H161" s="62">
        <v>1565</v>
      </c>
      <c r="I161" s="62">
        <v>24847</v>
      </c>
      <c r="J161" s="62">
        <v>156891</v>
      </c>
      <c r="K161" s="62" t="s">
        <v>29</v>
      </c>
      <c r="L161" s="64">
        <v>6.223429004850501E-2</v>
      </c>
      <c r="M161" s="62" t="s">
        <v>40</v>
      </c>
      <c r="N161" s="64">
        <f>Hashtags!$H161/Hashtags!$J161</f>
        <v>9.9750782390321951E-3</v>
      </c>
      <c r="O161" s="66">
        <f>(Hashtags!$L161+Hashtags!$N161)*100</f>
        <v>7.2209368287537217</v>
      </c>
    </row>
    <row r="162" spans="1:15" x14ac:dyDescent="0.25">
      <c r="A162" s="59" t="s">
        <v>129</v>
      </c>
      <c r="B162" s="59" t="s">
        <v>14</v>
      </c>
      <c r="C162" s="60">
        <v>45766</v>
      </c>
      <c r="D162" s="59" t="s">
        <v>15</v>
      </c>
      <c r="E162" s="59">
        <v>8881</v>
      </c>
      <c r="F162" s="59">
        <v>210</v>
      </c>
      <c r="G162" s="59">
        <v>673</v>
      </c>
      <c r="H162" s="59">
        <v>1565</v>
      </c>
      <c r="I162" s="59">
        <v>24847</v>
      </c>
      <c r="J162" s="59">
        <v>156891</v>
      </c>
      <c r="K162" s="59" t="s">
        <v>29</v>
      </c>
      <c r="L162" s="61">
        <v>6.223429004850501E-2</v>
      </c>
      <c r="M162" s="59" t="s">
        <v>41</v>
      </c>
      <c r="N162" s="61">
        <f>Hashtags!$H162/Hashtags!$J162</f>
        <v>9.9750782390321951E-3</v>
      </c>
      <c r="O162" s="65">
        <f>(Hashtags!$L162+Hashtags!$N162)*100</f>
        <v>7.2209368287537217</v>
      </c>
    </row>
    <row r="163" spans="1:15" x14ac:dyDescent="0.25">
      <c r="A163" s="62" t="s">
        <v>130</v>
      </c>
      <c r="B163" s="62" t="s">
        <v>14</v>
      </c>
      <c r="C163" s="63">
        <v>45684</v>
      </c>
      <c r="D163" s="62" t="s">
        <v>39</v>
      </c>
      <c r="E163" s="62">
        <v>8949</v>
      </c>
      <c r="F163" s="62">
        <v>1477</v>
      </c>
      <c r="G163" s="62">
        <v>424</v>
      </c>
      <c r="H163" s="62">
        <v>1030</v>
      </c>
      <c r="I163" s="62">
        <v>58052</v>
      </c>
      <c r="J163" s="62">
        <v>123310</v>
      </c>
      <c r="K163" s="62" t="s">
        <v>18</v>
      </c>
      <c r="L163" s="64">
        <v>8.7989619657773091E-2</v>
      </c>
      <c r="M163" s="62" t="s">
        <v>48</v>
      </c>
      <c r="N163" s="64">
        <f>Hashtags!$H163/Hashtags!$J163</f>
        <v>8.3529316357148654E-3</v>
      </c>
      <c r="O163" s="66">
        <f>(Hashtags!$L163+Hashtags!$N163)*100</f>
        <v>9.6342551293487961</v>
      </c>
    </row>
    <row r="164" spans="1:15" x14ac:dyDescent="0.25">
      <c r="A164" s="59" t="s">
        <v>130</v>
      </c>
      <c r="B164" s="59" t="s">
        <v>14</v>
      </c>
      <c r="C164" s="60">
        <v>45684</v>
      </c>
      <c r="D164" s="59" t="s">
        <v>39</v>
      </c>
      <c r="E164" s="59">
        <v>8949</v>
      </c>
      <c r="F164" s="59">
        <v>1477</v>
      </c>
      <c r="G164" s="59">
        <v>424</v>
      </c>
      <c r="H164" s="59">
        <v>1030</v>
      </c>
      <c r="I164" s="59">
        <v>58052</v>
      </c>
      <c r="J164" s="59">
        <v>123310</v>
      </c>
      <c r="K164" s="59" t="s">
        <v>18</v>
      </c>
      <c r="L164" s="61">
        <v>8.7989619657773091E-2</v>
      </c>
      <c r="M164" s="59" t="s">
        <v>32</v>
      </c>
      <c r="N164" s="61">
        <f>Hashtags!$H164/Hashtags!$J164</f>
        <v>8.3529316357148654E-3</v>
      </c>
      <c r="O164" s="65">
        <f>(Hashtags!$L164+Hashtags!$N164)*100</f>
        <v>9.6342551293487961</v>
      </c>
    </row>
    <row r="165" spans="1:15" x14ac:dyDescent="0.25">
      <c r="A165" s="62" t="s">
        <v>131</v>
      </c>
      <c r="B165" s="62" t="s">
        <v>47</v>
      </c>
      <c r="C165" s="63">
        <v>45449</v>
      </c>
      <c r="D165" s="62" t="s">
        <v>26</v>
      </c>
      <c r="E165" s="62">
        <v>11521</v>
      </c>
      <c r="F165" s="62">
        <v>1071</v>
      </c>
      <c r="G165" s="62">
        <v>762</v>
      </c>
      <c r="H165" s="62">
        <v>2539</v>
      </c>
      <c r="I165" s="62">
        <v>12701</v>
      </c>
      <c r="J165" s="62">
        <v>238350</v>
      </c>
      <c r="K165" s="62" t="s">
        <v>29</v>
      </c>
      <c r="L165" s="64">
        <v>5.6026851269142017E-2</v>
      </c>
      <c r="M165" s="62" t="s">
        <v>48</v>
      </c>
      <c r="N165" s="64">
        <f>Hashtags!$H165/Hashtags!$J165</f>
        <v>1.065240192993497E-2</v>
      </c>
      <c r="O165" s="66">
        <f>(Hashtags!$L165+Hashtags!$N165)*100</f>
        <v>6.6679253199076989</v>
      </c>
    </row>
    <row r="166" spans="1:15" x14ac:dyDescent="0.25">
      <c r="A166" s="59" t="s">
        <v>131</v>
      </c>
      <c r="B166" s="59" t="s">
        <v>47</v>
      </c>
      <c r="C166" s="60">
        <v>45449</v>
      </c>
      <c r="D166" s="59" t="s">
        <v>26</v>
      </c>
      <c r="E166" s="59">
        <v>11521</v>
      </c>
      <c r="F166" s="59">
        <v>1071</v>
      </c>
      <c r="G166" s="59">
        <v>762</v>
      </c>
      <c r="H166" s="59">
        <v>2539</v>
      </c>
      <c r="I166" s="59">
        <v>12701</v>
      </c>
      <c r="J166" s="59">
        <v>238350</v>
      </c>
      <c r="K166" s="59" t="s">
        <v>29</v>
      </c>
      <c r="L166" s="61">
        <v>5.6026851269142017E-2</v>
      </c>
      <c r="M166" s="59" t="s">
        <v>32</v>
      </c>
      <c r="N166" s="61">
        <f>Hashtags!$H166/Hashtags!$J166</f>
        <v>1.065240192993497E-2</v>
      </c>
      <c r="O166" s="65">
        <f>(Hashtags!$L166+Hashtags!$N166)*100</f>
        <v>6.6679253199076989</v>
      </c>
    </row>
    <row r="167" spans="1:15" x14ac:dyDescent="0.25">
      <c r="A167" s="62" t="s">
        <v>132</v>
      </c>
      <c r="B167" s="62" t="s">
        <v>25</v>
      </c>
      <c r="C167" s="63">
        <v>45480</v>
      </c>
      <c r="D167" s="62" t="s">
        <v>26</v>
      </c>
      <c r="E167" s="62">
        <v>24625</v>
      </c>
      <c r="F167" s="62">
        <v>749</v>
      </c>
      <c r="G167" s="62">
        <v>193</v>
      </c>
      <c r="H167" s="62">
        <v>1340</v>
      </c>
      <c r="I167" s="62">
        <v>4890</v>
      </c>
      <c r="J167" s="62">
        <v>189381</v>
      </c>
      <c r="K167" s="62" t="s">
        <v>18</v>
      </c>
      <c r="L167" s="64">
        <v>0.13500298340382616</v>
      </c>
      <c r="M167" s="62" t="s">
        <v>21</v>
      </c>
      <c r="N167" s="64">
        <f>Hashtags!$H167/Hashtags!$J167</f>
        <v>7.0756834106906188E-3</v>
      </c>
      <c r="O167" s="66">
        <f>(Hashtags!$L167+Hashtags!$N167)*100</f>
        <v>14.207866681451678</v>
      </c>
    </row>
    <row r="168" spans="1:15" x14ac:dyDescent="0.25">
      <c r="A168" s="59" t="s">
        <v>132</v>
      </c>
      <c r="B168" s="59" t="s">
        <v>25</v>
      </c>
      <c r="C168" s="60">
        <v>45480</v>
      </c>
      <c r="D168" s="59" t="s">
        <v>26</v>
      </c>
      <c r="E168" s="59">
        <v>24625</v>
      </c>
      <c r="F168" s="59">
        <v>749</v>
      </c>
      <c r="G168" s="59">
        <v>193</v>
      </c>
      <c r="H168" s="59">
        <v>1340</v>
      </c>
      <c r="I168" s="59">
        <v>4890</v>
      </c>
      <c r="J168" s="59">
        <v>189381</v>
      </c>
      <c r="K168" s="59" t="s">
        <v>18</v>
      </c>
      <c r="L168" s="61">
        <v>0.13500298340382616</v>
      </c>
      <c r="M168" s="59" t="s">
        <v>22</v>
      </c>
      <c r="N168" s="61">
        <f>Hashtags!$H168/Hashtags!$J168</f>
        <v>7.0756834106906188E-3</v>
      </c>
      <c r="O168" s="65">
        <f>(Hashtags!$L168+Hashtags!$N168)*100</f>
        <v>14.207866681451678</v>
      </c>
    </row>
    <row r="169" spans="1:15" x14ac:dyDescent="0.25">
      <c r="A169" s="62" t="s">
        <v>133</v>
      </c>
      <c r="B169" s="62" t="s">
        <v>20</v>
      </c>
      <c r="C169" s="63">
        <v>45923</v>
      </c>
      <c r="D169" s="62" t="s">
        <v>15</v>
      </c>
      <c r="E169" s="62">
        <v>10017</v>
      </c>
      <c r="F169" s="62">
        <v>1357</v>
      </c>
      <c r="G169" s="62">
        <v>966</v>
      </c>
      <c r="H169" s="62">
        <v>2871</v>
      </c>
      <c r="I169" s="62">
        <v>14800</v>
      </c>
      <c r="J169" s="62">
        <v>171691</v>
      </c>
      <c r="K169" s="62" t="s">
        <v>23</v>
      </c>
      <c r="L169" s="64">
        <v>7.1873307278774071E-2</v>
      </c>
      <c r="M169" s="62" t="s">
        <v>122</v>
      </c>
      <c r="N169" s="64">
        <f>Hashtags!$H169/Hashtags!$J169</f>
        <v>1.6721901555701812E-2</v>
      </c>
      <c r="O169" s="66">
        <f>(Hashtags!$L169+Hashtags!$N169)*100</f>
        <v>8.8595208834475887</v>
      </c>
    </row>
    <row r="170" spans="1:15" x14ac:dyDescent="0.25">
      <c r="A170" s="59" t="s">
        <v>133</v>
      </c>
      <c r="B170" s="59" t="s">
        <v>20</v>
      </c>
      <c r="C170" s="60">
        <v>45923</v>
      </c>
      <c r="D170" s="59" t="s">
        <v>15</v>
      </c>
      <c r="E170" s="59">
        <v>10017</v>
      </c>
      <c r="F170" s="59">
        <v>1357</v>
      </c>
      <c r="G170" s="59">
        <v>966</v>
      </c>
      <c r="H170" s="59">
        <v>2871</v>
      </c>
      <c r="I170" s="59">
        <v>14800</v>
      </c>
      <c r="J170" s="59">
        <v>171691</v>
      </c>
      <c r="K170" s="59" t="s">
        <v>23</v>
      </c>
      <c r="L170" s="61">
        <v>7.1873307278774071E-2</v>
      </c>
      <c r="M170" s="59" t="s">
        <v>123</v>
      </c>
      <c r="N170" s="61">
        <f>Hashtags!$H170/Hashtags!$J170</f>
        <v>1.6721901555701812E-2</v>
      </c>
      <c r="O170" s="65">
        <f>(Hashtags!$L170+Hashtags!$N170)*100</f>
        <v>8.8595208834475887</v>
      </c>
    </row>
    <row r="171" spans="1:15" x14ac:dyDescent="0.25">
      <c r="A171" s="62" t="s">
        <v>134</v>
      </c>
      <c r="B171" s="62" t="s">
        <v>47</v>
      </c>
      <c r="C171" s="63">
        <v>45446</v>
      </c>
      <c r="D171" s="62" t="s">
        <v>15</v>
      </c>
      <c r="E171" s="62">
        <v>8941</v>
      </c>
      <c r="F171" s="62">
        <v>911</v>
      </c>
      <c r="G171" s="62">
        <v>166</v>
      </c>
      <c r="H171" s="62">
        <v>1217</v>
      </c>
      <c r="I171" s="62">
        <v>68817</v>
      </c>
      <c r="J171" s="62">
        <v>221180</v>
      </c>
      <c r="K171" s="62" t="s">
        <v>52</v>
      </c>
      <c r="L171" s="64">
        <v>4.5293426168731353E-2</v>
      </c>
      <c r="M171" s="62" t="s">
        <v>32</v>
      </c>
      <c r="N171" s="64">
        <f>Hashtags!$H171/Hashtags!$J171</f>
        <v>5.5023058142689213E-3</v>
      </c>
      <c r="O171" s="66">
        <f>(Hashtags!$L171+Hashtags!$N171)*100</f>
        <v>5.0795731983000278</v>
      </c>
    </row>
    <row r="172" spans="1:15" x14ac:dyDescent="0.25">
      <c r="A172" s="59" t="s">
        <v>134</v>
      </c>
      <c r="B172" s="59" t="s">
        <v>47</v>
      </c>
      <c r="C172" s="60">
        <v>45446</v>
      </c>
      <c r="D172" s="59" t="s">
        <v>15</v>
      </c>
      <c r="E172" s="59">
        <v>8941</v>
      </c>
      <c r="F172" s="59">
        <v>911</v>
      </c>
      <c r="G172" s="59">
        <v>166</v>
      </c>
      <c r="H172" s="59">
        <v>1217</v>
      </c>
      <c r="I172" s="59">
        <v>68817</v>
      </c>
      <c r="J172" s="59">
        <v>221180</v>
      </c>
      <c r="K172" s="59" t="s">
        <v>52</v>
      </c>
      <c r="L172" s="61">
        <v>4.5293426168731353E-2</v>
      </c>
      <c r="M172" s="59" t="s">
        <v>57</v>
      </c>
      <c r="N172" s="61">
        <f>Hashtags!$H172/Hashtags!$J172</f>
        <v>5.5023058142689213E-3</v>
      </c>
      <c r="O172" s="65">
        <f>(Hashtags!$L172+Hashtags!$N172)*100</f>
        <v>5.0795731983000278</v>
      </c>
    </row>
    <row r="173" spans="1:15" x14ac:dyDescent="0.25">
      <c r="A173" s="62" t="s">
        <v>135</v>
      </c>
      <c r="B173" s="62" t="s">
        <v>20</v>
      </c>
      <c r="C173" s="63">
        <v>45924</v>
      </c>
      <c r="D173" s="62" t="s">
        <v>26</v>
      </c>
      <c r="E173" s="62">
        <v>12209</v>
      </c>
      <c r="F173" s="62">
        <v>222</v>
      </c>
      <c r="G173" s="62">
        <v>479</v>
      </c>
      <c r="H173" s="62">
        <v>2748</v>
      </c>
      <c r="I173" s="62">
        <v>24615</v>
      </c>
      <c r="J173" s="62">
        <v>74707</v>
      </c>
      <c r="K173" s="62" t="s">
        <v>23</v>
      </c>
      <c r="L173" s="64">
        <v>0.17280843829895459</v>
      </c>
      <c r="M173" s="62" t="s">
        <v>40</v>
      </c>
      <c r="N173" s="64">
        <f>Hashtags!$H173/Hashtags!$J173</f>
        <v>3.678370166115625E-2</v>
      </c>
      <c r="O173" s="66">
        <f>(Hashtags!$L173+Hashtags!$N173)*100</f>
        <v>20.959213996011083</v>
      </c>
    </row>
    <row r="174" spans="1:15" x14ac:dyDescent="0.25">
      <c r="A174" s="59" t="s">
        <v>135</v>
      </c>
      <c r="B174" s="59" t="s">
        <v>20</v>
      </c>
      <c r="C174" s="60">
        <v>45924</v>
      </c>
      <c r="D174" s="59" t="s">
        <v>26</v>
      </c>
      <c r="E174" s="59">
        <v>12209</v>
      </c>
      <c r="F174" s="59">
        <v>222</v>
      </c>
      <c r="G174" s="59">
        <v>479</v>
      </c>
      <c r="H174" s="59">
        <v>2748</v>
      </c>
      <c r="I174" s="59">
        <v>24615</v>
      </c>
      <c r="J174" s="59">
        <v>74707</v>
      </c>
      <c r="K174" s="59" t="s">
        <v>23</v>
      </c>
      <c r="L174" s="61">
        <v>0.17280843829895459</v>
      </c>
      <c r="M174" s="59" t="s">
        <v>41</v>
      </c>
      <c r="N174" s="61">
        <f>Hashtags!$H174/Hashtags!$J174</f>
        <v>3.678370166115625E-2</v>
      </c>
      <c r="O174" s="65">
        <f>(Hashtags!$L174+Hashtags!$N174)*100</f>
        <v>20.959213996011083</v>
      </c>
    </row>
    <row r="175" spans="1:15" x14ac:dyDescent="0.25">
      <c r="A175" s="62" t="s">
        <v>136</v>
      </c>
      <c r="B175" s="62" t="s">
        <v>20</v>
      </c>
      <c r="C175" s="63">
        <v>45586</v>
      </c>
      <c r="D175" s="62" t="s">
        <v>26</v>
      </c>
      <c r="E175" s="62">
        <v>19715</v>
      </c>
      <c r="F175" s="62">
        <v>1014</v>
      </c>
      <c r="G175" s="62">
        <v>718</v>
      </c>
      <c r="H175" s="62">
        <v>1185</v>
      </c>
      <c r="I175" s="62">
        <v>37625</v>
      </c>
      <c r="J175" s="62">
        <v>191409</v>
      </c>
      <c r="K175" s="62" t="s">
        <v>18</v>
      </c>
      <c r="L175" s="64">
        <v>0.11204802282024356</v>
      </c>
      <c r="M175" s="62" t="s">
        <v>21</v>
      </c>
      <c r="N175" s="64">
        <f>Hashtags!$H175/Hashtags!$J175</f>
        <v>6.1909314609030919E-3</v>
      </c>
      <c r="O175" s="66">
        <f>(Hashtags!$L175+Hashtags!$N175)*100</f>
        <v>11.823895428114666</v>
      </c>
    </row>
    <row r="176" spans="1:15" x14ac:dyDescent="0.25">
      <c r="A176" s="59" t="s">
        <v>136</v>
      </c>
      <c r="B176" s="59" t="s">
        <v>20</v>
      </c>
      <c r="C176" s="60">
        <v>45586</v>
      </c>
      <c r="D176" s="59" t="s">
        <v>26</v>
      </c>
      <c r="E176" s="59">
        <v>19715</v>
      </c>
      <c r="F176" s="59">
        <v>1014</v>
      </c>
      <c r="G176" s="59">
        <v>718</v>
      </c>
      <c r="H176" s="59">
        <v>1185</v>
      </c>
      <c r="I176" s="59">
        <v>37625</v>
      </c>
      <c r="J176" s="59">
        <v>191409</v>
      </c>
      <c r="K176" s="59" t="s">
        <v>18</v>
      </c>
      <c r="L176" s="61">
        <v>0.11204802282024356</v>
      </c>
      <c r="M176" s="59" t="s">
        <v>22</v>
      </c>
      <c r="N176" s="61">
        <f>Hashtags!$H176/Hashtags!$J176</f>
        <v>6.1909314609030919E-3</v>
      </c>
      <c r="O176" s="65">
        <f>(Hashtags!$L176+Hashtags!$N176)*100</f>
        <v>11.823895428114666</v>
      </c>
    </row>
    <row r="177" spans="1:15" x14ac:dyDescent="0.25">
      <c r="A177" s="62" t="s">
        <v>137</v>
      </c>
      <c r="B177" s="62" t="s">
        <v>47</v>
      </c>
      <c r="C177" s="63">
        <v>45637</v>
      </c>
      <c r="D177" s="62" t="s">
        <v>39</v>
      </c>
      <c r="E177" s="62">
        <v>22645</v>
      </c>
      <c r="F177" s="62">
        <v>545</v>
      </c>
      <c r="G177" s="62">
        <v>972</v>
      </c>
      <c r="H177" s="62">
        <v>321</v>
      </c>
      <c r="I177" s="62">
        <v>8396</v>
      </c>
      <c r="J177" s="62">
        <v>121537</v>
      </c>
      <c r="K177" s="62" t="s">
        <v>52</v>
      </c>
      <c r="L177" s="64">
        <v>0.19880365649966678</v>
      </c>
      <c r="M177" s="62" t="s">
        <v>48</v>
      </c>
      <c r="N177" s="64">
        <f>Hashtags!$H177/Hashtags!$J177</f>
        <v>2.641171001423435E-3</v>
      </c>
      <c r="O177" s="66">
        <f>(Hashtags!$L177+Hashtags!$N177)*100</f>
        <v>20.14448275010902</v>
      </c>
    </row>
    <row r="178" spans="1:15" x14ac:dyDescent="0.25">
      <c r="A178" s="59" t="s">
        <v>137</v>
      </c>
      <c r="B178" s="59" t="s">
        <v>47</v>
      </c>
      <c r="C178" s="60">
        <v>45637</v>
      </c>
      <c r="D178" s="59" t="s">
        <v>39</v>
      </c>
      <c r="E178" s="59">
        <v>22645</v>
      </c>
      <c r="F178" s="59">
        <v>545</v>
      </c>
      <c r="G178" s="59">
        <v>972</v>
      </c>
      <c r="H178" s="59">
        <v>321</v>
      </c>
      <c r="I178" s="59">
        <v>8396</v>
      </c>
      <c r="J178" s="59">
        <v>121537</v>
      </c>
      <c r="K178" s="59" t="s">
        <v>52</v>
      </c>
      <c r="L178" s="61">
        <v>0.19880365649966678</v>
      </c>
      <c r="M178" s="59" t="s">
        <v>32</v>
      </c>
      <c r="N178" s="61">
        <f>Hashtags!$H178/Hashtags!$J178</f>
        <v>2.641171001423435E-3</v>
      </c>
      <c r="O178" s="65">
        <f>(Hashtags!$L178+Hashtags!$N178)*100</f>
        <v>20.14448275010902</v>
      </c>
    </row>
    <row r="179" spans="1:15" x14ac:dyDescent="0.25">
      <c r="A179" s="62" t="s">
        <v>138</v>
      </c>
      <c r="B179" s="62" t="s">
        <v>47</v>
      </c>
      <c r="C179" s="63">
        <v>45603</v>
      </c>
      <c r="D179" s="62" t="s">
        <v>39</v>
      </c>
      <c r="E179" s="62">
        <v>11550</v>
      </c>
      <c r="F179" s="62">
        <v>501</v>
      </c>
      <c r="G179" s="62">
        <v>646</v>
      </c>
      <c r="H179" s="62">
        <v>773</v>
      </c>
      <c r="I179" s="62">
        <v>17841</v>
      </c>
      <c r="J179" s="62">
        <v>237576</v>
      </c>
      <c r="K179" s="62" t="s">
        <v>34</v>
      </c>
      <c r="L179" s="64">
        <v>5.3443950567397383E-2</v>
      </c>
      <c r="M179" s="62" t="s">
        <v>48</v>
      </c>
      <c r="N179" s="64">
        <f>Hashtags!$H179/Hashtags!$J179</f>
        <v>3.2536956594942249E-3</v>
      </c>
      <c r="O179" s="66">
        <f>(Hashtags!$L179+Hashtags!$N179)*100</f>
        <v>5.6697646226891605</v>
      </c>
    </row>
    <row r="180" spans="1:15" x14ac:dyDescent="0.25">
      <c r="A180" s="59" t="s">
        <v>138</v>
      </c>
      <c r="B180" s="59" t="s">
        <v>47</v>
      </c>
      <c r="C180" s="60">
        <v>45603</v>
      </c>
      <c r="D180" s="59" t="s">
        <v>39</v>
      </c>
      <c r="E180" s="59">
        <v>11550</v>
      </c>
      <c r="F180" s="59">
        <v>501</v>
      </c>
      <c r="G180" s="59">
        <v>646</v>
      </c>
      <c r="H180" s="59">
        <v>773</v>
      </c>
      <c r="I180" s="59">
        <v>17841</v>
      </c>
      <c r="J180" s="59">
        <v>237576</v>
      </c>
      <c r="K180" s="59" t="s">
        <v>34</v>
      </c>
      <c r="L180" s="61">
        <v>5.3443950567397383E-2</v>
      </c>
      <c r="M180" s="59" t="s">
        <v>32</v>
      </c>
      <c r="N180" s="61">
        <f>Hashtags!$H180/Hashtags!$J180</f>
        <v>3.2536956594942249E-3</v>
      </c>
      <c r="O180" s="65">
        <f>(Hashtags!$L180+Hashtags!$N180)*100</f>
        <v>5.6697646226891605</v>
      </c>
    </row>
    <row r="181" spans="1:15" x14ac:dyDescent="0.25">
      <c r="A181" s="62" t="s">
        <v>139</v>
      </c>
      <c r="B181" s="62" t="s">
        <v>47</v>
      </c>
      <c r="C181" s="63">
        <v>45604</v>
      </c>
      <c r="D181" s="62" t="s">
        <v>26</v>
      </c>
      <c r="E181" s="62">
        <v>23499</v>
      </c>
      <c r="F181" s="62">
        <v>562</v>
      </c>
      <c r="G181" s="62">
        <v>964</v>
      </c>
      <c r="H181" s="62">
        <v>2557</v>
      </c>
      <c r="I181" s="62">
        <v>56890</v>
      </c>
      <c r="J181" s="62">
        <v>218686</v>
      </c>
      <c r="K181" s="62" t="s">
        <v>34</v>
      </c>
      <c r="L181" s="64">
        <v>0.11443347996671026</v>
      </c>
      <c r="M181" s="62" t="s">
        <v>32</v>
      </c>
      <c r="N181" s="64">
        <f>Hashtags!$H181/Hashtags!$J181</f>
        <v>1.1692563767227897E-2</v>
      </c>
      <c r="O181" s="66">
        <f>(Hashtags!$L181+Hashtags!$N181)*100</f>
        <v>12.612604373393815</v>
      </c>
    </row>
    <row r="182" spans="1:15" x14ac:dyDescent="0.25">
      <c r="A182" s="59" t="s">
        <v>139</v>
      </c>
      <c r="B182" s="59" t="s">
        <v>47</v>
      </c>
      <c r="C182" s="60">
        <v>45604</v>
      </c>
      <c r="D182" s="59" t="s">
        <v>26</v>
      </c>
      <c r="E182" s="59">
        <v>23499</v>
      </c>
      <c r="F182" s="59">
        <v>562</v>
      </c>
      <c r="G182" s="59">
        <v>964</v>
      </c>
      <c r="H182" s="59">
        <v>2557</v>
      </c>
      <c r="I182" s="59">
        <v>56890</v>
      </c>
      <c r="J182" s="59">
        <v>218686</v>
      </c>
      <c r="K182" s="59" t="s">
        <v>34</v>
      </c>
      <c r="L182" s="61">
        <v>0.11443347996671026</v>
      </c>
      <c r="M182" s="59" t="s">
        <v>33</v>
      </c>
      <c r="N182" s="61">
        <f>Hashtags!$H182/Hashtags!$J182</f>
        <v>1.1692563767227897E-2</v>
      </c>
      <c r="O182" s="65">
        <f>(Hashtags!$L182+Hashtags!$N182)*100</f>
        <v>12.612604373393815</v>
      </c>
    </row>
    <row r="183" spans="1:15" x14ac:dyDescent="0.25">
      <c r="A183" s="62" t="s">
        <v>140</v>
      </c>
      <c r="B183" s="62" t="s">
        <v>47</v>
      </c>
      <c r="C183" s="63">
        <v>45545</v>
      </c>
      <c r="D183" s="62" t="s">
        <v>39</v>
      </c>
      <c r="E183" s="62">
        <v>6637</v>
      </c>
      <c r="F183" s="62">
        <v>595</v>
      </c>
      <c r="G183" s="62">
        <v>161</v>
      </c>
      <c r="H183" s="62">
        <v>2653</v>
      </c>
      <c r="I183" s="62">
        <v>19334</v>
      </c>
      <c r="J183" s="62">
        <v>131155</v>
      </c>
      <c r="K183" s="62" t="s">
        <v>29</v>
      </c>
      <c r="L183" s="64">
        <v>5.6368419046166747E-2</v>
      </c>
      <c r="M183" s="62" t="s">
        <v>43</v>
      </c>
      <c r="N183" s="64">
        <f>Hashtags!$H183/Hashtags!$J183</f>
        <v>2.0227974533948381E-2</v>
      </c>
      <c r="O183" s="66">
        <f>(Hashtags!$L183+Hashtags!$N183)*100</f>
        <v>7.6596393580115132</v>
      </c>
    </row>
    <row r="184" spans="1:15" x14ac:dyDescent="0.25">
      <c r="A184" s="59" t="s">
        <v>140</v>
      </c>
      <c r="B184" s="59" t="s">
        <v>47</v>
      </c>
      <c r="C184" s="60">
        <v>45545</v>
      </c>
      <c r="D184" s="59" t="s">
        <v>39</v>
      </c>
      <c r="E184" s="59">
        <v>6637</v>
      </c>
      <c r="F184" s="59">
        <v>595</v>
      </c>
      <c r="G184" s="59">
        <v>161</v>
      </c>
      <c r="H184" s="59">
        <v>2653</v>
      </c>
      <c r="I184" s="59">
        <v>19334</v>
      </c>
      <c r="J184" s="59">
        <v>131155</v>
      </c>
      <c r="K184" s="59" t="s">
        <v>29</v>
      </c>
      <c r="L184" s="61">
        <v>5.6368419046166747E-2</v>
      </c>
      <c r="M184" s="59" t="s">
        <v>44</v>
      </c>
      <c r="N184" s="61">
        <f>Hashtags!$H184/Hashtags!$J184</f>
        <v>2.0227974533948381E-2</v>
      </c>
      <c r="O184" s="65">
        <f>(Hashtags!$L184+Hashtags!$N184)*100</f>
        <v>7.6596393580115132</v>
      </c>
    </row>
    <row r="185" spans="1:15" x14ac:dyDescent="0.25">
      <c r="A185" s="62" t="s">
        <v>141</v>
      </c>
      <c r="B185" s="62" t="s">
        <v>47</v>
      </c>
      <c r="C185" s="63">
        <v>45517</v>
      </c>
      <c r="D185" s="62" t="s">
        <v>39</v>
      </c>
      <c r="E185" s="62">
        <v>6854</v>
      </c>
      <c r="F185" s="62">
        <v>417</v>
      </c>
      <c r="G185" s="62">
        <v>467</v>
      </c>
      <c r="H185" s="62">
        <v>1003</v>
      </c>
      <c r="I185" s="62">
        <v>61333</v>
      </c>
      <c r="J185" s="62">
        <v>40281</v>
      </c>
      <c r="K185" s="62" t="s">
        <v>18</v>
      </c>
      <c r="L185" s="64">
        <v>0.19210049402944315</v>
      </c>
      <c r="M185" s="62" t="s">
        <v>122</v>
      </c>
      <c r="N185" s="64">
        <f>Hashtags!$H185/Hashtags!$J185</f>
        <v>2.4900076959360494E-2</v>
      </c>
      <c r="O185" s="66">
        <f>(Hashtags!$L185+Hashtags!$N185)*100</f>
        <v>21.700057098880364</v>
      </c>
    </row>
    <row r="186" spans="1:15" x14ac:dyDescent="0.25">
      <c r="A186" s="59" t="s">
        <v>141</v>
      </c>
      <c r="B186" s="59" t="s">
        <v>47</v>
      </c>
      <c r="C186" s="60">
        <v>45517</v>
      </c>
      <c r="D186" s="59" t="s">
        <v>39</v>
      </c>
      <c r="E186" s="59">
        <v>6854</v>
      </c>
      <c r="F186" s="59">
        <v>417</v>
      </c>
      <c r="G186" s="59">
        <v>467</v>
      </c>
      <c r="H186" s="59">
        <v>1003</v>
      </c>
      <c r="I186" s="59">
        <v>61333</v>
      </c>
      <c r="J186" s="59">
        <v>40281</v>
      </c>
      <c r="K186" s="59" t="s">
        <v>18</v>
      </c>
      <c r="L186" s="61">
        <v>0.19210049402944315</v>
      </c>
      <c r="M186" s="59" t="s">
        <v>123</v>
      </c>
      <c r="N186" s="61">
        <f>Hashtags!$H186/Hashtags!$J186</f>
        <v>2.4900076959360494E-2</v>
      </c>
      <c r="O186" s="65">
        <f>(Hashtags!$L186+Hashtags!$N186)*100</f>
        <v>21.700057098880364</v>
      </c>
    </row>
    <row r="187" spans="1:15" x14ac:dyDescent="0.25">
      <c r="A187" s="62" t="s">
        <v>142</v>
      </c>
      <c r="B187" s="62" t="s">
        <v>20</v>
      </c>
      <c r="C187" s="63">
        <v>45453</v>
      </c>
      <c r="D187" s="62" t="s">
        <v>31</v>
      </c>
      <c r="E187" s="62">
        <v>21561</v>
      </c>
      <c r="F187" s="62">
        <v>340</v>
      </c>
      <c r="G187" s="62">
        <v>741</v>
      </c>
      <c r="H187" s="62">
        <v>986</v>
      </c>
      <c r="I187" s="62">
        <v>24826</v>
      </c>
      <c r="J187" s="62">
        <v>198492</v>
      </c>
      <c r="K187" s="62" t="s">
        <v>18</v>
      </c>
      <c r="L187" s="64">
        <v>0.11407008846704149</v>
      </c>
      <c r="M187" s="62" t="s">
        <v>40</v>
      </c>
      <c r="N187" s="64">
        <f>Hashtags!$H187/Hashtags!$J187</f>
        <v>4.9674546077423777E-3</v>
      </c>
      <c r="O187" s="66">
        <f>(Hashtags!$L187+Hashtags!$N187)*100</f>
        <v>11.903754307478387</v>
      </c>
    </row>
    <row r="188" spans="1:15" x14ac:dyDescent="0.25">
      <c r="A188" s="59" t="s">
        <v>142</v>
      </c>
      <c r="B188" s="59" t="s">
        <v>20</v>
      </c>
      <c r="C188" s="60">
        <v>45453</v>
      </c>
      <c r="D188" s="59" t="s">
        <v>31</v>
      </c>
      <c r="E188" s="59">
        <v>21561</v>
      </c>
      <c r="F188" s="59">
        <v>340</v>
      </c>
      <c r="G188" s="59">
        <v>741</v>
      </c>
      <c r="H188" s="59">
        <v>986</v>
      </c>
      <c r="I188" s="59">
        <v>24826</v>
      </c>
      <c r="J188" s="59">
        <v>198492</v>
      </c>
      <c r="K188" s="59" t="s">
        <v>18</v>
      </c>
      <c r="L188" s="61">
        <v>0.11407008846704149</v>
      </c>
      <c r="M188" s="59" t="s">
        <v>41</v>
      </c>
      <c r="N188" s="61">
        <f>Hashtags!$H188/Hashtags!$J188</f>
        <v>4.9674546077423777E-3</v>
      </c>
      <c r="O188" s="65">
        <f>(Hashtags!$L188+Hashtags!$N188)*100</f>
        <v>11.903754307478387</v>
      </c>
    </row>
    <row r="189" spans="1:15" x14ac:dyDescent="0.25">
      <c r="A189" s="62" t="s">
        <v>143</v>
      </c>
      <c r="B189" s="62" t="s">
        <v>47</v>
      </c>
      <c r="C189" s="63">
        <v>45475</v>
      </c>
      <c r="D189" s="62" t="s">
        <v>39</v>
      </c>
      <c r="E189" s="62">
        <v>12320</v>
      </c>
      <c r="F189" s="62">
        <v>1157</v>
      </c>
      <c r="G189" s="62">
        <v>365</v>
      </c>
      <c r="H189" s="62">
        <v>584</v>
      </c>
      <c r="I189" s="62">
        <v>66634</v>
      </c>
      <c r="J189" s="62">
        <v>210102</v>
      </c>
      <c r="K189" s="62" t="s">
        <v>34</v>
      </c>
      <c r="L189" s="64">
        <v>6.5882285746922925E-2</v>
      </c>
      <c r="M189" s="62" t="s">
        <v>40</v>
      </c>
      <c r="N189" s="64">
        <f>Hashtags!$H189/Hashtags!$J189</f>
        <v>2.7796022884122949E-3</v>
      </c>
      <c r="O189" s="66">
        <f>(Hashtags!$L189+Hashtags!$N189)*100</f>
        <v>6.8661888035335226</v>
      </c>
    </row>
    <row r="190" spans="1:15" x14ac:dyDescent="0.25">
      <c r="A190" s="59" t="s">
        <v>143</v>
      </c>
      <c r="B190" s="59" t="s">
        <v>47</v>
      </c>
      <c r="C190" s="60">
        <v>45475</v>
      </c>
      <c r="D190" s="59" t="s">
        <v>39</v>
      </c>
      <c r="E190" s="59">
        <v>12320</v>
      </c>
      <c r="F190" s="59">
        <v>1157</v>
      </c>
      <c r="G190" s="59">
        <v>365</v>
      </c>
      <c r="H190" s="59">
        <v>584</v>
      </c>
      <c r="I190" s="59">
        <v>66634</v>
      </c>
      <c r="J190" s="59">
        <v>210102</v>
      </c>
      <c r="K190" s="59" t="s">
        <v>34</v>
      </c>
      <c r="L190" s="61">
        <v>6.5882285746922925E-2</v>
      </c>
      <c r="M190" s="59" t="s">
        <v>41</v>
      </c>
      <c r="N190" s="61">
        <f>Hashtags!$H190/Hashtags!$J190</f>
        <v>2.7796022884122949E-3</v>
      </c>
      <c r="O190" s="65">
        <f>(Hashtags!$L190+Hashtags!$N190)*100</f>
        <v>6.8661888035335226</v>
      </c>
    </row>
    <row r="191" spans="1:15" x14ac:dyDescent="0.25">
      <c r="A191" s="62" t="s">
        <v>144</v>
      </c>
      <c r="B191" s="62" t="s">
        <v>25</v>
      </c>
      <c r="C191" s="63">
        <v>45925</v>
      </c>
      <c r="D191" s="62" t="s">
        <v>15</v>
      </c>
      <c r="E191" s="62">
        <v>20564</v>
      </c>
      <c r="F191" s="62">
        <v>1433</v>
      </c>
      <c r="G191" s="62">
        <v>488</v>
      </c>
      <c r="H191" s="62">
        <v>1015</v>
      </c>
      <c r="I191" s="62">
        <v>24333</v>
      </c>
      <c r="J191" s="62">
        <v>172130</v>
      </c>
      <c r="K191" s="62" t="s">
        <v>23</v>
      </c>
      <c r="L191" s="64">
        <v>0.13062801371056759</v>
      </c>
      <c r="M191" s="62" t="s">
        <v>37</v>
      </c>
      <c r="N191" s="64">
        <f>Hashtags!$H191/Hashtags!$J191</f>
        <v>5.8967059780398534E-3</v>
      </c>
      <c r="O191" s="66">
        <f>(Hashtags!$L191+Hashtags!$N191)*100</f>
        <v>13.652471968860743</v>
      </c>
    </row>
    <row r="192" spans="1:15" x14ac:dyDescent="0.25">
      <c r="A192" s="59" t="s">
        <v>145</v>
      </c>
      <c r="B192" s="59" t="s">
        <v>14</v>
      </c>
      <c r="C192" s="60">
        <v>45583</v>
      </c>
      <c r="D192" s="59" t="s">
        <v>39</v>
      </c>
      <c r="E192" s="59">
        <v>6892</v>
      </c>
      <c r="F192" s="59">
        <v>1184</v>
      </c>
      <c r="G192" s="59">
        <v>925</v>
      </c>
      <c r="H192" s="59">
        <v>1062</v>
      </c>
      <c r="I192" s="59">
        <v>75008</v>
      </c>
      <c r="J192" s="59">
        <v>116260</v>
      </c>
      <c r="K192" s="59" t="s">
        <v>52</v>
      </c>
      <c r="L192" s="61">
        <v>7.7421297092723204E-2</v>
      </c>
      <c r="M192" s="59" t="s">
        <v>21</v>
      </c>
      <c r="N192" s="61">
        <f>Hashtags!$H192/Hashtags!$J192</f>
        <v>9.1346980904868404E-3</v>
      </c>
      <c r="O192" s="65">
        <f>(Hashtags!$L192+Hashtags!$N192)*100</f>
        <v>8.6555995183210044</v>
      </c>
    </row>
    <row r="193" spans="1:15" x14ac:dyDescent="0.25">
      <c r="A193" s="62" t="s">
        <v>145</v>
      </c>
      <c r="B193" s="62" t="s">
        <v>14</v>
      </c>
      <c r="C193" s="63">
        <v>45583</v>
      </c>
      <c r="D193" s="62" t="s">
        <v>39</v>
      </c>
      <c r="E193" s="62">
        <v>6892</v>
      </c>
      <c r="F193" s="62">
        <v>1184</v>
      </c>
      <c r="G193" s="62">
        <v>925</v>
      </c>
      <c r="H193" s="62">
        <v>1062</v>
      </c>
      <c r="I193" s="62">
        <v>75008</v>
      </c>
      <c r="J193" s="62">
        <v>116260</v>
      </c>
      <c r="K193" s="62" t="s">
        <v>52</v>
      </c>
      <c r="L193" s="64">
        <v>7.7421297092723204E-2</v>
      </c>
      <c r="M193" s="62" t="s">
        <v>22</v>
      </c>
      <c r="N193" s="64">
        <f>Hashtags!$H193/Hashtags!$J193</f>
        <v>9.1346980904868404E-3</v>
      </c>
      <c r="O193" s="66">
        <f>(Hashtags!$L193+Hashtags!$N193)*100</f>
        <v>8.6555995183210044</v>
      </c>
    </row>
    <row r="194" spans="1:15" x14ac:dyDescent="0.25">
      <c r="A194" s="59" t="s">
        <v>146</v>
      </c>
      <c r="B194" s="59" t="s">
        <v>47</v>
      </c>
      <c r="C194" s="60">
        <v>45926</v>
      </c>
      <c r="D194" s="59" t="s">
        <v>39</v>
      </c>
      <c r="E194" s="59">
        <v>9043</v>
      </c>
      <c r="F194" s="59">
        <v>1192</v>
      </c>
      <c r="G194" s="59">
        <v>810</v>
      </c>
      <c r="H194" s="59">
        <v>1550</v>
      </c>
      <c r="I194" s="59">
        <v>5221</v>
      </c>
      <c r="J194" s="59">
        <v>199476</v>
      </c>
      <c r="K194" s="59" t="s">
        <v>23</v>
      </c>
      <c r="L194" s="61">
        <v>5.5370069582305642E-2</v>
      </c>
      <c r="M194" s="59" t="s">
        <v>37</v>
      </c>
      <c r="N194" s="61">
        <f>Hashtags!$H194/Hashtags!$J194</f>
        <v>7.7703583388477812E-3</v>
      </c>
      <c r="O194" s="65">
        <f>(Hashtags!$L194+Hashtags!$N194)*100</f>
        <v>6.3140427921153428</v>
      </c>
    </row>
    <row r="195" spans="1:15" x14ac:dyDescent="0.25">
      <c r="A195" s="62" t="s">
        <v>147</v>
      </c>
      <c r="B195" s="62" t="s">
        <v>47</v>
      </c>
      <c r="C195" s="63">
        <v>45927</v>
      </c>
      <c r="D195" s="62" t="s">
        <v>26</v>
      </c>
      <c r="E195" s="62">
        <v>18521</v>
      </c>
      <c r="F195" s="62">
        <v>1027</v>
      </c>
      <c r="G195" s="62">
        <v>230</v>
      </c>
      <c r="H195" s="62">
        <v>1247</v>
      </c>
      <c r="I195" s="62">
        <v>39588</v>
      </c>
      <c r="J195" s="62">
        <v>200928</v>
      </c>
      <c r="K195" s="62" t="s">
        <v>23</v>
      </c>
      <c r="L195" s="64">
        <v>9.8433269628921807E-2</v>
      </c>
      <c r="M195" s="62" t="s">
        <v>21</v>
      </c>
      <c r="N195" s="64">
        <f>Hashtags!$H195/Hashtags!$J195</f>
        <v>6.206203217072782E-3</v>
      </c>
      <c r="O195" s="66">
        <f>(Hashtags!$L195+Hashtags!$N195)*100</f>
        <v>10.46394728459946</v>
      </c>
    </row>
    <row r="196" spans="1:15" x14ac:dyDescent="0.25">
      <c r="A196" s="59" t="s">
        <v>147</v>
      </c>
      <c r="B196" s="59" t="s">
        <v>47</v>
      </c>
      <c r="C196" s="60">
        <v>45927</v>
      </c>
      <c r="D196" s="59" t="s">
        <v>26</v>
      </c>
      <c r="E196" s="59">
        <v>18521</v>
      </c>
      <c r="F196" s="59">
        <v>1027</v>
      </c>
      <c r="G196" s="59">
        <v>230</v>
      </c>
      <c r="H196" s="59">
        <v>1247</v>
      </c>
      <c r="I196" s="59">
        <v>39588</v>
      </c>
      <c r="J196" s="59">
        <v>200928</v>
      </c>
      <c r="K196" s="59" t="s">
        <v>23</v>
      </c>
      <c r="L196" s="61">
        <v>9.8433269628921807E-2</v>
      </c>
      <c r="M196" s="59" t="s">
        <v>22</v>
      </c>
      <c r="N196" s="61">
        <f>Hashtags!$H196/Hashtags!$J196</f>
        <v>6.206203217072782E-3</v>
      </c>
      <c r="O196" s="65">
        <f>(Hashtags!$L196+Hashtags!$N196)*100</f>
        <v>10.46394728459946</v>
      </c>
    </row>
    <row r="197" spans="1:15" x14ac:dyDescent="0.25">
      <c r="A197" s="62" t="s">
        <v>148</v>
      </c>
      <c r="B197" s="62" t="s">
        <v>20</v>
      </c>
      <c r="C197" s="63">
        <v>45739</v>
      </c>
      <c r="D197" s="62" t="s">
        <v>15</v>
      </c>
      <c r="E197" s="62">
        <v>24711</v>
      </c>
      <c r="F197" s="62">
        <v>882</v>
      </c>
      <c r="G197" s="62">
        <v>876</v>
      </c>
      <c r="H197" s="62">
        <v>2728</v>
      </c>
      <c r="I197" s="62">
        <v>32015</v>
      </c>
      <c r="J197" s="62">
        <v>180272</v>
      </c>
      <c r="K197" s="62" t="s">
        <v>34</v>
      </c>
      <c r="L197" s="64">
        <v>0.1468281263867933</v>
      </c>
      <c r="M197" s="62" t="s">
        <v>27</v>
      </c>
      <c r="N197" s="64">
        <f>Hashtags!$H197/Hashtags!$J197</f>
        <v>1.5132688382000532E-2</v>
      </c>
      <c r="O197" s="66">
        <f>(Hashtags!$L197+Hashtags!$N197)*100</f>
        <v>16.196081476879382</v>
      </c>
    </row>
    <row r="198" spans="1:15" x14ac:dyDescent="0.25">
      <c r="A198" s="59" t="s">
        <v>148</v>
      </c>
      <c r="B198" s="59" t="s">
        <v>20</v>
      </c>
      <c r="C198" s="60">
        <v>45739</v>
      </c>
      <c r="D198" s="59" t="s">
        <v>15</v>
      </c>
      <c r="E198" s="59">
        <v>24711</v>
      </c>
      <c r="F198" s="59">
        <v>882</v>
      </c>
      <c r="G198" s="59">
        <v>876</v>
      </c>
      <c r="H198" s="59">
        <v>2728</v>
      </c>
      <c r="I198" s="59">
        <v>32015</v>
      </c>
      <c r="J198" s="59">
        <v>180272</v>
      </c>
      <c r="K198" s="59" t="s">
        <v>34</v>
      </c>
      <c r="L198" s="61">
        <v>0.1468281263867933</v>
      </c>
      <c r="M198" s="59" t="s">
        <v>28</v>
      </c>
      <c r="N198" s="61">
        <f>Hashtags!$H198/Hashtags!$J198</f>
        <v>1.5132688382000532E-2</v>
      </c>
      <c r="O198" s="65">
        <f>(Hashtags!$L198+Hashtags!$N198)*100</f>
        <v>16.196081476879382</v>
      </c>
    </row>
    <row r="199" spans="1:15" x14ac:dyDescent="0.25">
      <c r="A199" s="62" t="s">
        <v>149</v>
      </c>
      <c r="B199" s="62" t="s">
        <v>47</v>
      </c>
      <c r="C199" s="63">
        <v>45457</v>
      </c>
      <c r="D199" s="62" t="s">
        <v>39</v>
      </c>
      <c r="E199" s="62">
        <v>21856</v>
      </c>
      <c r="F199" s="62">
        <v>1203</v>
      </c>
      <c r="G199" s="62">
        <v>634</v>
      </c>
      <c r="H199" s="62">
        <v>2807</v>
      </c>
      <c r="I199" s="62">
        <v>3647</v>
      </c>
      <c r="J199" s="62">
        <v>104178</v>
      </c>
      <c r="K199" s="62" t="s">
        <v>34</v>
      </c>
      <c r="L199" s="64">
        <v>0.22742805582752595</v>
      </c>
      <c r="M199" s="62" t="s">
        <v>48</v>
      </c>
      <c r="N199" s="64">
        <f>Hashtags!$H199/Hashtags!$J199</f>
        <v>2.6944268463591162E-2</v>
      </c>
      <c r="O199" s="66">
        <f>(Hashtags!$L199+Hashtags!$N199)*100</f>
        <v>25.43723242911171</v>
      </c>
    </row>
    <row r="200" spans="1:15" x14ac:dyDescent="0.25">
      <c r="A200" s="59" t="s">
        <v>149</v>
      </c>
      <c r="B200" s="59" t="s">
        <v>47</v>
      </c>
      <c r="C200" s="60">
        <v>45457</v>
      </c>
      <c r="D200" s="59" t="s">
        <v>39</v>
      </c>
      <c r="E200" s="59">
        <v>21856</v>
      </c>
      <c r="F200" s="59">
        <v>1203</v>
      </c>
      <c r="G200" s="59">
        <v>634</v>
      </c>
      <c r="H200" s="59">
        <v>2807</v>
      </c>
      <c r="I200" s="59">
        <v>3647</v>
      </c>
      <c r="J200" s="59">
        <v>104178</v>
      </c>
      <c r="K200" s="59" t="s">
        <v>34</v>
      </c>
      <c r="L200" s="61">
        <v>0.22742805582752595</v>
      </c>
      <c r="M200" s="59" t="s">
        <v>32</v>
      </c>
      <c r="N200" s="61">
        <f>Hashtags!$H200/Hashtags!$J200</f>
        <v>2.6944268463591162E-2</v>
      </c>
      <c r="O200" s="65">
        <f>(Hashtags!$L200+Hashtags!$N200)*100</f>
        <v>25.43723242911171</v>
      </c>
    </row>
    <row r="201" spans="1:15" x14ac:dyDescent="0.25">
      <c r="A201" s="62" t="s">
        <v>150</v>
      </c>
      <c r="B201" s="62" t="s">
        <v>47</v>
      </c>
      <c r="C201" s="63">
        <v>45692</v>
      </c>
      <c r="D201" s="62" t="s">
        <v>39</v>
      </c>
      <c r="E201" s="62">
        <v>23833</v>
      </c>
      <c r="F201" s="62">
        <v>555</v>
      </c>
      <c r="G201" s="62">
        <v>523</v>
      </c>
      <c r="H201" s="62">
        <v>1330</v>
      </c>
      <c r="I201" s="62">
        <v>69141</v>
      </c>
      <c r="J201" s="62">
        <v>73997</v>
      </c>
      <c r="K201" s="62" t="s">
        <v>34</v>
      </c>
      <c r="L201" s="64">
        <v>0.33664878305877266</v>
      </c>
      <c r="M201" s="62" t="s">
        <v>43</v>
      </c>
      <c r="N201" s="64">
        <f>Hashtags!$H201/Hashtags!$J201</f>
        <v>1.7973701636552833E-2</v>
      </c>
      <c r="O201" s="66">
        <f>(Hashtags!$L201+Hashtags!$N201)*100</f>
        <v>35.462248469532547</v>
      </c>
    </row>
    <row r="202" spans="1:15" x14ac:dyDescent="0.25">
      <c r="A202" s="59" t="s">
        <v>150</v>
      </c>
      <c r="B202" s="59" t="s">
        <v>47</v>
      </c>
      <c r="C202" s="60">
        <v>45692</v>
      </c>
      <c r="D202" s="59" t="s">
        <v>39</v>
      </c>
      <c r="E202" s="59">
        <v>23833</v>
      </c>
      <c r="F202" s="59">
        <v>555</v>
      </c>
      <c r="G202" s="59">
        <v>523</v>
      </c>
      <c r="H202" s="59">
        <v>1330</v>
      </c>
      <c r="I202" s="59">
        <v>69141</v>
      </c>
      <c r="J202" s="59">
        <v>73997</v>
      </c>
      <c r="K202" s="59" t="s">
        <v>34</v>
      </c>
      <c r="L202" s="61">
        <v>0.33664878305877266</v>
      </c>
      <c r="M202" s="59" t="s">
        <v>44</v>
      </c>
      <c r="N202" s="61">
        <f>Hashtags!$H202/Hashtags!$J202</f>
        <v>1.7973701636552833E-2</v>
      </c>
      <c r="O202" s="65">
        <f>(Hashtags!$L202+Hashtags!$N202)*100</f>
        <v>35.462248469532547</v>
      </c>
    </row>
    <row r="203" spans="1:15" x14ac:dyDescent="0.25">
      <c r="A203" s="62" t="s">
        <v>151</v>
      </c>
      <c r="B203" s="62" t="s">
        <v>47</v>
      </c>
      <c r="C203" s="63">
        <v>45464</v>
      </c>
      <c r="D203" s="62" t="s">
        <v>31</v>
      </c>
      <c r="E203" s="62">
        <v>21216</v>
      </c>
      <c r="F203" s="62">
        <v>1207</v>
      </c>
      <c r="G203" s="62">
        <v>859</v>
      </c>
      <c r="H203" s="62">
        <v>328</v>
      </c>
      <c r="I203" s="62">
        <v>91296</v>
      </c>
      <c r="J203" s="62">
        <v>196683</v>
      </c>
      <c r="K203" s="62" t="s">
        <v>29</v>
      </c>
      <c r="L203" s="64">
        <v>0.1183732198512327</v>
      </c>
      <c r="M203" s="62" t="s">
        <v>32</v>
      </c>
      <c r="N203" s="64">
        <f>Hashtags!$H203/Hashtags!$J203</f>
        <v>1.6676581097502072E-3</v>
      </c>
      <c r="O203" s="66">
        <f>(Hashtags!$L203+Hashtags!$N203)*100</f>
        <v>12.004087796098291</v>
      </c>
    </row>
    <row r="204" spans="1:15" x14ac:dyDescent="0.25">
      <c r="A204" s="59" t="s">
        <v>151</v>
      </c>
      <c r="B204" s="59" t="s">
        <v>47</v>
      </c>
      <c r="C204" s="60">
        <v>45464</v>
      </c>
      <c r="D204" s="59" t="s">
        <v>31</v>
      </c>
      <c r="E204" s="59">
        <v>21216</v>
      </c>
      <c r="F204" s="59">
        <v>1207</v>
      </c>
      <c r="G204" s="59">
        <v>859</v>
      </c>
      <c r="H204" s="59">
        <v>328</v>
      </c>
      <c r="I204" s="59">
        <v>91296</v>
      </c>
      <c r="J204" s="59">
        <v>196683</v>
      </c>
      <c r="K204" s="59" t="s">
        <v>29</v>
      </c>
      <c r="L204" s="61">
        <v>0.1183732198512327</v>
      </c>
      <c r="M204" s="59" t="s">
        <v>33</v>
      </c>
      <c r="N204" s="61">
        <f>Hashtags!$H204/Hashtags!$J204</f>
        <v>1.6676581097502072E-3</v>
      </c>
      <c r="O204" s="65">
        <f>(Hashtags!$L204+Hashtags!$N204)*100</f>
        <v>12.004087796098291</v>
      </c>
    </row>
    <row r="205" spans="1:15" x14ac:dyDescent="0.25">
      <c r="A205" s="62" t="s">
        <v>152</v>
      </c>
      <c r="B205" s="62" t="s">
        <v>20</v>
      </c>
      <c r="C205" s="63">
        <v>45928</v>
      </c>
      <c r="D205" s="62" t="s">
        <v>39</v>
      </c>
      <c r="E205" s="62">
        <v>21963</v>
      </c>
      <c r="F205" s="62">
        <v>1356</v>
      </c>
      <c r="G205" s="62">
        <v>349</v>
      </c>
      <c r="H205" s="62">
        <v>1206</v>
      </c>
      <c r="I205" s="62">
        <v>51755</v>
      </c>
      <c r="J205" s="62">
        <v>159273</v>
      </c>
      <c r="K205" s="62" t="s">
        <v>23</v>
      </c>
      <c r="L205" s="64">
        <v>0.14860020216860359</v>
      </c>
      <c r="M205" s="62" t="s">
        <v>43</v>
      </c>
      <c r="N205" s="64">
        <f>Hashtags!$H205/Hashtags!$J205</f>
        <v>7.5719048426286942E-3</v>
      </c>
      <c r="O205" s="66">
        <f>(Hashtags!$L205+Hashtags!$N205)*100</f>
        <v>15.617210701123231</v>
      </c>
    </row>
    <row r="206" spans="1:15" x14ac:dyDescent="0.25">
      <c r="A206" s="59" t="s">
        <v>152</v>
      </c>
      <c r="B206" s="59" t="s">
        <v>20</v>
      </c>
      <c r="C206" s="60">
        <v>45928</v>
      </c>
      <c r="D206" s="59" t="s">
        <v>39</v>
      </c>
      <c r="E206" s="59">
        <v>21963</v>
      </c>
      <c r="F206" s="59">
        <v>1356</v>
      </c>
      <c r="G206" s="59">
        <v>349</v>
      </c>
      <c r="H206" s="59">
        <v>1206</v>
      </c>
      <c r="I206" s="59">
        <v>51755</v>
      </c>
      <c r="J206" s="59">
        <v>159273</v>
      </c>
      <c r="K206" s="59" t="s">
        <v>23</v>
      </c>
      <c r="L206" s="61">
        <v>0.14860020216860359</v>
      </c>
      <c r="M206" s="59" t="s">
        <v>44</v>
      </c>
      <c r="N206" s="61">
        <f>Hashtags!$H206/Hashtags!$J206</f>
        <v>7.5719048426286942E-3</v>
      </c>
      <c r="O206" s="65">
        <f>(Hashtags!$L206+Hashtags!$N206)*100</f>
        <v>15.617210701123231</v>
      </c>
    </row>
    <row r="207" spans="1:15" x14ac:dyDescent="0.25">
      <c r="A207" s="62" t="s">
        <v>153</v>
      </c>
      <c r="B207" s="62" t="s">
        <v>47</v>
      </c>
      <c r="C207" s="63">
        <v>45512</v>
      </c>
      <c r="D207" s="62" t="s">
        <v>39</v>
      </c>
      <c r="E207" s="62">
        <v>24355</v>
      </c>
      <c r="F207" s="62">
        <v>1087</v>
      </c>
      <c r="G207" s="62">
        <v>686</v>
      </c>
      <c r="H207" s="62">
        <v>2426</v>
      </c>
      <c r="I207" s="62">
        <v>24963</v>
      </c>
      <c r="J207" s="62">
        <v>212307</v>
      </c>
      <c r="K207" s="62" t="s">
        <v>18</v>
      </c>
      <c r="L207" s="64">
        <v>0.1230670679723231</v>
      </c>
      <c r="M207" s="62" t="s">
        <v>43</v>
      </c>
      <c r="N207" s="64">
        <f>Hashtags!$H207/Hashtags!$J207</f>
        <v>1.1426848855666558E-2</v>
      </c>
      <c r="O207" s="66">
        <f>(Hashtags!$L207+Hashtags!$N207)*100</f>
        <v>13.449391682798966</v>
      </c>
    </row>
    <row r="208" spans="1:15" x14ac:dyDescent="0.25">
      <c r="A208" s="59" t="s">
        <v>153</v>
      </c>
      <c r="B208" s="59" t="s">
        <v>47</v>
      </c>
      <c r="C208" s="60">
        <v>45512</v>
      </c>
      <c r="D208" s="59" t="s">
        <v>39</v>
      </c>
      <c r="E208" s="59">
        <v>24355</v>
      </c>
      <c r="F208" s="59">
        <v>1087</v>
      </c>
      <c r="G208" s="59">
        <v>686</v>
      </c>
      <c r="H208" s="59">
        <v>2426</v>
      </c>
      <c r="I208" s="59">
        <v>24963</v>
      </c>
      <c r="J208" s="59">
        <v>212307</v>
      </c>
      <c r="K208" s="59" t="s">
        <v>18</v>
      </c>
      <c r="L208" s="61">
        <v>0.1230670679723231</v>
      </c>
      <c r="M208" s="59" t="s">
        <v>44</v>
      </c>
      <c r="N208" s="61">
        <f>Hashtags!$H208/Hashtags!$J208</f>
        <v>1.1426848855666558E-2</v>
      </c>
      <c r="O208" s="65">
        <f>(Hashtags!$L208+Hashtags!$N208)*100</f>
        <v>13.449391682798966</v>
      </c>
    </row>
    <row r="209" spans="1:15" x14ac:dyDescent="0.25">
      <c r="A209" s="62" t="s">
        <v>154</v>
      </c>
      <c r="B209" s="62" t="s">
        <v>14</v>
      </c>
      <c r="C209" s="63">
        <v>45502</v>
      </c>
      <c r="D209" s="62" t="s">
        <v>31</v>
      </c>
      <c r="E209" s="62">
        <v>6164</v>
      </c>
      <c r="F209" s="62">
        <v>326</v>
      </c>
      <c r="G209" s="62">
        <v>615</v>
      </c>
      <c r="H209" s="62">
        <v>2806</v>
      </c>
      <c r="I209" s="62">
        <v>38579</v>
      </c>
      <c r="J209" s="62">
        <v>206129</v>
      </c>
      <c r="K209" s="62" t="s">
        <v>52</v>
      </c>
      <c r="L209" s="64">
        <v>3.4468706489625425E-2</v>
      </c>
      <c r="M209" s="62" t="s">
        <v>43</v>
      </c>
      <c r="N209" s="64">
        <f>Hashtags!$H209/Hashtags!$J209</f>
        <v>1.3612834681194785E-2</v>
      </c>
      <c r="O209" s="66">
        <f>(Hashtags!$L209+Hashtags!$N209)*100</f>
        <v>4.8081541170820215</v>
      </c>
    </row>
    <row r="210" spans="1:15" x14ac:dyDescent="0.25">
      <c r="A210" s="59" t="s">
        <v>154</v>
      </c>
      <c r="B210" s="59" t="s">
        <v>14</v>
      </c>
      <c r="C210" s="60">
        <v>45502</v>
      </c>
      <c r="D210" s="59" t="s">
        <v>31</v>
      </c>
      <c r="E210" s="59">
        <v>6164</v>
      </c>
      <c r="F210" s="59">
        <v>326</v>
      </c>
      <c r="G210" s="59">
        <v>615</v>
      </c>
      <c r="H210" s="59">
        <v>2806</v>
      </c>
      <c r="I210" s="59">
        <v>38579</v>
      </c>
      <c r="J210" s="59">
        <v>206129</v>
      </c>
      <c r="K210" s="59" t="s">
        <v>52</v>
      </c>
      <c r="L210" s="61">
        <v>3.4468706489625425E-2</v>
      </c>
      <c r="M210" s="59" t="s">
        <v>44</v>
      </c>
      <c r="N210" s="61">
        <f>Hashtags!$H210/Hashtags!$J210</f>
        <v>1.3612834681194785E-2</v>
      </c>
      <c r="O210" s="65">
        <f>(Hashtags!$L210+Hashtags!$N210)*100</f>
        <v>4.8081541170820215</v>
      </c>
    </row>
    <row r="211" spans="1:15" x14ac:dyDescent="0.25">
      <c r="A211" s="62" t="s">
        <v>155</v>
      </c>
      <c r="B211" s="62" t="s">
        <v>20</v>
      </c>
      <c r="C211" s="63">
        <v>45619</v>
      </c>
      <c r="D211" s="62" t="s">
        <v>26</v>
      </c>
      <c r="E211" s="62">
        <v>9941</v>
      </c>
      <c r="F211" s="62">
        <v>1329</v>
      </c>
      <c r="G211" s="62">
        <v>238</v>
      </c>
      <c r="H211" s="62">
        <v>869</v>
      </c>
      <c r="I211" s="62">
        <v>40281</v>
      </c>
      <c r="J211" s="62">
        <v>172311</v>
      </c>
      <c r="K211" s="62" t="s">
        <v>29</v>
      </c>
      <c r="L211" s="64">
        <v>6.6786217943137702E-2</v>
      </c>
      <c r="M211" s="62" t="s">
        <v>37</v>
      </c>
      <c r="N211" s="64">
        <f>Hashtags!$H211/Hashtags!$J211</f>
        <v>5.043206759870235E-3</v>
      </c>
      <c r="O211" s="66">
        <f>(Hashtags!$L211+Hashtags!$N211)*100</f>
        <v>7.1829424703007936</v>
      </c>
    </row>
    <row r="212" spans="1:15" x14ac:dyDescent="0.25">
      <c r="A212" s="59" t="s">
        <v>156</v>
      </c>
      <c r="B212" s="59" t="s">
        <v>14</v>
      </c>
      <c r="C212" s="60">
        <v>45570</v>
      </c>
      <c r="D212" s="59" t="s">
        <v>39</v>
      </c>
      <c r="E212" s="59">
        <v>16388</v>
      </c>
      <c r="F212" s="59">
        <v>1208</v>
      </c>
      <c r="G212" s="59">
        <v>417</v>
      </c>
      <c r="H212" s="59">
        <v>2306</v>
      </c>
      <c r="I212" s="59">
        <v>16865</v>
      </c>
      <c r="J212" s="59">
        <v>236733</v>
      </c>
      <c r="K212" s="59" t="s">
        <v>18</v>
      </c>
      <c r="L212" s="61">
        <v>7.6089940988370866E-2</v>
      </c>
      <c r="M212" s="59" t="s">
        <v>21</v>
      </c>
      <c r="N212" s="61">
        <f>Hashtags!$H212/Hashtags!$J212</f>
        <v>9.7409317670117818E-3</v>
      </c>
      <c r="O212" s="65">
        <f>(Hashtags!$L212+Hashtags!$N212)*100</f>
        <v>8.583087275538265</v>
      </c>
    </row>
    <row r="213" spans="1:15" x14ac:dyDescent="0.25">
      <c r="A213" s="62" t="s">
        <v>156</v>
      </c>
      <c r="B213" s="62" t="s">
        <v>14</v>
      </c>
      <c r="C213" s="63">
        <v>45570</v>
      </c>
      <c r="D213" s="62" t="s">
        <v>39</v>
      </c>
      <c r="E213" s="62">
        <v>16388</v>
      </c>
      <c r="F213" s="62">
        <v>1208</v>
      </c>
      <c r="G213" s="62">
        <v>417</v>
      </c>
      <c r="H213" s="62">
        <v>2306</v>
      </c>
      <c r="I213" s="62">
        <v>16865</v>
      </c>
      <c r="J213" s="62">
        <v>236733</v>
      </c>
      <c r="K213" s="62" t="s">
        <v>18</v>
      </c>
      <c r="L213" s="64">
        <v>7.6089940988370866E-2</v>
      </c>
      <c r="M213" s="62" t="s">
        <v>22</v>
      </c>
      <c r="N213" s="64">
        <f>Hashtags!$H213/Hashtags!$J213</f>
        <v>9.7409317670117818E-3</v>
      </c>
      <c r="O213" s="66">
        <f>(Hashtags!$L213+Hashtags!$N213)*100</f>
        <v>8.583087275538265</v>
      </c>
    </row>
    <row r="214" spans="1:15" x14ac:dyDescent="0.25">
      <c r="A214" s="59" t="s">
        <v>157</v>
      </c>
      <c r="B214" s="59" t="s">
        <v>20</v>
      </c>
      <c r="C214" s="60">
        <v>45929</v>
      </c>
      <c r="D214" s="59" t="s">
        <v>31</v>
      </c>
      <c r="E214" s="59">
        <v>7569</v>
      </c>
      <c r="F214" s="59">
        <v>803</v>
      </c>
      <c r="G214" s="59">
        <v>804</v>
      </c>
      <c r="H214" s="59">
        <v>1753</v>
      </c>
      <c r="I214" s="59">
        <v>43582</v>
      </c>
      <c r="J214" s="59">
        <v>166945</v>
      </c>
      <c r="K214" s="59" t="s">
        <v>23</v>
      </c>
      <c r="L214" s="61">
        <v>5.4964209769684629E-2</v>
      </c>
      <c r="M214" s="59" t="s">
        <v>62</v>
      </c>
      <c r="N214" s="61">
        <f>Hashtags!$H214/Hashtags!$J214</f>
        <v>1.0500464224744677E-2</v>
      </c>
      <c r="O214" s="65">
        <f>(Hashtags!$L214+Hashtags!$N214)*100</f>
        <v>6.5464673994429301</v>
      </c>
    </row>
    <row r="215" spans="1:15" x14ac:dyDescent="0.25">
      <c r="A215" s="62" t="s">
        <v>157</v>
      </c>
      <c r="B215" s="62" t="s">
        <v>20</v>
      </c>
      <c r="C215" s="63">
        <v>45929</v>
      </c>
      <c r="D215" s="62" t="s">
        <v>31</v>
      </c>
      <c r="E215" s="62">
        <v>7569</v>
      </c>
      <c r="F215" s="62">
        <v>803</v>
      </c>
      <c r="G215" s="62">
        <v>804</v>
      </c>
      <c r="H215" s="62">
        <v>1753</v>
      </c>
      <c r="I215" s="62">
        <v>43582</v>
      </c>
      <c r="J215" s="62">
        <v>166945</v>
      </c>
      <c r="K215" s="62" t="s">
        <v>23</v>
      </c>
      <c r="L215" s="64">
        <v>5.4964209769684629E-2</v>
      </c>
      <c r="M215" s="62" t="s">
        <v>37</v>
      </c>
      <c r="N215" s="64">
        <f>Hashtags!$H215/Hashtags!$J215</f>
        <v>1.0500464224744677E-2</v>
      </c>
      <c r="O215" s="66">
        <f>(Hashtags!$L215+Hashtags!$N215)*100</f>
        <v>6.5464673994429301</v>
      </c>
    </row>
    <row r="216" spans="1:15" x14ac:dyDescent="0.25">
      <c r="A216" s="59" t="s">
        <v>158</v>
      </c>
      <c r="B216" s="59" t="s">
        <v>47</v>
      </c>
      <c r="C216" s="60">
        <v>45610</v>
      </c>
      <c r="D216" s="59" t="s">
        <v>15</v>
      </c>
      <c r="E216" s="59">
        <v>6300</v>
      </c>
      <c r="F216" s="59">
        <v>1213</v>
      </c>
      <c r="G216" s="59">
        <v>720</v>
      </c>
      <c r="H216" s="59">
        <v>1037</v>
      </c>
      <c r="I216" s="59">
        <v>39569</v>
      </c>
      <c r="J216" s="59">
        <v>85272</v>
      </c>
      <c r="K216" s="59" t="s">
        <v>34</v>
      </c>
      <c r="L216" s="61">
        <v>9.6549863964724647E-2</v>
      </c>
      <c r="M216" s="59" t="s">
        <v>27</v>
      </c>
      <c r="N216" s="61">
        <f>Hashtags!$H216/Hashtags!$J216</f>
        <v>1.2161084529505583E-2</v>
      </c>
      <c r="O216" s="65">
        <f>(Hashtags!$L216+Hashtags!$N216)*100</f>
        <v>10.871094849423022</v>
      </c>
    </row>
    <row r="217" spans="1:15" x14ac:dyDescent="0.25">
      <c r="A217" s="62" t="s">
        <v>158</v>
      </c>
      <c r="B217" s="62" t="s">
        <v>47</v>
      </c>
      <c r="C217" s="63">
        <v>45610</v>
      </c>
      <c r="D217" s="62" t="s">
        <v>15</v>
      </c>
      <c r="E217" s="62">
        <v>6300</v>
      </c>
      <c r="F217" s="62">
        <v>1213</v>
      </c>
      <c r="G217" s="62">
        <v>720</v>
      </c>
      <c r="H217" s="62">
        <v>1037</v>
      </c>
      <c r="I217" s="62">
        <v>39569</v>
      </c>
      <c r="J217" s="62">
        <v>85272</v>
      </c>
      <c r="K217" s="62" t="s">
        <v>34</v>
      </c>
      <c r="L217" s="64">
        <v>9.6549863964724647E-2</v>
      </c>
      <c r="M217" s="62" t="s">
        <v>28</v>
      </c>
      <c r="N217" s="64">
        <f>Hashtags!$H217/Hashtags!$J217</f>
        <v>1.2161084529505583E-2</v>
      </c>
      <c r="O217" s="66">
        <f>(Hashtags!$L217+Hashtags!$N217)*100</f>
        <v>10.871094849423022</v>
      </c>
    </row>
    <row r="218" spans="1:15" x14ac:dyDescent="0.25">
      <c r="A218" s="59" t="s">
        <v>159</v>
      </c>
      <c r="B218" s="59" t="s">
        <v>14</v>
      </c>
      <c r="C218" s="60">
        <v>45930</v>
      </c>
      <c r="D218" s="59" t="s">
        <v>26</v>
      </c>
      <c r="E218" s="59">
        <v>8269</v>
      </c>
      <c r="F218" s="59">
        <v>250</v>
      </c>
      <c r="G218" s="59">
        <v>638</v>
      </c>
      <c r="H218" s="59">
        <v>815</v>
      </c>
      <c r="I218" s="59">
        <v>41991</v>
      </c>
      <c r="J218" s="59">
        <v>129393</v>
      </c>
      <c r="K218" s="59" t="s">
        <v>23</v>
      </c>
      <c r="L218" s="61">
        <v>7.0768897853825175E-2</v>
      </c>
      <c r="M218" s="59" t="s">
        <v>16</v>
      </c>
      <c r="N218" s="61">
        <f>Hashtags!$H218/Hashtags!$J218</f>
        <v>6.2986405756107365E-3</v>
      </c>
      <c r="O218" s="65">
        <f>(Hashtags!$L218+Hashtags!$N218)*100</f>
        <v>7.7067538429435904</v>
      </c>
    </row>
    <row r="219" spans="1:15" x14ac:dyDescent="0.25">
      <c r="A219" s="62" t="s">
        <v>159</v>
      </c>
      <c r="B219" s="62" t="s">
        <v>14</v>
      </c>
      <c r="C219" s="63">
        <v>45930</v>
      </c>
      <c r="D219" s="62" t="s">
        <v>26</v>
      </c>
      <c r="E219" s="62">
        <v>8269</v>
      </c>
      <c r="F219" s="62">
        <v>250</v>
      </c>
      <c r="G219" s="62">
        <v>638</v>
      </c>
      <c r="H219" s="62">
        <v>815</v>
      </c>
      <c r="I219" s="62">
        <v>41991</v>
      </c>
      <c r="J219" s="62">
        <v>129393</v>
      </c>
      <c r="K219" s="62" t="s">
        <v>23</v>
      </c>
      <c r="L219" s="64">
        <v>7.0768897853825175E-2</v>
      </c>
      <c r="M219" s="62" t="s">
        <v>17</v>
      </c>
      <c r="N219" s="64">
        <f>Hashtags!$H219/Hashtags!$J219</f>
        <v>6.2986405756107365E-3</v>
      </c>
      <c r="O219" s="66">
        <f>(Hashtags!$L219+Hashtags!$N219)*100</f>
        <v>7.7067538429435904</v>
      </c>
    </row>
    <row r="220" spans="1:15" x14ac:dyDescent="0.25">
      <c r="A220" s="59" t="s">
        <v>160</v>
      </c>
      <c r="B220" s="59" t="s">
        <v>20</v>
      </c>
      <c r="C220" s="60">
        <v>45734</v>
      </c>
      <c r="D220" s="59" t="s">
        <v>15</v>
      </c>
      <c r="E220" s="59">
        <v>5818</v>
      </c>
      <c r="F220" s="59">
        <v>1252</v>
      </c>
      <c r="G220" s="59">
        <v>687</v>
      </c>
      <c r="H220" s="59">
        <v>2300</v>
      </c>
      <c r="I220" s="59">
        <v>25081</v>
      </c>
      <c r="J220" s="59">
        <v>101212</v>
      </c>
      <c r="K220" s="59" t="s">
        <v>52</v>
      </c>
      <c r="L220" s="61">
        <v>7.6641109749832043E-2</v>
      </c>
      <c r="M220" s="59" t="s">
        <v>43</v>
      </c>
      <c r="N220" s="61">
        <f>Hashtags!$H220/Hashtags!$J220</f>
        <v>2.27245781132672E-2</v>
      </c>
      <c r="O220" s="65">
        <f>(Hashtags!$L220+Hashtags!$N220)*100</f>
        <v>9.9365687863099232</v>
      </c>
    </row>
    <row r="221" spans="1:15" x14ac:dyDescent="0.25">
      <c r="A221" s="62" t="s">
        <v>160</v>
      </c>
      <c r="B221" s="62" t="s">
        <v>20</v>
      </c>
      <c r="C221" s="63">
        <v>45734</v>
      </c>
      <c r="D221" s="62" t="s">
        <v>15</v>
      </c>
      <c r="E221" s="62">
        <v>5818</v>
      </c>
      <c r="F221" s="62">
        <v>1252</v>
      </c>
      <c r="G221" s="62">
        <v>687</v>
      </c>
      <c r="H221" s="62">
        <v>2300</v>
      </c>
      <c r="I221" s="62">
        <v>25081</v>
      </c>
      <c r="J221" s="62">
        <v>101212</v>
      </c>
      <c r="K221" s="62" t="s">
        <v>52</v>
      </c>
      <c r="L221" s="64">
        <v>7.6641109749832043E-2</v>
      </c>
      <c r="M221" s="62" t="s">
        <v>44</v>
      </c>
      <c r="N221" s="64">
        <f>Hashtags!$H221/Hashtags!$J221</f>
        <v>2.27245781132672E-2</v>
      </c>
      <c r="O221" s="66">
        <f>(Hashtags!$L221+Hashtags!$N221)*100</f>
        <v>9.9365687863099232</v>
      </c>
    </row>
    <row r="222" spans="1:15" x14ac:dyDescent="0.25">
      <c r="A222" s="59" t="s">
        <v>161</v>
      </c>
      <c r="B222" s="59" t="s">
        <v>25</v>
      </c>
      <c r="C222" s="60">
        <v>45600</v>
      </c>
      <c r="D222" s="59" t="s">
        <v>15</v>
      </c>
      <c r="E222" s="59">
        <v>14015</v>
      </c>
      <c r="F222" s="59">
        <v>978</v>
      </c>
      <c r="G222" s="59">
        <v>196</v>
      </c>
      <c r="H222" s="59">
        <v>2744</v>
      </c>
      <c r="I222" s="59">
        <v>20190</v>
      </c>
      <c r="J222" s="59">
        <v>186470</v>
      </c>
      <c r="K222" s="59" t="s">
        <v>29</v>
      </c>
      <c r="L222" s="61">
        <v>8.1455462004611998E-2</v>
      </c>
      <c r="M222" s="59" t="s">
        <v>32</v>
      </c>
      <c r="N222" s="61">
        <f>Hashtags!$H222/Hashtags!$J222</f>
        <v>1.4715503834396954E-2</v>
      </c>
      <c r="O222" s="65">
        <f>(Hashtags!$L222+Hashtags!$N222)*100</f>
        <v>9.6170965839008957</v>
      </c>
    </row>
    <row r="223" spans="1:15" x14ac:dyDescent="0.25">
      <c r="A223" s="62" t="s">
        <v>161</v>
      </c>
      <c r="B223" s="62" t="s">
        <v>25</v>
      </c>
      <c r="C223" s="63">
        <v>45600</v>
      </c>
      <c r="D223" s="62" t="s">
        <v>15</v>
      </c>
      <c r="E223" s="62">
        <v>14015</v>
      </c>
      <c r="F223" s="62">
        <v>978</v>
      </c>
      <c r="G223" s="62">
        <v>196</v>
      </c>
      <c r="H223" s="62">
        <v>2744</v>
      </c>
      <c r="I223" s="62">
        <v>20190</v>
      </c>
      <c r="J223" s="62">
        <v>186470</v>
      </c>
      <c r="K223" s="62" t="s">
        <v>29</v>
      </c>
      <c r="L223" s="64">
        <v>8.1455462004611998E-2</v>
      </c>
      <c r="M223" s="62" t="s">
        <v>57</v>
      </c>
      <c r="N223" s="64">
        <f>Hashtags!$H223/Hashtags!$J223</f>
        <v>1.4715503834396954E-2</v>
      </c>
      <c r="O223" s="66">
        <f>(Hashtags!$L223+Hashtags!$N223)*100</f>
        <v>9.6170965839008957</v>
      </c>
    </row>
    <row r="224" spans="1:15" x14ac:dyDescent="0.25">
      <c r="A224" s="59" t="s">
        <v>162</v>
      </c>
      <c r="B224" s="59" t="s">
        <v>47</v>
      </c>
      <c r="C224" s="60">
        <v>45600</v>
      </c>
      <c r="D224" s="59" t="s">
        <v>31</v>
      </c>
      <c r="E224" s="59">
        <v>14234</v>
      </c>
      <c r="F224" s="59">
        <v>1013</v>
      </c>
      <c r="G224" s="59">
        <v>437</v>
      </c>
      <c r="H224" s="59">
        <v>338</v>
      </c>
      <c r="I224" s="59">
        <v>67754</v>
      </c>
      <c r="J224" s="59">
        <v>160030</v>
      </c>
      <c r="K224" s="59" t="s">
        <v>29</v>
      </c>
      <c r="L224" s="61">
        <v>9.8006623758045364E-2</v>
      </c>
      <c r="M224" s="59" t="s">
        <v>37</v>
      </c>
      <c r="N224" s="61">
        <f>Hashtags!$H224/Hashtags!$J224</f>
        <v>2.1121039805036554E-3</v>
      </c>
      <c r="O224" s="65">
        <f>(Hashtags!$L224+Hashtags!$N224)*100</f>
        <v>10.011872773854902</v>
      </c>
    </row>
    <row r="225" spans="1:15" x14ac:dyDescent="0.25">
      <c r="A225" s="62" t="s">
        <v>163</v>
      </c>
      <c r="B225" s="62" t="s">
        <v>20</v>
      </c>
      <c r="C225" s="63">
        <v>45695</v>
      </c>
      <c r="D225" s="62" t="s">
        <v>39</v>
      </c>
      <c r="E225" s="62">
        <v>20290</v>
      </c>
      <c r="F225" s="62">
        <v>619</v>
      </c>
      <c r="G225" s="62">
        <v>927</v>
      </c>
      <c r="H225" s="62">
        <v>1186</v>
      </c>
      <c r="I225" s="62">
        <v>8924</v>
      </c>
      <c r="J225" s="62">
        <v>96503</v>
      </c>
      <c r="K225" s="62" t="s">
        <v>52</v>
      </c>
      <c r="L225" s="64">
        <v>0.22627275835984373</v>
      </c>
      <c r="M225" s="62" t="s">
        <v>122</v>
      </c>
      <c r="N225" s="64">
        <f>Hashtags!$H225/Hashtags!$J225</f>
        <v>1.2289773374920987E-2</v>
      </c>
      <c r="O225" s="66">
        <f>(Hashtags!$L225+Hashtags!$N225)*100</f>
        <v>23.856253173476471</v>
      </c>
    </row>
    <row r="226" spans="1:15" x14ac:dyDescent="0.25">
      <c r="A226" s="59" t="s">
        <v>163</v>
      </c>
      <c r="B226" s="59" t="s">
        <v>20</v>
      </c>
      <c r="C226" s="60">
        <v>45695</v>
      </c>
      <c r="D226" s="59" t="s">
        <v>39</v>
      </c>
      <c r="E226" s="59">
        <v>20290</v>
      </c>
      <c r="F226" s="59">
        <v>619</v>
      </c>
      <c r="G226" s="59">
        <v>927</v>
      </c>
      <c r="H226" s="59">
        <v>1186</v>
      </c>
      <c r="I226" s="59">
        <v>8924</v>
      </c>
      <c r="J226" s="59">
        <v>96503</v>
      </c>
      <c r="K226" s="59" t="s">
        <v>52</v>
      </c>
      <c r="L226" s="61">
        <v>0.22627275835984373</v>
      </c>
      <c r="M226" s="59" t="s">
        <v>123</v>
      </c>
      <c r="N226" s="61">
        <f>Hashtags!$H226/Hashtags!$J226</f>
        <v>1.2289773374920987E-2</v>
      </c>
      <c r="O226" s="65">
        <f>(Hashtags!$L226+Hashtags!$N226)*100</f>
        <v>23.856253173476471</v>
      </c>
    </row>
    <row r="227" spans="1:15" x14ac:dyDescent="0.25">
      <c r="A227" s="62" t="s">
        <v>164</v>
      </c>
      <c r="B227" s="62" t="s">
        <v>25</v>
      </c>
      <c r="C227" s="63">
        <v>45586</v>
      </c>
      <c r="D227" s="62" t="s">
        <v>31</v>
      </c>
      <c r="E227" s="62">
        <v>8254</v>
      </c>
      <c r="F227" s="62">
        <v>1405</v>
      </c>
      <c r="G227" s="62">
        <v>165</v>
      </c>
      <c r="H227" s="62">
        <v>2504</v>
      </c>
      <c r="I227" s="62">
        <v>8081</v>
      </c>
      <c r="J227" s="62">
        <v>177710</v>
      </c>
      <c r="K227" s="62" t="s">
        <v>18</v>
      </c>
      <c r="L227" s="64">
        <v>5.5281075910190762E-2</v>
      </c>
      <c r="M227" s="62" t="s">
        <v>32</v>
      </c>
      <c r="N227" s="64">
        <f>Hashtags!$H227/Hashtags!$J227</f>
        <v>1.409037195430758E-2</v>
      </c>
      <c r="O227" s="66">
        <f>(Hashtags!$L227+Hashtags!$N227)*100</f>
        <v>6.9371447864498332</v>
      </c>
    </row>
    <row r="228" spans="1:15" x14ac:dyDescent="0.25">
      <c r="A228" s="59" t="s">
        <v>164</v>
      </c>
      <c r="B228" s="59" t="s">
        <v>25</v>
      </c>
      <c r="C228" s="60">
        <v>45586</v>
      </c>
      <c r="D228" s="59" t="s">
        <v>31</v>
      </c>
      <c r="E228" s="59">
        <v>8254</v>
      </c>
      <c r="F228" s="59">
        <v>1405</v>
      </c>
      <c r="G228" s="59">
        <v>165</v>
      </c>
      <c r="H228" s="59">
        <v>2504</v>
      </c>
      <c r="I228" s="59">
        <v>8081</v>
      </c>
      <c r="J228" s="59">
        <v>177710</v>
      </c>
      <c r="K228" s="59" t="s">
        <v>18</v>
      </c>
      <c r="L228" s="61">
        <v>5.5281075910190762E-2</v>
      </c>
      <c r="M228" s="59" t="s">
        <v>33</v>
      </c>
      <c r="N228" s="61">
        <f>Hashtags!$H228/Hashtags!$J228</f>
        <v>1.409037195430758E-2</v>
      </c>
      <c r="O228" s="65">
        <f>(Hashtags!$L228+Hashtags!$N228)*100</f>
        <v>6.9371447864498332</v>
      </c>
    </row>
    <row r="229" spans="1:15" x14ac:dyDescent="0.25">
      <c r="A229" s="62" t="s">
        <v>165</v>
      </c>
      <c r="B229" s="62" t="s">
        <v>20</v>
      </c>
      <c r="C229" s="63">
        <v>45502</v>
      </c>
      <c r="D229" s="62" t="s">
        <v>31</v>
      </c>
      <c r="E229" s="62">
        <v>19144</v>
      </c>
      <c r="F229" s="62">
        <v>1182</v>
      </c>
      <c r="G229" s="62">
        <v>860</v>
      </c>
      <c r="H229" s="62">
        <v>1398</v>
      </c>
      <c r="I229" s="62">
        <v>4185</v>
      </c>
      <c r="J229" s="62">
        <v>46570</v>
      </c>
      <c r="K229" s="62" t="s">
        <v>18</v>
      </c>
      <c r="L229" s="64">
        <v>0.454928065278076</v>
      </c>
      <c r="M229" s="62" t="s">
        <v>16</v>
      </c>
      <c r="N229" s="64">
        <f>Hashtags!$H229/Hashtags!$J229</f>
        <v>3.0019325746188534E-2</v>
      </c>
      <c r="O229" s="66">
        <f>(Hashtags!$L229+Hashtags!$N229)*100</f>
        <v>48.49473910242645</v>
      </c>
    </row>
    <row r="230" spans="1:15" x14ac:dyDescent="0.25">
      <c r="A230" s="59" t="s">
        <v>165</v>
      </c>
      <c r="B230" s="59" t="s">
        <v>20</v>
      </c>
      <c r="C230" s="60">
        <v>45502</v>
      </c>
      <c r="D230" s="59" t="s">
        <v>31</v>
      </c>
      <c r="E230" s="59">
        <v>19144</v>
      </c>
      <c r="F230" s="59">
        <v>1182</v>
      </c>
      <c r="G230" s="59">
        <v>860</v>
      </c>
      <c r="H230" s="59">
        <v>1398</v>
      </c>
      <c r="I230" s="59">
        <v>4185</v>
      </c>
      <c r="J230" s="59">
        <v>46570</v>
      </c>
      <c r="K230" s="59" t="s">
        <v>18</v>
      </c>
      <c r="L230" s="61">
        <v>0.454928065278076</v>
      </c>
      <c r="M230" s="59" t="s">
        <v>17</v>
      </c>
      <c r="N230" s="61">
        <f>Hashtags!$H230/Hashtags!$J230</f>
        <v>3.0019325746188534E-2</v>
      </c>
      <c r="O230" s="65">
        <f>(Hashtags!$L230+Hashtags!$N230)*100</f>
        <v>48.49473910242645</v>
      </c>
    </row>
    <row r="231" spans="1:15" x14ac:dyDescent="0.25">
      <c r="A231" s="62" t="s">
        <v>166</v>
      </c>
      <c r="B231" s="62" t="s">
        <v>25</v>
      </c>
      <c r="C231" s="63">
        <v>45567</v>
      </c>
      <c r="D231" s="62" t="s">
        <v>31</v>
      </c>
      <c r="E231" s="62">
        <v>9350</v>
      </c>
      <c r="F231" s="62">
        <v>1024</v>
      </c>
      <c r="G231" s="62">
        <v>550</v>
      </c>
      <c r="H231" s="62">
        <v>2123</v>
      </c>
      <c r="I231" s="62">
        <v>53916</v>
      </c>
      <c r="J231" s="62">
        <v>108785</v>
      </c>
      <c r="K231" s="62" t="s">
        <v>29</v>
      </c>
      <c r="L231" s="64">
        <v>0.10041825619340902</v>
      </c>
      <c r="M231" s="62" t="s">
        <v>62</v>
      </c>
      <c r="N231" s="64">
        <f>Hashtags!$H231/Hashtags!$J231</f>
        <v>1.9515558211150433E-2</v>
      </c>
      <c r="O231" s="66">
        <f>(Hashtags!$L231+Hashtags!$N231)*100</f>
        <v>11.993381440455945</v>
      </c>
    </row>
    <row r="232" spans="1:15" x14ac:dyDescent="0.25">
      <c r="A232" s="59" t="s">
        <v>166</v>
      </c>
      <c r="B232" s="59" t="s">
        <v>25</v>
      </c>
      <c r="C232" s="60">
        <v>45567</v>
      </c>
      <c r="D232" s="59" t="s">
        <v>31</v>
      </c>
      <c r="E232" s="59">
        <v>9350</v>
      </c>
      <c r="F232" s="59">
        <v>1024</v>
      </c>
      <c r="G232" s="59">
        <v>550</v>
      </c>
      <c r="H232" s="59">
        <v>2123</v>
      </c>
      <c r="I232" s="59">
        <v>53916</v>
      </c>
      <c r="J232" s="59">
        <v>108785</v>
      </c>
      <c r="K232" s="59" t="s">
        <v>29</v>
      </c>
      <c r="L232" s="61">
        <v>0.10041825619340902</v>
      </c>
      <c r="M232" s="59" t="s">
        <v>37</v>
      </c>
      <c r="N232" s="61">
        <f>Hashtags!$H232/Hashtags!$J232</f>
        <v>1.9515558211150433E-2</v>
      </c>
      <c r="O232" s="65">
        <f>(Hashtags!$L232+Hashtags!$N232)*100</f>
        <v>11.993381440455945</v>
      </c>
    </row>
    <row r="233" spans="1:15" x14ac:dyDescent="0.25">
      <c r="A233" s="62" t="s">
        <v>167</v>
      </c>
      <c r="B233" s="62" t="s">
        <v>47</v>
      </c>
      <c r="C233" s="63">
        <v>45457</v>
      </c>
      <c r="D233" s="62" t="s">
        <v>31</v>
      </c>
      <c r="E233" s="62">
        <v>17183</v>
      </c>
      <c r="F233" s="62">
        <v>1224</v>
      </c>
      <c r="G233" s="62">
        <v>943</v>
      </c>
      <c r="H233" s="62">
        <v>2010</v>
      </c>
      <c r="I233" s="62">
        <v>21481</v>
      </c>
      <c r="J233" s="62">
        <v>49110</v>
      </c>
      <c r="K233" s="62" t="s">
        <v>29</v>
      </c>
      <c r="L233" s="64">
        <v>0.39401343921808185</v>
      </c>
      <c r="M233" s="62" t="s">
        <v>32</v>
      </c>
      <c r="N233" s="64">
        <f>Hashtags!$H233/Hashtags!$J233</f>
        <v>4.092852779474649E-2</v>
      </c>
      <c r="O233" s="66">
        <f>(Hashtags!$L233+Hashtags!$N233)*100</f>
        <v>43.494196701282831</v>
      </c>
    </row>
    <row r="234" spans="1:15" x14ac:dyDescent="0.25">
      <c r="A234" s="59" t="s">
        <v>167</v>
      </c>
      <c r="B234" s="59" t="s">
        <v>47</v>
      </c>
      <c r="C234" s="60">
        <v>45457</v>
      </c>
      <c r="D234" s="59" t="s">
        <v>31</v>
      </c>
      <c r="E234" s="59">
        <v>17183</v>
      </c>
      <c r="F234" s="59">
        <v>1224</v>
      </c>
      <c r="G234" s="59">
        <v>943</v>
      </c>
      <c r="H234" s="59">
        <v>2010</v>
      </c>
      <c r="I234" s="59">
        <v>21481</v>
      </c>
      <c r="J234" s="59">
        <v>49110</v>
      </c>
      <c r="K234" s="59" t="s">
        <v>29</v>
      </c>
      <c r="L234" s="61">
        <v>0.39401343921808185</v>
      </c>
      <c r="M234" s="59" t="s">
        <v>57</v>
      </c>
      <c r="N234" s="61">
        <f>Hashtags!$H234/Hashtags!$J234</f>
        <v>4.092852779474649E-2</v>
      </c>
      <c r="O234" s="65">
        <f>(Hashtags!$L234+Hashtags!$N234)*100</f>
        <v>43.494196701282831</v>
      </c>
    </row>
    <row r="235" spans="1:15" x14ac:dyDescent="0.25">
      <c r="A235" s="62" t="s">
        <v>168</v>
      </c>
      <c r="B235" s="62" t="s">
        <v>14</v>
      </c>
      <c r="C235" s="63">
        <v>45753</v>
      </c>
      <c r="D235" s="62" t="s">
        <v>26</v>
      </c>
      <c r="E235" s="62">
        <v>8238</v>
      </c>
      <c r="F235" s="62">
        <v>766</v>
      </c>
      <c r="G235" s="62">
        <v>235</v>
      </c>
      <c r="H235" s="62">
        <v>1273</v>
      </c>
      <c r="I235" s="62">
        <v>4706</v>
      </c>
      <c r="J235" s="62">
        <v>119141</v>
      </c>
      <c r="K235" s="62" t="s">
        <v>34</v>
      </c>
      <c r="L235" s="64">
        <v>7.7546772311798629E-2</v>
      </c>
      <c r="M235" s="62" t="s">
        <v>62</v>
      </c>
      <c r="N235" s="64">
        <f>Hashtags!$H235/Hashtags!$J235</f>
        <v>1.0684818828111229E-2</v>
      </c>
      <c r="O235" s="66">
        <f>(Hashtags!$L235+Hashtags!$N235)*100</f>
        <v>8.823159113990986</v>
      </c>
    </row>
    <row r="236" spans="1:15" x14ac:dyDescent="0.25">
      <c r="A236" s="59" t="s">
        <v>168</v>
      </c>
      <c r="B236" s="59" t="s">
        <v>14</v>
      </c>
      <c r="C236" s="60">
        <v>45753</v>
      </c>
      <c r="D236" s="59" t="s">
        <v>26</v>
      </c>
      <c r="E236" s="59">
        <v>8238</v>
      </c>
      <c r="F236" s="59">
        <v>766</v>
      </c>
      <c r="G236" s="59">
        <v>235</v>
      </c>
      <c r="H236" s="59">
        <v>1273</v>
      </c>
      <c r="I236" s="59">
        <v>4706</v>
      </c>
      <c r="J236" s="59">
        <v>119141</v>
      </c>
      <c r="K236" s="59" t="s">
        <v>34</v>
      </c>
      <c r="L236" s="61">
        <v>7.7546772311798629E-2</v>
      </c>
      <c r="M236" s="59" t="s">
        <v>37</v>
      </c>
      <c r="N236" s="61">
        <f>Hashtags!$H236/Hashtags!$J236</f>
        <v>1.0684818828111229E-2</v>
      </c>
      <c r="O236" s="65">
        <f>(Hashtags!$L236+Hashtags!$N236)*100</f>
        <v>8.823159113990986</v>
      </c>
    </row>
    <row r="237" spans="1:15" x14ac:dyDescent="0.25">
      <c r="A237" s="62" t="s">
        <v>169</v>
      </c>
      <c r="B237" s="62" t="s">
        <v>25</v>
      </c>
      <c r="C237" s="63">
        <v>45543</v>
      </c>
      <c r="D237" s="62" t="s">
        <v>39</v>
      </c>
      <c r="E237" s="62">
        <v>8090</v>
      </c>
      <c r="F237" s="62">
        <v>570</v>
      </c>
      <c r="G237" s="62">
        <v>399</v>
      </c>
      <c r="H237" s="62">
        <v>1862</v>
      </c>
      <c r="I237" s="62">
        <v>34088</v>
      </c>
      <c r="J237" s="62">
        <v>52115</v>
      </c>
      <c r="K237" s="62" t="s">
        <v>18</v>
      </c>
      <c r="L237" s="64">
        <v>0.17382711311522595</v>
      </c>
      <c r="M237" s="62" t="s">
        <v>16</v>
      </c>
      <c r="N237" s="64">
        <f>Hashtags!$H237/Hashtags!$J237</f>
        <v>3.572867696440564E-2</v>
      </c>
      <c r="O237" s="66">
        <f>(Hashtags!$L237+Hashtags!$N237)*100</f>
        <v>20.955579007963159</v>
      </c>
    </row>
    <row r="238" spans="1:15" x14ac:dyDescent="0.25">
      <c r="A238" s="59" t="s">
        <v>169</v>
      </c>
      <c r="B238" s="59" t="s">
        <v>25</v>
      </c>
      <c r="C238" s="60">
        <v>45543</v>
      </c>
      <c r="D238" s="59" t="s">
        <v>39</v>
      </c>
      <c r="E238" s="59">
        <v>8090</v>
      </c>
      <c r="F238" s="59">
        <v>570</v>
      </c>
      <c r="G238" s="59">
        <v>399</v>
      </c>
      <c r="H238" s="59">
        <v>1862</v>
      </c>
      <c r="I238" s="59">
        <v>34088</v>
      </c>
      <c r="J238" s="59">
        <v>52115</v>
      </c>
      <c r="K238" s="59" t="s">
        <v>18</v>
      </c>
      <c r="L238" s="61">
        <v>0.17382711311522595</v>
      </c>
      <c r="M238" s="59" t="s">
        <v>17</v>
      </c>
      <c r="N238" s="61">
        <f>Hashtags!$H238/Hashtags!$J238</f>
        <v>3.572867696440564E-2</v>
      </c>
      <c r="O238" s="65">
        <f>(Hashtags!$L238+Hashtags!$N238)*100</f>
        <v>20.955579007963159</v>
      </c>
    </row>
    <row r="239" spans="1:15" x14ac:dyDescent="0.25">
      <c r="A239" s="62" t="s">
        <v>170</v>
      </c>
      <c r="B239" s="62" t="s">
        <v>20</v>
      </c>
      <c r="C239" s="63">
        <v>45744</v>
      </c>
      <c r="D239" s="62" t="s">
        <v>15</v>
      </c>
      <c r="E239" s="62">
        <v>13637</v>
      </c>
      <c r="F239" s="62">
        <v>1135</v>
      </c>
      <c r="G239" s="62">
        <v>540</v>
      </c>
      <c r="H239" s="62">
        <v>1288</v>
      </c>
      <c r="I239" s="62">
        <v>45183</v>
      </c>
      <c r="J239" s="62">
        <v>79062</v>
      </c>
      <c r="K239" s="62" t="s">
        <v>52</v>
      </c>
      <c r="L239" s="64">
        <v>0.19367079001290127</v>
      </c>
      <c r="M239" s="62" t="s">
        <v>43</v>
      </c>
      <c r="N239" s="64">
        <f>Hashtags!$H239/Hashtags!$J239</f>
        <v>1.6291012117072678E-2</v>
      </c>
      <c r="O239" s="66">
        <f>(Hashtags!$L239+Hashtags!$N239)*100</f>
        <v>20.996180212997395</v>
      </c>
    </row>
    <row r="240" spans="1:15" x14ac:dyDescent="0.25">
      <c r="A240" s="59" t="s">
        <v>170</v>
      </c>
      <c r="B240" s="59" t="s">
        <v>20</v>
      </c>
      <c r="C240" s="60">
        <v>45744</v>
      </c>
      <c r="D240" s="59" t="s">
        <v>15</v>
      </c>
      <c r="E240" s="59">
        <v>13637</v>
      </c>
      <c r="F240" s="59">
        <v>1135</v>
      </c>
      <c r="G240" s="59">
        <v>540</v>
      </c>
      <c r="H240" s="59">
        <v>1288</v>
      </c>
      <c r="I240" s="59">
        <v>45183</v>
      </c>
      <c r="J240" s="59">
        <v>79062</v>
      </c>
      <c r="K240" s="59" t="s">
        <v>52</v>
      </c>
      <c r="L240" s="61">
        <v>0.19367079001290127</v>
      </c>
      <c r="M240" s="59" t="s">
        <v>44</v>
      </c>
      <c r="N240" s="61">
        <f>Hashtags!$H240/Hashtags!$J240</f>
        <v>1.6291012117072678E-2</v>
      </c>
      <c r="O240" s="65">
        <f>(Hashtags!$L240+Hashtags!$N240)*100</f>
        <v>20.996180212997395</v>
      </c>
    </row>
    <row r="241" spans="1:15" x14ac:dyDescent="0.25">
      <c r="A241" s="62" t="s">
        <v>171</v>
      </c>
      <c r="B241" s="62" t="s">
        <v>47</v>
      </c>
      <c r="C241" s="63">
        <v>45684</v>
      </c>
      <c r="D241" s="62" t="s">
        <v>15</v>
      </c>
      <c r="E241" s="62">
        <v>24415</v>
      </c>
      <c r="F241" s="62">
        <v>860</v>
      </c>
      <c r="G241" s="62">
        <v>931</v>
      </c>
      <c r="H241" s="62">
        <v>320</v>
      </c>
      <c r="I241" s="62">
        <v>65049</v>
      </c>
      <c r="J241" s="62">
        <v>62911</v>
      </c>
      <c r="K241" s="62" t="s">
        <v>18</v>
      </c>
      <c r="L241" s="64">
        <v>0.41655672298962027</v>
      </c>
      <c r="M241" s="62" t="s">
        <v>32</v>
      </c>
      <c r="N241" s="64">
        <f>Hashtags!$H241/Hashtags!$J241</f>
        <v>5.0865508416652093E-3</v>
      </c>
      <c r="O241" s="66">
        <f>(Hashtags!$L241+Hashtags!$N241)*100</f>
        <v>42.164327383128544</v>
      </c>
    </row>
    <row r="242" spans="1:15" x14ac:dyDescent="0.25">
      <c r="A242" s="59" t="s">
        <v>171</v>
      </c>
      <c r="B242" s="59" t="s">
        <v>47</v>
      </c>
      <c r="C242" s="60">
        <v>45684</v>
      </c>
      <c r="D242" s="59" t="s">
        <v>15</v>
      </c>
      <c r="E242" s="59">
        <v>24415</v>
      </c>
      <c r="F242" s="59">
        <v>860</v>
      </c>
      <c r="G242" s="59">
        <v>931</v>
      </c>
      <c r="H242" s="59">
        <v>320</v>
      </c>
      <c r="I242" s="59">
        <v>65049</v>
      </c>
      <c r="J242" s="59">
        <v>62911</v>
      </c>
      <c r="K242" s="59" t="s">
        <v>18</v>
      </c>
      <c r="L242" s="61">
        <v>0.41655672298962027</v>
      </c>
      <c r="M242" s="59" t="s">
        <v>57</v>
      </c>
      <c r="N242" s="61">
        <f>Hashtags!$H242/Hashtags!$J242</f>
        <v>5.0865508416652093E-3</v>
      </c>
      <c r="O242" s="65">
        <f>(Hashtags!$L242+Hashtags!$N242)*100</f>
        <v>42.164327383128544</v>
      </c>
    </row>
    <row r="243" spans="1:15" x14ac:dyDescent="0.25">
      <c r="A243" s="62" t="s">
        <v>172</v>
      </c>
      <c r="B243" s="62" t="s">
        <v>25</v>
      </c>
      <c r="C243" s="63">
        <v>45667</v>
      </c>
      <c r="D243" s="62" t="s">
        <v>39</v>
      </c>
      <c r="E243" s="62">
        <v>14647</v>
      </c>
      <c r="F243" s="62">
        <v>1168</v>
      </c>
      <c r="G243" s="62">
        <v>484</v>
      </c>
      <c r="H243" s="62">
        <v>2650</v>
      </c>
      <c r="I243" s="62">
        <v>27217</v>
      </c>
      <c r="J243" s="62">
        <v>144061</v>
      </c>
      <c r="K243" s="62" t="s">
        <v>34</v>
      </c>
      <c r="L243" s="64">
        <v>0.11313957281984714</v>
      </c>
      <c r="M243" s="62" t="s">
        <v>62</v>
      </c>
      <c r="N243" s="64">
        <f>Hashtags!$H243/Hashtags!$J243</f>
        <v>1.8394985457549234E-2</v>
      </c>
      <c r="O243" s="66">
        <f>(Hashtags!$L243+Hashtags!$N243)*100</f>
        <v>13.153455827739638</v>
      </c>
    </row>
    <row r="244" spans="1:15" x14ac:dyDescent="0.25">
      <c r="A244" s="59" t="s">
        <v>172</v>
      </c>
      <c r="B244" s="59" t="s">
        <v>25</v>
      </c>
      <c r="C244" s="60">
        <v>45667</v>
      </c>
      <c r="D244" s="59" t="s">
        <v>39</v>
      </c>
      <c r="E244" s="59">
        <v>14647</v>
      </c>
      <c r="F244" s="59">
        <v>1168</v>
      </c>
      <c r="G244" s="59">
        <v>484</v>
      </c>
      <c r="H244" s="59">
        <v>2650</v>
      </c>
      <c r="I244" s="59">
        <v>27217</v>
      </c>
      <c r="J244" s="59">
        <v>144061</v>
      </c>
      <c r="K244" s="59" t="s">
        <v>34</v>
      </c>
      <c r="L244" s="61">
        <v>0.11313957281984714</v>
      </c>
      <c r="M244" s="59" t="s">
        <v>37</v>
      </c>
      <c r="N244" s="61">
        <f>Hashtags!$H244/Hashtags!$J244</f>
        <v>1.8394985457549234E-2</v>
      </c>
      <c r="O244" s="65">
        <f>(Hashtags!$L244+Hashtags!$N244)*100</f>
        <v>13.153455827739638</v>
      </c>
    </row>
    <row r="245" spans="1:15" x14ac:dyDescent="0.25">
      <c r="A245" s="62" t="s">
        <v>173</v>
      </c>
      <c r="B245" s="62" t="s">
        <v>20</v>
      </c>
      <c r="C245" s="63">
        <v>45494</v>
      </c>
      <c r="D245" s="62" t="s">
        <v>15</v>
      </c>
      <c r="E245" s="62">
        <v>11911</v>
      </c>
      <c r="F245" s="62">
        <v>1360</v>
      </c>
      <c r="G245" s="62">
        <v>778</v>
      </c>
      <c r="H245" s="62">
        <v>1168</v>
      </c>
      <c r="I245" s="62">
        <v>16483</v>
      </c>
      <c r="J245" s="62">
        <v>72556</v>
      </c>
      <c r="K245" s="62" t="s">
        <v>29</v>
      </c>
      <c r="L245" s="64">
        <v>0.19362974805667346</v>
      </c>
      <c r="M245" s="62" t="s">
        <v>32</v>
      </c>
      <c r="N245" s="64">
        <f>Hashtags!$H245/Hashtags!$J245</f>
        <v>1.609791057941452E-2</v>
      </c>
      <c r="O245" s="66">
        <f>(Hashtags!$L245+Hashtags!$N245)*100</f>
        <v>20.972765863608796</v>
      </c>
    </row>
    <row r="246" spans="1:15" x14ac:dyDescent="0.25">
      <c r="A246" s="59" t="s">
        <v>173</v>
      </c>
      <c r="B246" s="59" t="s">
        <v>20</v>
      </c>
      <c r="C246" s="60">
        <v>45494</v>
      </c>
      <c r="D246" s="59" t="s">
        <v>15</v>
      </c>
      <c r="E246" s="59">
        <v>11911</v>
      </c>
      <c r="F246" s="59">
        <v>1360</v>
      </c>
      <c r="G246" s="59">
        <v>778</v>
      </c>
      <c r="H246" s="59">
        <v>1168</v>
      </c>
      <c r="I246" s="59">
        <v>16483</v>
      </c>
      <c r="J246" s="59">
        <v>72556</v>
      </c>
      <c r="K246" s="59" t="s">
        <v>29</v>
      </c>
      <c r="L246" s="61">
        <v>0.19362974805667346</v>
      </c>
      <c r="M246" s="59" t="s">
        <v>33</v>
      </c>
      <c r="N246" s="61">
        <f>Hashtags!$H246/Hashtags!$J246</f>
        <v>1.609791057941452E-2</v>
      </c>
      <c r="O246" s="65">
        <f>(Hashtags!$L246+Hashtags!$N246)*100</f>
        <v>20.972765863608796</v>
      </c>
    </row>
    <row r="247" spans="1:15" x14ac:dyDescent="0.25">
      <c r="A247" s="62" t="s">
        <v>174</v>
      </c>
      <c r="B247" s="62" t="s">
        <v>20</v>
      </c>
      <c r="C247" s="63">
        <v>45564</v>
      </c>
      <c r="D247" s="62" t="s">
        <v>39</v>
      </c>
      <c r="E247" s="62">
        <v>10472</v>
      </c>
      <c r="F247" s="62">
        <v>401</v>
      </c>
      <c r="G247" s="62">
        <v>668</v>
      </c>
      <c r="H247" s="62">
        <v>383</v>
      </c>
      <c r="I247" s="62">
        <v>37571</v>
      </c>
      <c r="J247" s="62">
        <v>249203</v>
      </c>
      <c r="K247" s="62" t="s">
        <v>29</v>
      </c>
      <c r="L247" s="64">
        <v>4.6311641513143903E-2</v>
      </c>
      <c r="M247" s="62" t="s">
        <v>21</v>
      </c>
      <c r="N247" s="64">
        <f>Hashtags!$H247/Hashtags!$J247</f>
        <v>1.5368996360396946E-3</v>
      </c>
      <c r="O247" s="66">
        <f>(Hashtags!$L247+Hashtags!$N247)*100</f>
        <v>4.7848541149183594</v>
      </c>
    </row>
    <row r="248" spans="1:15" x14ac:dyDescent="0.25">
      <c r="A248" s="59" t="s">
        <v>174</v>
      </c>
      <c r="B248" s="59" t="s">
        <v>20</v>
      </c>
      <c r="C248" s="60">
        <v>45564</v>
      </c>
      <c r="D248" s="59" t="s">
        <v>39</v>
      </c>
      <c r="E248" s="59">
        <v>10472</v>
      </c>
      <c r="F248" s="59">
        <v>401</v>
      </c>
      <c r="G248" s="59">
        <v>668</v>
      </c>
      <c r="H248" s="59">
        <v>383</v>
      </c>
      <c r="I248" s="59">
        <v>37571</v>
      </c>
      <c r="J248" s="59">
        <v>249203</v>
      </c>
      <c r="K248" s="59" t="s">
        <v>29</v>
      </c>
      <c r="L248" s="61">
        <v>4.6311641513143903E-2</v>
      </c>
      <c r="M248" s="59" t="s">
        <v>22</v>
      </c>
      <c r="N248" s="61">
        <f>Hashtags!$H248/Hashtags!$J248</f>
        <v>1.5368996360396946E-3</v>
      </c>
      <c r="O248" s="65">
        <f>(Hashtags!$L248+Hashtags!$N248)*100</f>
        <v>4.7848541149183594</v>
      </c>
    </row>
    <row r="249" spans="1:15" x14ac:dyDescent="0.25">
      <c r="A249" s="62" t="s">
        <v>175</v>
      </c>
      <c r="B249" s="62" t="s">
        <v>20</v>
      </c>
      <c r="C249" s="63">
        <v>45586</v>
      </c>
      <c r="D249" s="62" t="s">
        <v>15</v>
      </c>
      <c r="E249" s="62">
        <v>20271</v>
      </c>
      <c r="F249" s="62">
        <v>512</v>
      </c>
      <c r="G249" s="62">
        <v>286</v>
      </c>
      <c r="H249" s="62">
        <v>1982</v>
      </c>
      <c r="I249" s="62">
        <v>43225</v>
      </c>
      <c r="J249" s="62">
        <v>168335</v>
      </c>
      <c r="K249" s="62" t="s">
        <v>34</v>
      </c>
      <c r="L249" s="64">
        <v>0.12516113701844536</v>
      </c>
      <c r="M249" s="62" t="s">
        <v>48</v>
      </c>
      <c r="N249" s="64">
        <f>Hashtags!$H249/Hashtags!$J249</f>
        <v>1.1774140850090592E-2</v>
      </c>
      <c r="O249" s="66">
        <f>(Hashtags!$L249+Hashtags!$N249)*100</f>
        <v>13.693527786853595</v>
      </c>
    </row>
    <row r="250" spans="1:15" x14ac:dyDescent="0.25">
      <c r="A250" s="59" t="s">
        <v>175</v>
      </c>
      <c r="B250" s="59" t="s">
        <v>20</v>
      </c>
      <c r="C250" s="60">
        <v>45586</v>
      </c>
      <c r="D250" s="59" t="s">
        <v>15</v>
      </c>
      <c r="E250" s="59">
        <v>20271</v>
      </c>
      <c r="F250" s="59">
        <v>512</v>
      </c>
      <c r="G250" s="59">
        <v>286</v>
      </c>
      <c r="H250" s="59">
        <v>1982</v>
      </c>
      <c r="I250" s="59">
        <v>43225</v>
      </c>
      <c r="J250" s="59">
        <v>168335</v>
      </c>
      <c r="K250" s="59" t="s">
        <v>34</v>
      </c>
      <c r="L250" s="61">
        <v>0.12516113701844536</v>
      </c>
      <c r="M250" s="59" t="s">
        <v>32</v>
      </c>
      <c r="N250" s="61">
        <f>Hashtags!$H250/Hashtags!$J250</f>
        <v>1.1774140850090592E-2</v>
      </c>
      <c r="O250" s="65">
        <f>(Hashtags!$L250+Hashtags!$N250)*100</f>
        <v>13.693527786853595</v>
      </c>
    </row>
    <row r="251" spans="1:15" x14ac:dyDescent="0.25">
      <c r="A251" s="62" t="s">
        <v>176</v>
      </c>
      <c r="B251" s="62" t="s">
        <v>25</v>
      </c>
      <c r="C251" s="63">
        <v>45720</v>
      </c>
      <c r="D251" s="62" t="s">
        <v>31</v>
      </c>
      <c r="E251" s="62">
        <v>5266</v>
      </c>
      <c r="F251" s="62">
        <v>316</v>
      </c>
      <c r="G251" s="62">
        <v>837</v>
      </c>
      <c r="H251" s="62">
        <v>2276</v>
      </c>
      <c r="I251" s="62">
        <v>20967</v>
      </c>
      <c r="J251" s="62">
        <v>41969</v>
      </c>
      <c r="K251" s="62" t="s">
        <v>52</v>
      </c>
      <c r="L251" s="64">
        <v>0.1529462222116324</v>
      </c>
      <c r="M251" s="62" t="s">
        <v>21</v>
      </c>
      <c r="N251" s="64">
        <f>Hashtags!$H251/Hashtags!$J251</f>
        <v>5.4230503466844576E-2</v>
      </c>
      <c r="O251" s="66">
        <f>(Hashtags!$L251+Hashtags!$N251)*100</f>
        <v>20.717672567847696</v>
      </c>
    </row>
    <row r="252" spans="1:15" x14ac:dyDescent="0.25">
      <c r="A252" s="59" t="s">
        <v>176</v>
      </c>
      <c r="B252" s="59" t="s">
        <v>25</v>
      </c>
      <c r="C252" s="60">
        <v>45720</v>
      </c>
      <c r="D252" s="59" t="s">
        <v>31</v>
      </c>
      <c r="E252" s="59">
        <v>5266</v>
      </c>
      <c r="F252" s="59">
        <v>316</v>
      </c>
      <c r="G252" s="59">
        <v>837</v>
      </c>
      <c r="H252" s="59">
        <v>2276</v>
      </c>
      <c r="I252" s="59">
        <v>20967</v>
      </c>
      <c r="J252" s="59">
        <v>41969</v>
      </c>
      <c r="K252" s="59" t="s">
        <v>52</v>
      </c>
      <c r="L252" s="61">
        <v>0.1529462222116324</v>
      </c>
      <c r="M252" s="59" t="s">
        <v>22</v>
      </c>
      <c r="N252" s="61">
        <f>Hashtags!$H252/Hashtags!$J252</f>
        <v>5.4230503466844576E-2</v>
      </c>
      <c r="O252" s="65">
        <f>(Hashtags!$L252+Hashtags!$N252)*100</f>
        <v>20.717672567847696</v>
      </c>
    </row>
    <row r="253" spans="1:15" x14ac:dyDescent="0.25">
      <c r="A253" s="62" t="s">
        <v>177</v>
      </c>
      <c r="B253" s="62" t="s">
        <v>25</v>
      </c>
      <c r="C253" s="63">
        <v>45694</v>
      </c>
      <c r="D253" s="62" t="s">
        <v>15</v>
      </c>
      <c r="E253" s="62">
        <v>2666</v>
      </c>
      <c r="F253" s="62">
        <v>1136</v>
      </c>
      <c r="G253" s="62">
        <v>989</v>
      </c>
      <c r="H253" s="62">
        <v>1710</v>
      </c>
      <c r="I253" s="62">
        <v>36467</v>
      </c>
      <c r="J253" s="62">
        <v>83753</v>
      </c>
      <c r="K253" s="62" t="s">
        <v>29</v>
      </c>
      <c r="L253" s="64">
        <v>5.7203921053574198E-2</v>
      </c>
      <c r="M253" s="62" t="s">
        <v>16</v>
      </c>
      <c r="N253" s="64">
        <f>Hashtags!$H253/Hashtags!$J253</f>
        <v>2.0417179086122287E-2</v>
      </c>
      <c r="O253" s="66">
        <f>(Hashtags!$L253+Hashtags!$N253)*100</f>
        <v>7.7621100139696493</v>
      </c>
    </row>
    <row r="254" spans="1:15" x14ac:dyDescent="0.25">
      <c r="A254" s="59" t="s">
        <v>177</v>
      </c>
      <c r="B254" s="59" t="s">
        <v>25</v>
      </c>
      <c r="C254" s="60">
        <v>45694</v>
      </c>
      <c r="D254" s="59" t="s">
        <v>15</v>
      </c>
      <c r="E254" s="59">
        <v>2666</v>
      </c>
      <c r="F254" s="59">
        <v>1136</v>
      </c>
      <c r="G254" s="59">
        <v>989</v>
      </c>
      <c r="H254" s="59">
        <v>1710</v>
      </c>
      <c r="I254" s="59">
        <v>36467</v>
      </c>
      <c r="J254" s="59">
        <v>83753</v>
      </c>
      <c r="K254" s="59" t="s">
        <v>29</v>
      </c>
      <c r="L254" s="61">
        <v>5.7203921053574198E-2</v>
      </c>
      <c r="M254" s="59" t="s">
        <v>17</v>
      </c>
      <c r="N254" s="61">
        <f>Hashtags!$H254/Hashtags!$J254</f>
        <v>2.0417179086122287E-2</v>
      </c>
      <c r="O254" s="65">
        <f>(Hashtags!$L254+Hashtags!$N254)*100</f>
        <v>7.7621100139696493</v>
      </c>
    </row>
    <row r="255" spans="1:15" x14ac:dyDescent="0.25">
      <c r="A255" s="62" t="s">
        <v>178</v>
      </c>
      <c r="B255" s="62" t="s">
        <v>25</v>
      </c>
      <c r="C255" s="63">
        <v>45931</v>
      </c>
      <c r="D255" s="62" t="s">
        <v>39</v>
      </c>
      <c r="E255" s="62">
        <v>6188</v>
      </c>
      <c r="F255" s="62">
        <v>774</v>
      </c>
      <c r="G255" s="62">
        <v>647</v>
      </c>
      <c r="H255" s="62">
        <v>1830</v>
      </c>
      <c r="I255" s="62">
        <v>55436</v>
      </c>
      <c r="J255" s="62">
        <v>175542</v>
      </c>
      <c r="K255" s="62" t="s">
        <v>23</v>
      </c>
      <c r="L255" s="64">
        <v>4.3345752013763089E-2</v>
      </c>
      <c r="M255" s="62" t="s">
        <v>37</v>
      </c>
      <c r="N255" s="64">
        <f>Hashtags!$H255/Hashtags!$J255</f>
        <v>1.0424855590115186E-2</v>
      </c>
      <c r="O255" s="66">
        <f>(Hashtags!$L255+Hashtags!$N255)*100</f>
        <v>5.3770607603878275</v>
      </c>
    </row>
    <row r="256" spans="1:15" x14ac:dyDescent="0.25">
      <c r="A256" s="59" t="s">
        <v>179</v>
      </c>
      <c r="B256" s="59" t="s">
        <v>14</v>
      </c>
      <c r="C256" s="60">
        <v>45624</v>
      </c>
      <c r="D256" s="59" t="s">
        <v>39</v>
      </c>
      <c r="E256" s="59">
        <v>19055</v>
      </c>
      <c r="F256" s="59">
        <v>443</v>
      </c>
      <c r="G256" s="59">
        <v>976</v>
      </c>
      <c r="H256" s="59">
        <v>869</v>
      </c>
      <c r="I256" s="59">
        <v>75437</v>
      </c>
      <c r="J256" s="59">
        <v>161863</v>
      </c>
      <c r="K256" s="59" t="s">
        <v>29</v>
      </c>
      <c r="L256" s="61">
        <v>0.12648968572187591</v>
      </c>
      <c r="M256" s="59" t="s">
        <v>48</v>
      </c>
      <c r="N256" s="61">
        <f>Hashtags!$H256/Hashtags!$J256</f>
        <v>5.368737759710372E-3</v>
      </c>
      <c r="O256" s="65">
        <f>(Hashtags!$L256+Hashtags!$N256)*100</f>
        <v>13.185842348158626</v>
      </c>
    </row>
    <row r="257" spans="1:15" x14ac:dyDescent="0.25">
      <c r="A257" s="62" t="s">
        <v>179</v>
      </c>
      <c r="B257" s="62" t="s">
        <v>14</v>
      </c>
      <c r="C257" s="63">
        <v>45624</v>
      </c>
      <c r="D257" s="62" t="s">
        <v>39</v>
      </c>
      <c r="E257" s="62">
        <v>19055</v>
      </c>
      <c r="F257" s="62">
        <v>443</v>
      </c>
      <c r="G257" s="62">
        <v>976</v>
      </c>
      <c r="H257" s="62">
        <v>869</v>
      </c>
      <c r="I257" s="62">
        <v>75437</v>
      </c>
      <c r="J257" s="62">
        <v>161863</v>
      </c>
      <c r="K257" s="62" t="s">
        <v>29</v>
      </c>
      <c r="L257" s="64">
        <v>0.12648968572187591</v>
      </c>
      <c r="M257" s="62" t="s">
        <v>32</v>
      </c>
      <c r="N257" s="64">
        <f>Hashtags!$H257/Hashtags!$J257</f>
        <v>5.368737759710372E-3</v>
      </c>
      <c r="O257" s="66">
        <f>(Hashtags!$L257+Hashtags!$N257)*100</f>
        <v>13.185842348158626</v>
      </c>
    </row>
    <row r="258" spans="1:15" x14ac:dyDescent="0.25">
      <c r="A258" s="59" t="s">
        <v>180</v>
      </c>
      <c r="B258" s="59" t="s">
        <v>25</v>
      </c>
      <c r="C258" s="60">
        <v>45932</v>
      </c>
      <c r="D258" s="59" t="s">
        <v>39</v>
      </c>
      <c r="E258" s="59">
        <v>12161</v>
      </c>
      <c r="F258" s="59">
        <v>736</v>
      </c>
      <c r="G258" s="59">
        <v>876</v>
      </c>
      <c r="H258" s="59">
        <v>1233</v>
      </c>
      <c r="I258" s="59">
        <v>21337</v>
      </c>
      <c r="J258" s="59">
        <v>50225</v>
      </c>
      <c r="K258" s="59" t="s">
        <v>23</v>
      </c>
      <c r="L258" s="61">
        <v>0.27422598307615731</v>
      </c>
      <c r="M258" s="59" t="s">
        <v>27</v>
      </c>
      <c r="N258" s="61">
        <f>Hashtags!$H258/Hashtags!$J258</f>
        <v>2.4549527127924339E-2</v>
      </c>
      <c r="O258" s="65">
        <f>(Hashtags!$L258+Hashtags!$N258)*100</f>
        <v>29.877551020408166</v>
      </c>
    </row>
    <row r="259" spans="1:15" x14ac:dyDescent="0.25">
      <c r="A259" s="62" t="s">
        <v>180</v>
      </c>
      <c r="B259" s="62" t="s">
        <v>25</v>
      </c>
      <c r="C259" s="63">
        <v>45932</v>
      </c>
      <c r="D259" s="62" t="s">
        <v>39</v>
      </c>
      <c r="E259" s="62">
        <v>12161</v>
      </c>
      <c r="F259" s="62">
        <v>736</v>
      </c>
      <c r="G259" s="62">
        <v>876</v>
      </c>
      <c r="H259" s="62">
        <v>1233</v>
      </c>
      <c r="I259" s="62">
        <v>21337</v>
      </c>
      <c r="J259" s="62">
        <v>50225</v>
      </c>
      <c r="K259" s="62" t="s">
        <v>23</v>
      </c>
      <c r="L259" s="64">
        <v>0.27422598307615731</v>
      </c>
      <c r="M259" s="62" t="s">
        <v>28</v>
      </c>
      <c r="N259" s="64">
        <f>Hashtags!$H259/Hashtags!$J259</f>
        <v>2.4549527127924339E-2</v>
      </c>
      <c r="O259" s="66">
        <f>(Hashtags!$L259+Hashtags!$N259)*100</f>
        <v>29.877551020408166</v>
      </c>
    </row>
    <row r="260" spans="1:15" x14ac:dyDescent="0.25">
      <c r="A260" s="59" t="s">
        <v>181</v>
      </c>
      <c r="B260" s="59" t="s">
        <v>25</v>
      </c>
      <c r="C260" s="60">
        <v>45504</v>
      </c>
      <c r="D260" s="59" t="s">
        <v>39</v>
      </c>
      <c r="E260" s="59">
        <v>13314</v>
      </c>
      <c r="F260" s="59">
        <v>274</v>
      </c>
      <c r="G260" s="59">
        <v>626</v>
      </c>
      <c r="H260" s="59">
        <v>2280</v>
      </c>
      <c r="I260" s="59">
        <v>14639</v>
      </c>
      <c r="J260" s="59">
        <v>163008</v>
      </c>
      <c r="K260" s="59" t="s">
        <v>34</v>
      </c>
      <c r="L260" s="61">
        <v>8.7198174322732622E-2</v>
      </c>
      <c r="M260" s="59" t="s">
        <v>32</v>
      </c>
      <c r="N260" s="61">
        <f>Hashtags!$H260/Hashtags!$J260</f>
        <v>1.3987043580683157E-2</v>
      </c>
      <c r="O260" s="65">
        <f>(Hashtags!$L260+Hashtags!$N260)*100</f>
        <v>10.118521790341578</v>
      </c>
    </row>
    <row r="261" spans="1:15" x14ac:dyDescent="0.25">
      <c r="A261" s="62" t="s">
        <v>181</v>
      </c>
      <c r="B261" s="62" t="s">
        <v>25</v>
      </c>
      <c r="C261" s="63">
        <v>45504</v>
      </c>
      <c r="D261" s="62" t="s">
        <v>39</v>
      </c>
      <c r="E261" s="62">
        <v>13314</v>
      </c>
      <c r="F261" s="62">
        <v>274</v>
      </c>
      <c r="G261" s="62">
        <v>626</v>
      </c>
      <c r="H261" s="62">
        <v>2280</v>
      </c>
      <c r="I261" s="62">
        <v>14639</v>
      </c>
      <c r="J261" s="62">
        <v>163008</v>
      </c>
      <c r="K261" s="62" t="s">
        <v>34</v>
      </c>
      <c r="L261" s="64">
        <v>8.7198174322732622E-2</v>
      </c>
      <c r="M261" s="62" t="s">
        <v>33</v>
      </c>
      <c r="N261" s="64">
        <f>Hashtags!$H261/Hashtags!$J261</f>
        <v>1.3987043580683157E-2</v>
      </c>
      <c r="O261" s="66">
        <f>(Hashtags!$L261+Hashtags!$N261)*100</f>
        <v>10.118521790341578</v>
      </c>
    </row>
    <row r="262" spans="1:15" x14ac:dyDescent="0.25">
      <c r="A262" s="59" t="s">
        <v>182</v>
      </c>
      <c r="B262" s="59" t="s">
        <v>25</v>
      </c>
      <c r="C262" s="60">
        <v>45745</v>
      </c>
      <c r="D262" s="59" t="s">
        <v>39</v>
      </c>
      <c r="E262" s="59">
        <v>23508</v>
      </c>
      <c r="F262" s="59">
        <v>585</v>
      </c>
      <c r="G262" s="59">
        <v>743</v>
      </c>
      <c r="H262" s="59">
        <v>2155</v>
      </c>
      <c r="I262" s="59">
        <v>3704</v>
      </c>
      <c r="J262" s="59">
        <v>194268</v>
      </c>
      <c r="K262" s="59" t="s">
        <v>34</v>
      </c>
      <c r="L262" s="61">
        <v>0.1278440093067309</v>
      </c>
      <c r="M262" s="59" t="s">
        <v>27</v>
      </c>
      <c r="N262" s="61">
        <f>Hashtags!$H262/Hashtags!$J262</f>
        <v>1.1092923178289785E-2</v>
      </c>
      <c r="O262" s="65">
        <f>(Hashtags!$L262+Hashtags!$N262)*100</f>
        <v>13.893693248502068</v>
      </c>
    </row>
    <row r="263" spans="1:15" x14ac:dyDescent="0.25">
      <c r="A263" s="62" t="s">
        <v>182</v>
      </c>
      <c r="B263" s="62" t="s">
        <v>25</v>
      </c>
      <c r="C263" s="63">
        <v>45745</v>
      </c>
      <c r="D263" s="62" t="s">
        <v>39</v>
      </c>
      <c r="E263" s="62">
        <v>23508</v>
      </c>
      <c r="F263" s="62">
        <v>585</v>
      </c>
      <c r="G263" s="62">
        <v>743</v>
      </c>
      <c r="H263" s="62">
        <v>2155</v>
      </c>
      <c r="I263" s="62">
        <v>3704</v>
      </c>
      <c r="J263" s="62">
        <v>194268</v>
      </c>
      <c r="K263" s="62" t="s">
        <v>34</v>
      </c>
      <c r="L263" s="64">
        <v>0.1278440093067309</v>
      </c>
      <c r="M263" s="62" t="s">
        <v>28</v>
      </c>
      <c r="N263" s="64">
        <f>Hashtags!$H263/Hashtags!$J263</f>
        <v>1.1092923178289785E-2</v>
      </c>
      <c r="O263" s="66">
        <f>(Hashtags!$L263+Hashtags!$N263)*100</f>
        <v>13.893693248502068</v>
      </c>
    </row>
    <row r="264" spans="1:15" x14ac:dyDescent="0.25">
      <c r="A264" s="59" t="s">
        <v>183</v>
      </c>
      <c r="B264" s="59" t="s">
        <v>14</v>
      </c>
      <c r="C264" s="60">
        <v>45594</v>
      </c>
      <c r="D264" s="59" t="s">
        <v>26</v>
      </c>
      <c r="E264" s="59">
        <v>23969</v>
      </c>
      <c r="F264" s="59">
        <v>1433</v>
      </c>
      <c r="G264" s="59">
        <v>372</v>
      </c>
      <c r="H264" s="59">
        <v>1092</v>
      </c>
      <c r="I264" s="59">
        <v>32147</v>
      </c>
      <c r="J264" s="59">
        <v>145823</v>
      </c>
      <c r="K264" s="59" t="s">
        <v>29</v>
      </c>
      <c r="L264" s="61">
        <v>0.17674852389540743</v>
      </c>
      <c r="M264" s="59" t="s">
        <v>32</v>
      </c>
      <c r="N264" s="61">
        <f>Hashtags!$H264/Hashtags!$J264</f>
        <v>7.4885306158836394E-3</v>
      </c>
      <c r="O264" s="65">
        <f>(Hashtags!$L264+Hashtags!$N264)*100</f>
        <v>18.423705451129109</v>
      </c>
    </row>
    <row r="265" spans="1:15" x14ac:dyDescent="0.25">
      <c r="A265" s="62" t="s">
        <v>183</v>
      </c>
      <c r="B265" s="62" t="s">
        <v>14</v>
      </c>
      <c r="C265" s="63">
        <v>45594</v>
      </c>
      <c r="D265" s="62" t="s">
        <v>26</v>
      </c>
      <c r="E265" s="62">
        <v>23969</v>
      </c>
      <c r="F265" s="62">
        <v>1433</v>
      </c>
      <c r="G265" s="62">
        <v>372</v>
      </c>
      <c r="H265" s="62">
        <v>1092</v>
      </c>
      <c r="I265" s="62">
        <v>32147</v>
      </c>
      <c r="J265" s="62">
        <v>145823</v>
      </c>
      <c r="K265" s="62" t="s">
        <v>29</v>
      </c>
      <c r="L265" s="64">
        <v>0.17674852389540743</v>
      </c>
      <c r="M265" s="62" t="s">
        <v>57</v>
      </c>
      <c r="N265" s="64">
        <f>Hashtags!$H265/Hashtags!$J265</f>
        <v>7.4885306158836394E-3</v>
      </c>
      <c r="O265" s="66">
        <f>(Hashtags!$L265+Hashtags!$N265)*100</f>
        <v>18.423705451129109</v>
      </c>
    </row>
    <row r="266" spans="1:15" x14ac:dyDescent="0.25">
      <c r="A266" s="59" t="s">
        <v>184</v>
      </c>
      <c r="B266" s="59" t="s">
        <v>25</v>
      </c>
      <c r="C266" s="60">
        <v>45488</v>
      </c>
      <c r="D266" s="59" t="s">
        <v>26</v>
      </c>
      <c r="E266" s="59">
        <v>14891</v>
      </c>
      <c r="F266" s="59">
        <v>674</v>
      </c>
      <c r="G266" s="59">
        <v>521</v>
      </c>
      <c r="H266" s="59">
        <v>1091</v>
      </c>
      <c r="I266" s="59">
        <v>18101</v>
      </c>
      <c r="J266" s="59">
        <v>53669</v>
      </c>
      <c r="K266" s="59" t="s">
        <v>18</v>
      </c>
      <c r="L266" s="61">
        <v>0.29972609886526674</v>
      </c>
      <c r="M266" s="59" t="s">
        <v>40</v>
      </c>
      <c r="N266" s="61">
        <f>Hashtags!$H266/Hashtags!$J266</f>
        <v>2.0328308707074846E-2</v>
      </c>
      <c r="O266" s="65">
        <f>(Hashtags!$L266+Hashtags!$N266)*100</f>
        <v>32.005440757234162</v>
      </c>
    </row>
    <row r="267" spans="1:15" x14ac:dyDescent="0.25">
      <c r="A267" s="62" t="s">
        <v>184</v>
      </c>
      <c r="B267" s="62" t="s">
        <v>25</v>
      </c>
      <c r="C267" s="63">
        <v>45488</v>
      </c>
      <c r="D267" s="62" t="s">
        <v>26</v>
      </c>
      <c r="E267" s="62">
        <v>14891</v>
      </c>
      <c r="F267" s="62">
        <v>674</v>
      </c>
      <c r="G267" s="62">
        <v>521</v>
      </c>
      <c r="H267" s="62">
        <v>1091</v>
      </c>
      <c r="I267" s="62">
        <v>18101</v>
      </c>
      <c r="J267" s="62">
        <v>53669</v>
      </c>
      <c r="K267" s="62" t="s">
        <v>18</v>
      </c>
      <c r="L267" s="64">
        <v>0.29972609886526674</v>
      </c>
      <c r="M267" s="62" t="s">
        <v>41</v>
      </c>
      <c r="N267" s="64">
        <f>Hashtags!$H267/Hashtags!$J267</f>
        <v>2.0328308707074846E-2</v>
      </c>
      <c r="O267" s="66">
        <f>(Hashtags!$L267+Hashtags!$N267)*100</f>
        <v>32.005440757234162</v>
      </c>
    </row>
    <row r="268" spans="1:15" x14ac:dyDescent="0.25">
      <c r="A268" s="59" t="s">
        <v>185</v>
      </c>
      <c r="B268" s="59" t="s">
        <v>20</v>
      </c>
      <c r="C268" s="60">
        <v>45933</v>
      </c>
      <c r="D268" s="59" t="s">
        <v>15</v>
      </c>
      <c r="E268" s="59">
        <v>6777</v>
      </c>
      <c r="F268" s="59">
        <v>617</v>
      </c>
      <c r="G268" s="59">
        <v>551</v>
      </c>
      <c r="H268" s="59">
        <v>2109</v>
      </c>
      <c r="I268" s="59">
        <v>18559</v>
      </c>
      <c r="J268" s="59">
        <v>208452</v>
      </c>
      <c r="K268" s="59" t="s">
        <v>23</v>
      </c>
      <c r="L268" s="61">
        <v>3.8114290100358834E-2</v>
      </c>
      <c r="M268" s="59" t="s">
        <v>48</v>
      </c>
      <c r="N268" s="61">
        <f>Hashtags!$H268/Hashtags!$J268</f>
        <v>1.0117437107823384E-2</v>
      </c>
      <c r="O268" s="65">
        <f>(Hashtags!$L268+Hashtags!$N268)*100</f>
        <v>4.8231727208182216</v>
      </c>
    </row>
    <row r="269" spans="1:15" x14ac:dyDescent="0.25">
      <c r="A269" s="62" t="s">
        <v>185</v>
      </c>
      <c r="B269" s="62" t="s">
        <v>20</v>
      </c>
      <c r="C269" s="63">
        <v>45933</v>
      </c>
      <c r="D269" s="62" t="s">
        <v>15</v>
      </c>
      <c r="E269" s="62">
        <v>6777</v>
      </c>
      <c r="F269" s="62">
        <v>617</v>
      </c>
      <c r="G269" s="62">
        <v>551</v>
      </c>
      <c r="H269" s="62">
        <v>2109</v>
      </c>
      <c r="I269" s="62">
        <v>18559</v>
      </c>
      <c r="J269" s="62">
        <v>208452</v>
      </c>
      <c r="K269" s="62" t="s">
        <v>23</v>
      </c>
      <c r="L269" s="64">
        <v>3.8114290100358834E-2</v>
      </c>
      <c r="M269" s="62" t="s">
        <v>32</v>
      </c>
      <c r="N269" s="64">
        <f>Hashtags!$H269/Hashtags!$J269</f>
        <v>1.0117437107823384E-2</v>
      </c>
      <c r="O269" s="66">
        <f>(Hashtags!$L269+Hashtags!$N269)*100</f>
        <v>4.8231727208182216</v>
      </c>
    </row>
    <row r="270" spans="1:15" x14ac:dyDescent="0.25">
      <c r="A270" s="59" t="s">
        <v>186</v>
      </c>
      <c r="B270" s="59" t="s">
        <v>25</v>
      </c>
      <c r="C270" s="60">
        <v>45741</v>
      </c>
      <c r="D270" s="59" t="s">
        <v>39</v>
      </c>
      <c r="E270" s="59">
        <v>5900</v>
      </c>
      <c r="F270" s="59">
        <v>546</v>
      </c>
      <c r="G270" s="59">
        <v>592</v>
      </c>
      <c r="H270" s="59">
        <v>1594</v>
      </c>
      <c r="I270" s="59">
        <v>38627</v>
      </c>
      <c r="J270" s="59">
        <v>164398</v>
      </c>
      <c r="K270" s="59" t="s">
        <v>52</v>
      </c>
      <c r="L270" s="61">
        <v>4.2810739790021778E-2</v>
      </c>
      <c r="M270" s="59" t="s">
        <v>27</v>
      </c>
      <c r="N270" s="61">
        <f>Hashtags!$H270/Hashtags!$J270</f>
        <v>9.6959817029404257E-3</v>
      </c>
      <c r="O270" s="65">
        <f>(Hashtags!$L270+Hashtags!$N270)*100</f>
        <v>5.2506721492962205</v>
      </c>
    </row>
    <row r="271" spans="1:15" x14ac:dyDescent="0.25">
      <c r="A271" s="62" t="s">
        <v>186</v>
      </c>
      <c r="B271" s="62" t="s">
        <v>25</v>
      </c>
      <c r="C271" s="63">
        <v>45741</v>
      </c>
      <c r="D271" s="62" t="s">
        <v>39</v>
      </c>
      <c r="E271" s="62">
        <v>5900</v>
      </c>
      <c r="F271" s="62">
        <v>546</v>
      </c>
      <c r="G271" s="62">
        <v>592</v>
      </c>
      <c r="H271" s="62">
        <v>1594</v>
      </c>
      <c r="I271" s="62">
        <v>38627</v>
      </c>
      <c r="J271" s="62">
        <v>164398</v>
      </c>
      <c r="K271" s="62" t="s">
        <v>52</v>
      </c>
      <c r="L271" s="64">
        <v>4.2810739790021778E-2</v>
      </c>
      <c r="M271" s="62" t="s">
        <v>28</v>
      </c>
      <c r="N271" s="64">
        <f>Hashtags!$H271/Hashtags!$J271</f>
        <v>9.6959817029404257E-3</v>
      </c>
      <c r="O271" s="66">
        <f>(Hashtags!$L271+Hashtags!$N271)*100</f>
        <v>5.2506721492962205</v>
      </c>
    </row>
    <row r="272" spans="1:15" x14ac:dyDescent="0.25">
      <c r="A272" s="59" t="s">
        <v>187</v>
      </c>
      <c r="B272" s="59" t="s">
        <v>20</v>
      </c>
      <c r="C272" s="60">
        <v>45567</v>
      </c>
      <c r="D272" s="59" t="s">
        <v>15</v>
      </c>
      <c r="E272" s="59">
        <v>15716</v>
      </c>
      <c r="F272" s="59">
        <v>839</v>
      </c>
      <c r="G272" s="59">
        <v>639</v>
      </c>
      <c r="H272" s="59">
        <v>2839</v>
      </c>
      <c r="I272" s="59">
        <v>349</v>
      </c>
      <c r="J272" s="59">
        <v>150677</v>
      </c>
      <c r="K272" s="59" t="s">
        <v>29</v>
      </c>
      <c r="L272" s="61">
        <v>0.11411164278556117</v>
      </c>
      <c r="M272" s="59" t="s">
        <v>27</v>
      </c>
      <c r="N272" s="61">
        <f>Hashtags!$H272/Hashtags!$J272</f>
        <v>1.8841628118425505E-2</v>
      </c>
      <c r="O272" s="65">
        <f>(Hashtags!$L272+Hashtags!$N272)*100</f>
        <v>13.295327090398668</v>
      </c>
    </row>
    <row r="273" spans="1:15" x14ac:dyDescent="0.25">
      <c r="A273" s="62" t="s">
        <v>187</v>
      </c>
      <c r="B273" s="62" t="s">
        <v>20</v>
      </c>
      <c r="C273" s="63">
        <v>45567</v>
      </c>
      <c r="D273" s="62" t="s">
        <v>15</v>
      </c>
      <c r="E273" s="62">
        <v>15716</v>
      </c>
      <c r="F273" s="62">
        <v>839</v>
      </c>
      <c r="G273" s="62">
        <v>639</v>
      </c>
      <c r="H273" s="62">
        <v>2839</v>
      </c>
      <c r="I273" s="62">
        <v>349</v>
      </c>
      <c r="J273" s="62">
        <v>150677</v>
      </c>
      <c r="K273" s="62" t="s">
        <v>29</v>
      </c>
      <c r="L273" s="64">
        <v>0.11411164278556117</v>
      </c>
      <c r="M273" s="62" t="s">
        <v>28</v>
      </c>
      <c r="N273" s="64">
        <f>Hashtags!$H273/Hashtags!$J273</f>
        <v>1.8841628118425505E-2</v>
      </c>
      <c r="O273" s="66">
        <f>(Hashtags!$L273+Hashtags!$N273)*100</f>
        <v>13.295327090398668</v>
      </c>
    </row>
    <row r="274" spans="1:15" x14ac:dyDescent="0.25">
      <c r="A274" s="59" t="s">
        <v>188</v>
      </c>
      <c r="B274" s="59" t="s">
        <v>20</v>
      </c>
      <c r="C274" s="60">
        <v>45593</v>
      </c>
      <c r="D274" s="59" t="s">
        <v>39</v>
      </c>
      <c r="E274" s="59">
        <v>8981</v>
      </c>
      <c r="F274" s="59">
        <v>1138</v>
      </c>
      <c r="G274" s="59">
        <v>764</v>
      </c>
      <c r="H274" s="59">
        <v>2555</v>
      </c>
      <c r="I274" s="59">
        <v>92810</v>
      </c>
      <c r="J274" s="59">
        <v>88320</v>
      </c>
      <c r="K274" s="59" t="s">
        <v>52</v>
      </c>
      <c r="L274" s="61">
        <v>0.1232223731884058</v>
      </c>
      <c r="M274" s="59" t="s">
        <v>62</v>
      </c>
      <c r="N274" s="61">
        <f>Hashtags!$H274/Hashtags!$J274</f>
        <v>2.8928894927536232E-2</v>
      </c>
      <c r="O274" s="65">
        <f>(Hashtags!$L274+Hashtags!$N274)*100</f>
        <v>15.215126811594203</v>
      </c>
    </row>
    <row r="275" spans="1:15" x14ac:dyDescent="0.25">
      <c r="A275" s="62" t="s">
        <v>188</v>
      </c>
      <c r="B275" s="62" t="s">
        <v>20</v>
      </c>
      <c r="C275" s="63">
        <v>45593</v>
      </c>
      <c r="D275" s="62" t="s">
        <v>39</v>
      </c>
      <c r="E275" s="62">
        <v>8981</v>
      </c>
      <c r="F275" s="62">
        <v>1138</v>
      </c>
      <c r="G275" s="62">
        <v>764</v>
      </c>
      <c r="H275" s="62">
        <v>2555</v>
      </c>
      <c r="I275" s="62">
        <v>92810</v>
      </c>
      <c r="J275" s="62">
        <v>88320</v>
      </c>
      <c r="K275" s="62" t="s">
        <v>52</v>
      </c>
      <c r="L275" s="64">
        <v>0.1232223731884058</v>
      </c>
      <c r="M275" s="62" t="s">
        <v>37</v>
      </c>
      <c r="N275" s="64">
        <f>Hashtags!$H275/Hashtags!$J275</f>
        <v>2.8928894927536232E-2</v>
      </c>
      <c r="O275" s="66">
        <f>(Hashtags!$L275+Hashtags!$N275)*100</f>
        <v>15.215126811594203</v>
      </c>
    </row>
    <row r="276" spans="1:15" x14ac:dyDescent="0.25">
      <c r="A276" s="59" t="s">
        <v>189</v>
      </c>
      <c r="B276" s="59" t="s">
        <v>20</v>
      </c>
      <c r="C276" s="60">
        <v>45516</v>
      </c>
      <c r="D276" s="59" t="s">
        <v>39</v>
      </c>
      <c r="E276" s="59">
        <v>8376</v>
      </c>
      <c r="F276" s="59">
        <v>1154</v>
      </c>
      <c r="G276" s="59">
        <v>422</v>
      </c>
      <c r="H276" s="59">
        <v>1907</v>
      </c>
      <c r="I276" s="59">
        <v>36874</v>
      </c>
      <c r="J276" s="59">
        <v>218486</v>
      </c>
      <c r="K276" s="59" t="s">
        <v>29</v>
      </c>
      <c r="L276" s="61">
        <v>4.5549829279679245E-2</v>
      </c>
      <c r="M276" s="59" t="s">
        <v>21</v>
      </c>
      <c r="N276" s="61">
        <f>Hashtags!$H276/Hashtags!$J276</f>
        <v>8.7282480341989883E-3</v>
      </c>
      <c r="O276" s="65">
        <f>(Hashtags!$L276+Hashtags!$N276)*100</f>
        <v>5.4278077313878237</v>
      </c>
    </row>
    <row r="277" spans="1:15" x14ac:dyDescent="0.25">
      <c r="A277" s="62" t="s">
        <v>189</v>
      </c>
      <c r="B277" s="62" t="s">
        <v>20</v>
      </c>
      <c r="C277" s="63">
        <v>45516</v>
      </c>
      <c r="D277" s="62" t="s">
        <v>39</v>
      </c>
      <c r="E277" s="62">
        <v>8376</v>
      </c>
      <c r="F277" s="62">
        <v>1154</v>
      </c>
      <c r="G277" s="62">
        <v>422</v>
      </c>
      <c r="H277" s="62">
        <v>1907</v>
      </c>
      <c r="I277" s="62">
        <v>36874</v>
      </c>
      <c r="J277" s="62">
        <v>218486</v>
      </c>
      <c r="K277" s="62" t="s">
        <v>29</v>
      </c>
      <c r="L277" s="64">
        <v>4.5549829279679245E-2</v>
      </c>
      <c r="M277" s="62" t="s">
        <v>22</v>
      </c>
      <c r="N277" s="64">
        <f>Hashtags!$H277/Hashtags!$J277</f>
        <v>8.7282480341989883E-3</v>
      </c>
      <c r="O277" s="66">
        <f>(Hashtags!$L277+Hashtags!$N277)*100</f>
        <v>5.4278077313878237</v>
      </c>
    </row>
    <row r="278" spans="1:15" x14ac:dyDescent="0.25">
      <c r="A278" s="59" t="s">
        <v>190</v>
      </c>
      <c r="B278" s="59" t="s">
        <v>14</v>
      </c>
      <c r="C278" s="60">
        <v>45448</v>
      </c>
      <c r="D278" s="59" t="s">
        <v>26</v>
      </c>
      <c r="E278" s="59">
        <v>18907</v>
      </c>
      <c r="F278" s="59">
        <v>1075</v>
      </c>
      <c r="G278" s="59">
        <v>675</v>
      </c>
      <c r="H278" s="59">
        <v>1383</v>
      </c>
      <c r="I278" s="59">
        <v>17875</v>
      </c>
      <c r="J278" s="59">
        <v>186649</v>
      </c>
      <c r="K278" s="59" t="s">
        <v>18</v>
      </c>
      <c r="L278" s="61">
        <v>0.11067297440650634</v>
      </c>
      <c r="M278" s="59" t="s">
        <v>62</v>
      </c>
      <c r="N278" s="61">
        <f>Hashtags!$H278/Hashtags!$J278</f>
        <v>7.409629839966997E-3</v>
      </c>
      <c r="O278" s="65">
        <f>(Hashtags!$L278+Hashtags!$N278)*100</f>
        <v>11.808260424647333</v>
      </c>
    </row>
    <row r="279" spans="1:15" x14ac:dyDescent="0.25">
      <c r="A279" s="62" t="s">
        <v>190</v>
      </c>
      <c r="B279" s="62" t="s">
        <v>14</v>
      </c>
      <c r="C279" s="63">
        <v>45448</v>
      </c>
      <c r="D279" s="62" t="s">
        <v>26</v>
      </c>
      <c r="E279" s="62">
        <v>18907</v>
      </c>
      <c r="F279" s="62">
        <v>1075</v>
      </c>
      <c r="G279" s="62">
        <v>675</v>
      </c>
      <c r="H279" s="62">
        <v>1383</v>
      </c>
      <c r="I279" s="62">
        <v>17875</v>
      </c>
      <c r="J279" s="62">
        <v>186649</v>
      </c>
      <c r="K279" s="62" t="s">
        <v>18</v>
      </c>
      <c r="L279" s="64">
        <v>0.11067297440650634</v>
      </c>
      <c r="M279" s="62" t="s">
        <v>37</v>
      </c>
      <c r="N279" s="64">
        <f>Hashtags!$H279/Hashtags!$J279</f>
        <v>7.409629839966997E-3</v>
      </c>
      <c r="O279" s="66">
        <f>(Hashtags!$L279+Hashtags!$N279)*100</f>
        <v>11.808260424647333</v>
      </c>
    </row>
    <row r="280" spans="1:15" x14ac:dyDescent="0.25">
      <c r="A280" s="59" t="s">
        <v>191</v>
      </c>
      <c r="B280" s="59" t="s">
        <v>14</v>
      </c>
      <c r="C280" s="60">
        <v>45586</v>
      </c>
      <c r="D280" s="59" t="s">
        <v>26</v>
      </c>
      <c r="E280" s="59">
        <v>20777</v>
      </c>
      <c r="F280" s="59">
        <v>962</v>
      </c>
      <c r="G280" s="59">
        <v>308</v>
      </c>
      <c r="H280" s="59">
        <v>2777</v>
      </c>
      <c r="I280" s="59">
        <v>25529</v>
      </c>
      <c r="J280" s="59">
        <v>165354</v>
      </c>
      <c r="K280" s="59" t="s">
        <v>18</v>
      </c>
      <c r="L280" s="61">
        <v>0.13333212380710477</v>
      </c>
      <c r="M280" s="59" t="s">
        <v>48</v>
      </c>
      <c r="N280" s="61">
        <f>Hashtags!$H280/Hashtags!$J280</f>
        <v>1.6794271683781462E-2</v>
      </c>
      <c r="O280" s="65">
        <f>(Hashtags!$L280+Hashtags!$N280)*100</f>
        <v>15.012639549088625</v>
      </c>
    </row>
    <row r="281" spans="1:15" x14ac:dyDescent="0.25">
      <c r="A281" s="62" t="s">
        <v>191</v>
      </c>
      <c r="B281" s="62" t="s">
        <v>14</v>
      </c>
      <c r="C281" s="63">
        <v>45586</v>
      </c>
      <c r="D281" s="62" t="s">
        <v>26</v>
      </c>
      <c r="E281" s="62">
        <v>20777</v>
      </c>
      <c r="F281" s="62">
        <v>962</v>
      </c>
      <c r="G281" s="62">
        <v>308</v>
      </c>
      <c r="H281" s="62">
        <v>2777</v>
      </c>
      <c r="I281" s="62">
        <v>25529</v>
      </c>
      <c r="J281" s="62">
        <v>165354</v>
      </c>
      <c r="K281" s="62" t="s">
        <v>18</v>
      </c>
      <c r="L281" s="64">
        <v>0.13333212380710477</v>
      </c>
      <c r="M281" s="62" t="s">
        <v>32</v>
      </c>
      <c r="N281" s="64">
        <f>Hashtags!$H281/Hashtags!$J281</f>
        <v>1.6794271683781462E-2</v>
      </c>
      <c r="O281" s="66">
        <f>(Hashtags!$L281+Hashtags!$N281)*100</f>
        <v>15.012639549088625</v>
      </c>
    </row>
    <row r="282" spans="1:15" x14ac:dyDescent="0.25">
      <c r="A282" s="59" t="s">
        <v>192</v>
      </c>
      <c r="B282" s="59" t="s">
        <v>14</v>
      </c>
      <c r="C282" s="60">
        <v>45762</v>
      </c>
      <c r="D282" s="59" t="s">
        <v>31</v>
      </c>
      <c r="E282" s="59">
        <v>20977</v>
      </c>
      <c r="F282" s="59">
        <v>1402</v>
      </c>
      <c r="G282" s="59">
        <v>301</v>
      </c>
      <c r="H282" s="59">
        <v>1284</v>
      </c>
      <c r="I282" s="59">
        <v>24620</v>
      </c>
      <c r="J282" s="59">
        <v>128009</v>
      </c>
      <c r="K282" s="59" t="s">
        <v>18</v>
      </c>
      <c r="L282" s="61">
        <v>0.17717504237983267</v>
      </c>
      <c r="M282" s="59" t="s">
        <v>48</v>
      </c>
      <c r="N282" s="61">
        <f>Hashtags!$H282/Hashtags!$J282</f>
        <v>1.003054472732386E-2</v>
      </c>
      <c r="O282" s="65">
        <f>(Hashtags!$L282+Hashtags!$N282)*100</f>
        <v>18.720558710715654</v>
      </c>
    </row>
    <row r="283" spans="1:15" x14ac:dyDescent="0.25">
      <c r="A283" s="62" t="s">
        <v>192</v>
      </c>
      <c r="B283" s="62" t="s">
        <v>14</v>
      </c>
      <c r="C283" s="63">
        <v>45762</v>
      </c>
      <c r="D283" s="62" t="s">
        <v>31</v>
      </c>
      <c r="E283" s="62">
        <v>20977</v>
      </c>
      <c r="F283" s="62">
        <v>1402</v>
      </c>
      <c r="G283" s="62">
        <v>301</v>
      </c>
      <c r="H283" s="62">
        <v>1284</v>
      </c>
      <c r="I283" s="62">
        <v>24620</v>
      </c>
      <c r="J283" s="62">
        <v>128009</v>
      </c>
      <c r="K283" s="62" t="s">
        <v>18</v>
      </c>
      <c r="L283" s="64">
        <v>0.17717504237983267</v>
      </c>
      <c r="M283" s="62" t="s">
        <v>32</v>
      </c>
      <c r="N283" s="64">
        <f>Hashtags!$H283/Hashtags!$J283</f>
        <v>1.003054472732386E-2</v>
      </c>
      <c r="O283" s="66">
        <f>(Hashtags!$L283+Hashtags!$N283)*100</f>
        <v>18.720558710715654</v>
      </c>
    </row>
    <row r="284" spans="1:15" x14ac:dyDescent="0.25">
      <c r="A284" s="59" t="s">
        <v>193</v>
      </c>
      <c r="B284" s="59" t="s">
        <v>25</v>
      </c>
      <c r="C284" s="60">
        <v>45459</v>
      </c>
      <c r="D284" s="59" t="s">
        <v>26</v>
      </c>
      <c r="E284" s="59">
        <v>12160</v>
      </c>
      <c r="F284" s="59">
        <v>1405</v>
      </c>
      <c r="G284" s="59">
        <v>769</v>
      </c>
      <c r="H284" s="59">
        <v>1980</v>
      </c>
      <c r="I284" s="59">
        <v>33174</v>
      </c>
      <c r="J284" s="59">
        <v>226481</v>
      </c>
      <c r="K284" s="59" t="s">
        <v>18</v>
      </c>
      <c r="L284" s="61">
        <v>6.329007731332871E-2</v>
      </c>
      <c r="M284" s="59" t="s">
        <v>16</v>
      </c>
      <c r="N284" s="61">
        <f>Hashtags!$H284/Hashtags!$J284</f>
        <v>8.7424552169939208E-3</v>
      </c>
      <c r="O284" s="65">
        <f>(Hashtags!$L284+Hashtags!$N284)*100</f>
        <v>7.2032532530322628</v>
      </c>
    </row>
    <row r="285" spans="1:15" x14ac:dyDescent="0.25">
      <c r="A285" s="62" t="s">
        <v>193</v>
      </c>
      <c r="B285" s="62" t="s">
        <v>25</v>
      </c>
      <c r="C285" s="63">
        <v>45459</v>
      </c>
      <c r="D285" s="62" t="s">
        <v>26</v>
      </c>
      <c r="E285" s="62">
        <v>12160</v>
      </c>
      <c r="F285" s="62">
        <v>1405</v>
      </c>
      <c r="G285" s="62">
        <v>769</v>
      </c>
      <c r="H285" s="62">
        <v>1980</v>
      </c>
      <c r="I285" s="62">
        <v>33174</v>
      </c>
      <c r="J285" s="62">
        <v>226481</v>
      </c>
      <c r="K285" s="62" t="s">
        <v>18</v>
      </c>
      <c r="L285" s="64">
        <v>6.329007731332871E-2</v>
      </c>
      <c r="M285" s="62" t="s">
        <v>17</v>
      </c>
      <c r="N285" s="64">
        <f>Hashtags!$H285/Hashtags!$J285</f>
        <v>8.7424552169939208E-3</v>
      </c>
      <c r="O285" s="66">
        <f>(Hashtags!$L285+Hashtags!$N285)*100</f>
        <v>7.2032532530322628</v>
      </c>
    </row>
    <row r="286" spans="1:15" x14ac:dyDescent="0.25">
      <c r="A286" s="59" t="s">
        <v>194</v>
      </c>
      <c r="B286" s="59" t="s">
        <v>20</v>
      </c>
      <c r="C286" s="60">
        <v>45526</v>
      </c>
      <c r="D286" s="59" t="s">
        <v>31</v>
      </c>
      <c r="E286" s="59">
        <v>16124</v>
      </c>
      <c r="F286" s="59">
        <v>863</v>
      </c>
      <c r="G286" s="59">
        <v>337</v>
      </c>
      <c r="H286" s="59">
        <v>819</v>
      </c>
      <c r="I286" s="59">
        <v>85788</v>
      </c>
      <c r="J286" s="59">
        <v>68625</v>
      </c>
      <c r="K286" s="59" t="s">
        <v>34</v>
      </c>
      <c r="L286" s="61">
        <v>0.25244444444444447</v>
      </c>
      <c r="M286" s="59" t="s">
        <v>62</v>
      </c>
      <c r="N286" s="61">
        <f>Hashtags!$H286/Hashtags!$J286</f>
        <v>1.1934426229508197E-2</v>
      </c>
      <c r="O286" s="65">
        <f>(Hashtags!$L286+Hashtags!$N286)*100</f>
        <v>26.437887067395266</v>
      </c>
    </row>
    <row r="287" spans="1:15" x14ac:dyDescent="0.25">
      <c r="A287" s="62" t="s">
        <v>194</v>
      </c>
      <c r="B287" s="62" t="s">
        <v>20</v>
      </c>
      <c r="C287" s="63">
        <v>45526</v>
      </c>
      <c r="D287" s="62" t="s">
        <v>31</v>
      </c>
      <c r="E287" s="62">
        <v>16124</v>
      </c>
      <c r="F287" s="62">
        <v>863</v>
      </c>
      <c r="G287" s="62">
        <v>337</v>
      </c>
      <c r="H287" s="62">
        <v>819</v>
      </c>
      <c r="I287" s="62">
        <v>85788</v>
      </c>
      <c r="J287" s="62">
        <v>68625</v>
      </c>
      <c r="K287" s="62" t="s">
        <v>34</v>
      </c>
      <c r="L287" s="64">
        <v>0.25244444444444447</v>
      </c>
      <c r="M287" s="62" t="s">
        <v>37</v>
      </c>
      <c r="N287" s="64">
        <f>Hashtags!$H287/Hashtags!$J287</f>
        <v>1.1934426229508197E-2</v>
      </c>
      <c r="O287" s="66">
        <f>(Hashtags!$L287+Hashtags!$N287)*100</f>
        <v>26.437887067395266</v>
      </c>
    </row>
    <row r="288" spans="1:15" x14ac:dyDescent="0.25">
      <c r="A288" s="59" t="s">
        <v>195</v>
      </c>
      <c r="B288" s="59" t="s">
        <v>14</v>
      </c>
      <c r="C288" s="60">
        <v>45499</v>
      </c>
      <c r="D288" s="59" t="s">
        <v>31</v>
      </c>
      <c r="E288" s="59">
        <v>18282</v>
      </c>
      <c r="F288" s="59">
        <v>224</v>
      </c>
      <c r="G288" s="59">
        <v>962</v>
      </c>
      <c r="H288" s="59">
        <v>890</v>
      </c>
      <c r="I288" s="59">
        <v>35105</v>
      </c>
      <c r="J288" s="59">
        <v>64089</v>
      </c>
      <c r="K288" s="59" t="s">
        <v>34</v>
      </c>
      <c r="L288" s="61">
        <v>0.30376507669022768</v>
      </c>
      <c r="M288" s="59" t="s">
        <v>71</v>
      </c>
      <c r="N288" s="61">
        <f>Hashtags!$H288/Hashtags!$J288</f>
        <v>1.3886938476181559E-2</v>
      </c>
      <c r="O288" s="65">
        <f>(Hashtags!$L288+Hashtags!$N288)*100</f>
        <v>31.765201516640921</v>
      </c>
    </row>
    <row r="289" spans="1:15" x14ac:dyDescent="0.25">
      <c r="A289" s="62" t="s">
        <v>196</v>
      </c>
      <c r="B289" s="62" t="s">
        <v>14</v>
      </c>
      <c r="C289" s="63">
        <v>45934</v>
      </c>
      <c r="D289" s="62" t="s">
        <v>31</v>
      </c>
      <c r="E289" s="62">
        <v>12488</v>
      </c>
      <c r="F289" s="62">
        <v>1403</v>
      </c>
      <c r="G289" s="62">
        <v>247</v>
      </c>
      <c r="H289" s="62">
        <v>1350</v>
      </c>
      <c r="I289" s="62">
        <v>28370</v>
      </c>
      <c r="J289" s="62">
        <v>76487</v>
      </c>
      <c r="K289" s="62" t="s">
        <v>23</v>
      </c>
      <c r="L289" s="64">
        <v>0.18484186855282597</v>
      </c>
      <c r="M289" s="62" t="s">
        <v>122</v>
      </c>
      <c r="N289" s="64">
        <f>Hashtags!$H289/Hashtags!$J289</f>
        <v>1.7650058179821407E-2</v>
      </c>
      <c r="O289" s="66">
        <f>(Hashtags!$L289+Hashtags!$N289)*100</f>
        <v>20.249192673264737</v>
      </c>
    </row>
    <row r="290" spans="1:15" x14ac:dyDescent="0.25">
      <c r="A290" s="59" t="s">
        <v>196</v>
      </c>
      <c r="B290" s="59" t="s">
        <v>14</v>
      </c>
      <c r="C290" s="60">
        <v>45934</v>
      </c>
      <c r="D290" s="59" t="s">
        <v>31</v>
      </c>
      <c r="E290" s="59">
        <v>12488</v>
      </c>
      <c r="F290" s="59">
        <v>1403</v>
      </c>
      <c r="G290" s="59">
        <v>247</v>
      </c>
      <c r="H290" s="59">
        <v>1350</v>
      </c>
      <c r="I290" s="59">
        <v>28370</v>
      </c>
      <c r="J290" s="59">
        <v>76487</v>
      </c>
      <c r="K290" s="59" t="s">
        <v>23</v>
      </c>
      <c r="L290" s="61">
        <v>0.18484186855282597</v>
      </c>
      <c r="M290" s="59" t="s">
        <v>123</v>
      </c>
      <c r="N290" s="61">
        <f>Hashtags!$H290/Hashtags!$J290</f>
        <v>1.7650058179821407E-2</v>
      </c>
      <c r="O290" s="65">
        <f>(Hashtags!$L290+Hashtags!$N290)*100</f>
        <v>20.249192673264737</v>
      </c>
    </row>
    <row r="291" spans="1:15" x14ac:dyDescent="0.25">
      <c r="A291" s="62" t="s">
        <v>197</v>
      </c>
      <c r="B291" s="62" t="s">
        <v>25</v>
      </c>
      <c r="C291" s="63">
        <v>45658</v>
      </c>
      <c r="D291" s="62" t="s">
        <v>31</v>
      </c>
      <c r="E291" s="62">
        <v>24574</v>
      </c>
      <c r="F291" s="62">
        <v>909</v>
      </c>
      <c r="G291" s="62">
        <v>280</v>
      </c>
      <c r="H291" s="62">
        <v>2009</v>
      </c>
      <c r="I291" s="62">
        <v>6221</v>
      </c>
      <c r="J291" s="62">
        <v>236910</v>
      </c>
      <c r="K291" s="62" t="s">
        <v>52</v>
      </c>
      <c r="L291" s="64">
        <v>0.10874593727575872</v>
      </c>
      <c r="M291" s="62" t="s">
        <v>21</v>
      </c>
      <c r="N291" s="64">
        <f>Hashtags!$H291/Hashtags!$J291</f>
        <v>8.4800135072390353E-3</v>
      </c>
      <c r="O291" s="66">
        <f>(Hashtags!$L291+Hashtags!$N291)*100</f>
        <v>11.722595078299776</v>
      </c>
    </row>
    <row r="292" spans="1:15" x14ac:dyDescent="0.25">
      <c r="A292" s="59" t="s">
        <v>197</v>
      </c>
      <c r="B292" s="59" t="s">
        <v>25</v>
      </c>
      <c r="C292" s="60">
        <v>45658</v>
      </c>
      <c r="D292" s="59" t="s">
        <v>31</v>
      </c>
      <c r="E292" s="59">
        <v>24574</v>
      </c>
      <c r="F292" s="59">
        <v>909</v>
      </c>
      <c r="G292" s="59">
        <v>280</v>
      </c>
      <c r="H292" s="59">
        <v>2009</v>
      </c>
      <c r="I292" s="59">
        <v>6221</v>
      </c>
      <c r="J292" s="59">
        <v>236910</v>
      </c>
      <c r="K292" s="59" t="s">
        <v>52</v>
      </c>
      <c r="L292" s="61">
        <v>0.10874593727575872</v>
      </c>
      <c r="M292" s="59" t="s">
        <v>22</v>
      </c>
      <c r="N292" s="61">
        <f>Hashtags!$H292/Hashtags!$J292</f>
        <v>8.4800135072390353E-3</v>
      </c>
      <c r="O292" s="65">
        <f>(Hashtags!$L292+Hashtags!$N292)*100</f>
        <v>11.722595078299776</v>
      </c>
    </row>
    <row r="293" spans="1:15" x14ac:dyDescent="0.25">
      <c r="A293" s="62" t="s">
        <v>198</v>
      </c>
      <c r="B293" s="62" t="s">
        <v>14</v>
      </c>
      <c r="C293" s="63">
        <v>45574</v>
      </c>
      <c r="D293" s="62" t="s">
        <v>31</v>
      </c>
      <c r="E293" s="62">
        <v>7240</v>
      </c>
      <c r="F293" s="62">
        <v>1384</v>
      </c>
      <c r="G293" s="62">
        <v>954</v>
      </c>
      <c r="H293" s="62">
        <v>2335</v>
      </c>
      <c r="I293" s="62">
        <v>6757</v>
      </c>
      <c r="J293" s="62">
        <v>150448</v>
      </c>
      <c r="K293" s="62" t="s">
        <v>29</v>
      </c>
      <c r="L293" s="64">
        <v>6.3663192598106988E-2</v>
      </c>
      <c r="M293" s="62" t="s">
        <v>48</v>
      </c>
      <c r="N293" s="64">
        <f>Hashtags!$H293/Hashtags!$J293</f>
        <v>1.5520312666170372E-2</v>
      </c>
      <c r="O293" s="66">
        <f>(Hashtags!$L293+Hashtags!$N293)*100</f>
        <v>7.9183505264277363</v>
      </c>
    </row>
    <row r="294" spans="1:15" x14ac:dyDescent="0.25">
      <c r="A294" s="59" t="s">
        <v>198</v>
      </c>
      <c r="B294" s="59" t="s">
        <v>14</v>
      </c>
      <c r="C294" s="60">
        <v>45574</v>
      </c>
      <c r="D294" s="59" t="s">
        <v>31</v>
      </c>
      <c r="E294" s="59">
        <v>7240</v>
      </c>
      <c r="F294" s="59">
        <v>1384</v>
      </c>
      <c r="G294" s="59">
        <v>954</v>
      </c>
      <c r="H294" s="59">
        <v>2335</v>
      </c>
      <c r="I294" s="59">
        <v>6757</v>
      </c>
      <c r="J294" s="59">
        <v>150448</v>
      </c>
      <c r="K294" s="59" t="s">
        <v>29</v>
      </c>
      <c r="L294" s="61">
        <v>6.3663192598106988E-2</v>
      </c>
      <c r="M294" s="59" t="s">
        <v>32</v>
      </c>
      <c r="N294" s="61">
        <f>Hashtags!$H294/Hashtags!$J294</f>
        <v>1.5520312666170372E-2</v>
      </c>
      <c r="O294" s="65">
        <f>(Hashtags!$L294+Hashtags!$N294)*100</f>
        <v>7.9183505264277363</v>
      </c>
    </row>
    <row r="295" spans="1:15" x14ac:dyDescent="0.25">
      <c r="A295" s="62" t="s">
        <v>199</v>
      </c>
      <c r="B295" s="62" t="s">
        <v>25</v>
      </c>
      <c r="C295" s="63">
        <v>45647</v>
      </c>
      <c r="D295" s="62" t="s">
        <v>15</v>
      </c>
      <c r="E295" s="62">
        <v>12453</v>
      </c>
      <c r="F295" s="62">
        <v>376</v>
      </c>
      <c r="G295" s="62">
        <v>320</v>
      </c>
      <c r="H295" s="62">
        <v>2546</v>
      </c>
      <c r="I295" s="62">
        <v>22617</v>
      </c>
      <c r="J295" s="62">
        <v>90138</v>
      </c>
      <c r="K295" s="62" t="s">
        <v>29</v>
      </c>
      <c r="L295" s="64">
        <v>0.14587632297144379</v>
      </c>
      <c r="M295" s="62" t="s">
        <v>16</v>
      </c>
      <c r="N295" s="64">
        <f>Hashtags!$H295/Hashtags!$J295</f>
        <v>2.824557900108722E-2</v>
      </c>
      <c r="O295" s="66">
        <f>(Hashtags!$L295+Hashtags!$N295)*100</f>
        <v>17.412190197253103</v>
      </c>
    </row>
    <row r="296" spans="1:15" x14ac:dyDescent="0.25">
      <c r="A296" s="59" t="s">
        <v>199</v>
      </c>
      <c r="B296" s="59" t="s">
        <v>25</v>
      </c>
      <c r="C296" s="60">
        <v>45647</v>
      </c>
      <c r="D296" s="59" t="s">
        <v>15</v>
      </c>
      <c r="E296" s="59">
        <v>12453</v>
      </c>
      <c r="F296" s="59">
        <v>376</v>
      </c>
      <c r="G296" s="59">
        <v>320</v>
      </c>
      <c r="H296" s="59">
        <v>2546</v>
      </c>
      <c r="I296" s="59">
        <v>22617</v>
      </c>
      <c r="J296" s="59">
        <v>90138</v>
      </c>
      <c r="K296" s="59" t="s">
        <v>29</v>
      </c>
      <c r="L296" s="61">
        <v>0.14587632297144379</v>
      </c>
      <c r="M296" s="59" t="s">
        <v>17</v>
      </c>
      <c r="N296" s="61">
        <f>Hashtags!$H296/Hashtags!$J296</f>
        <v>2.824557900108722E-2</v>
      </c>
      <c r="O296" s="65">
        <f>(Hashtags!$L296+Hashtags!$N296)*100</f>
        <v>17.412190197253103</v>
      </c>
    </row>
    <row r="297" spans="1:15" x14ac:dyDescent="0.25">
      <c r="A297" s="62" t="s">
        <v>200</v>
      </c>
      <c r="B297" s="62" t="s">
        <v>47</v>
      </c>
      <c r="C297" s="63">
        <v>45587</v>
      </c>
      <c r="D297" s="62" t="s">
        <v>26</v>
      </c>
      <c r="E297" s="62">
        <v>12478</v>
      </c>
      <c r="F297" s="62">
        <v>484</v>
      </c>
      <c r="G297" s="62">
        <v>332</v>
      </c>
      <c r="H297" s="62">
        <v>2734</v>
      </c>
      <c r="I297" s="62">
        <v>43338</v>
      </c>
      <c r="J297" s="62">
        <v>213895</v>
      </c>
      <c r="K297" s="62" t="s">
        <v>34</v>
      </c>
      <c r="L297" s="64">
        <v>6.2151990462610156E-2</v>
      </c>
      <c r="M297" s="62" t="s">
        <v>40</v>
      </c>
      <c r="N297" s="64">
        <f>Hashtags!$H297/Hashtags!$J297</f>
        <v>1.278197246312443E-2</v>
      </c>
      <c r="O297" s="66">
        <f>(Hashtags!$L297+Hashtags!$N297)*100</f>
        <v>7.4933962925734594</v>
      </c>
    </row>
    <row r="298" spans="1:15" x14ac:dyDescent="0.25">
      <c r="A298" s="59" t="s">
        <v>200</v>
      </c>
      <c r="B298" s="59" t="s">
        <v>47</v>
      </c>
      <c r="C298" s="60">
        <v>45587</v>
      </c>
      <c r="D298" s="59" t="s">
        <v>26</v>
      </c>
      <c r="E298" s="59">
        <v>12478</v>
      </c>
      <c r="F298" s="59">
        <v>484</v>
      </c>
      <c r="G298" s="59">
        <v>332</v>
      </c>
      <c r="H298" s="59">
        <v>2734</v>
      </c>
      <c r="I298" s="59">
        <v>43338</v>
      </c>
      <c r="J298" s="59">
        <v>213895</v>
      </c>
      <c r="K298" s="59" t="s">
        <v>34</v>
      </c>
      <c r="L298" s="61">
        <v>6.2151990462610156E-2</v>
      </c>
      <c r="M298" s="59" t="s">
        <v>41</v>
      </c>
      <c r="N298" s="61">
        <f>Hashtags!$H298/Hashtags!$J298</f>
        <v>1.278197246312443E-2</v>
      </c>
      <c r="O298" s="65">
        <f>(Hashtags!$L298+Hashtags!$N298)*100</f>
        <v>7.4933962925734594</v>
      </c>
    </row>
    <row r="299" spans="1:15" x14ac:dyDescent="0.25">
      <c r="A299" s="62" t="s">
        <v>201</v>
      </c>
      <c r="B299" s="62" t="s">
        <v>14</v>
      </c>
      <c r="C299" s="63">
        <v>45496</v>
      </c>
      <c r="D299" s="62" t="s">
        <v>31</v>
      </c>
      <c r="E299" s="62">
        <v>24877</v>
      </c>
      <c r="F299" s="62">
        <v>262</v>
      </c>
      <c r="G299" s="62">
        <v>513</v>
      </c>
      <c r="H299" s="62">
        <v>648</v>
      </c>
      <c r="I299" s="62">
        <v>47544</v>
      </c>
      <c r="J299" s="62">
        <v>208280</v>
      </c>
      <c r="K299" s="62" t="s">
        <v>29</v>
      </c>
      <c r="L299" s="64">
        <v>0.12316112924908777</v>
      </c>
      <c r="M299" s="62" t="s">
        <v>62</v>
      </c>
      <c r="N299" s="64">
        <f>Hashtags!$H299/Hashtags!$J299</f>
        <v>3.1111964662953718E-3</v>
      </c>
      <c r="O299" s="66">
        <f>(Hashtags!$L299+Hashtags!$N299)*100</f>
        <v>12.627232571538313</v>
      </c>
    </row>
    <row r="300" spans="1:15" x14ac:dyDescent="0.25">
      <c r="A300" s="59" t="s">
        <v>201</v>
      </c>
      <c r="B300" s="59" t="s">
        <v>14</v>
      </c>
      <c r="C300" s="60">
        <v>45496</v>
      </c>
      <c r="D300" s="59" t="s">
        <v>31</v>
      </c>
      <c r="E300" s="59">
        <v>24877</v>
      </c>
      <c r="F300" s="59">
        <v>262</v>
      </c>
      <c r="G300" s="59">
        <v>513</v>
      </c>
      <c r="H300" s="59">
        <v>648</v>
      </c>
      <c r="I300" s="59">
        <v>47544</v>
      </c>
      <c r="J300" s="59">
        <v>208280</v>
      </c>
      <c r="K300" s="59" t="s">
        <v>29</v>
      </c>
      <c r="L300" s="61">
        <v>0.12316112924908777</v>
      </c>
      <c r="M300" s="59" t="s">
        <v>37</v>
      </c>
      <c r="N300" s="61">
        <f>Hashtags!$H300/Hashtags!$J300</f>
        <v>3.1111964662953718E-3</v>
      </c>
      <c r="O300" s="65">
        <f>(Hashtags!$L300+Hashtags!$N300)*100</f>
        <v>12.627232571538313</v>
      </c>
    </row>
    <row r="301" spans="1:15" x14ac:dyDescent="0.25">
      <c r="A301" s="62" t="s">
        <v>202</v>
      </c>
      <c r="B301" s="62" t="s">
        <v>47</v>
      </c>
      <c r="C301" s="63">
        <v>45515</v>
      </c>
      <c r="D301" s="62" t="s">
        <v>39</v>
      </c>
      <c r="E301" s="62">
        <v>14394</v>
      </c>
      <c r="F301" s="62">
        <v>1202</v>
      </c>
      <c r="G301" s="62">
        <v>188</v>
      </c>
      <c r="H301" s="62">
        <v>1259</v>
      </c>
      <c r="I301" s="62">
        <v>21925</v>
      </c>
      <c r="J301" s="62">
        <v>94061</v>
      </c>
      <c r="K301" s="62" t="s">
        <v>34</v>
      </c>
      <c r="L301" s="64">
        <v>0.1678059982351878</v>
      </c>
      <c r="M301" s="62" t="s">
        <v>21</v>
      </c>
      <c r="N301" s="64">
        <f>Hashtags!$H301/Hashtags!$J301</f>
        <v>1.3384931055378956E-2</v>
      </c>
      <c r="O301" s="66">
        <f>(Hashtags!$L301+Hashtags!$N301)*100</f>
        <v>18.119092929056677</v>
      </c>
    </row>
    <row r="302" spans="1:15" x14ac:dyDescent="0.25">
      <c r="A302" s="59" t="s">
        <v>202</v>
      </c>
      <c r="B302" s="59" t="s">
        <v>47</v>
      </c>
      <c r="C302" s="60">
        <v>45515</v>
      </c>
      <c r="D302" s="59" t="s">
        <v>39</v>
      </c>
      <c r="E302" s="59">
        <v>14394</v>
      </c>
      <c r="F302" s="59">
        <v>1202</v>
      </c>
      <c r="G302" s="59">
        <v>188</v>
      </c>
      <c r="H302" s="59">
        <v>1259</v>
      </c>
      <c r="I302" s="59">
        <v>21925</v>
      </c>
      <c r="J302" s="59">
        <v>94061</v>
      </c>
      <c r="K302" s="59" t="s">
        <v>34</v>
      </c>
      <c r="L302" s="61">
        <v>0.1678059982351878</v>
      </c>
      <c r="M302" s="59" t="s">
        <v>22</v>
      </c>
      <c r="N302" s="61">
        <f>Hashtags!$H302/Hashtags!$J302</f>
        <v>1.3384931055378956E-2</v>
      </c>
      <c r="O302" s="65">
        <f>(Hashtags!$L302+Hashtags!$N302)*100</f>
        <v>18.119092929056677</v>
      </c>
    </row>
    <row r="303" spans="1:15" x14ac:dyDescent="0.25">
      <c r="A303" s="62" t="s">
        <v>203</v>
      </c>
      <c r="B303" s="62" t="s">
        <v>25</v>
      </c>
      <c r="C303" s="63">
        <v>45935</v>
      </c>
      <c r="D303" s="62" t="s">
        <v>26</v>
      </c>
      <c r="E303" s="62">
        <v>21262</v>
      </c>
      <c r="F303" s="62">
        <v>861</v>
      </c>
      <c r="G303" s="62">
        <v>676</v>
      </c>
      <c r="H303" s="62">
        <v>2263</v>
      </c>
      <c r="I303" s="62">
        <v>12085</v>
      </c>
      <c r="J303" s="62">
        <v>201731</v>
      </c>
      <c r="K303" s="62" t="s">
        <v>23</v>
      </c>
      <c r="L303" s="64">
        <v>0.11301683925623726</v>
      </c>
      <c r="M303" s="62" t="s">
        <v>40</v>
      </c>
      <c r="N303" s="64">
        <f>Hashtags!$H303/Hashtags!$J303</f>
        <v>1.121790899762555E-2</v>
      </c>
      <c r="O303" s="66">
        <f>(Hashtags!$L303+Hashtags!$N303)*100</f>
        <v>12.423474825386281</v>
      </c>
    </row>
    <row r="304" spans="1:15" x14ac:dyDescent="0.25">
      <c r="A304" s="59" t="s">
        <v>203</v>
      </c>
      <c r="B304" s="59" t="s">
        <v>25</v>
      </c>
      <c r="C304" s="60">
        <v>45935</v>
      </c>
      <c r="D304" s="59" t="s">
        <v>26</v>
      </c>
      <c r="E304" s="59">
        <v>21262</v>
      </c>
      <c r="F304" s="59">
        <v>861</v>
      </c>
      <c r="G304" s="59">
        <v>676</v>
      </c>
      <c r="H304" s="59">
        <v>2263</v>
      </c>
      <c r="I304" s="59">
        <v>12085</v>
      </c>
      <c r="J304" s="59">
        <v>201731</v>
      </c>
      <c r="K304" s="59" t="s">
        <v>23</v>
      </c>
      <c r="L304" s="61">
        <v>0.11301683925623726</v>
      </c>
      <c r="M304" s="59" t="s">
        <v>41</v>
      </c>
      <c r="N304" s="61">
        <f>Hashtags!$H304/Hashtags!$J304</f>
        <v>1.121790899762555E-2</v>
      </c>
      <c r="O304" s="65">
        <f>(Hashtags!$L304+Hashtags!$N304)*100</f>
        <v>12.423474825386281</v>
      </c>
    </row>
    <row r="305" spans="1:15" x14ac:dyDescent="0.25">
      <c r="A305" s="62" t="s">
        <v>204</v>
      </c>
      <c r="B305" s="62" t="s">
        <v>20</v>
      </c>
      <c r="C305" s="63">
        <v>45528</v>
      </c>
      <c r="D305" s="62" t="s">
        <v>26</v>
      </c>
      <c r="E305" s="62">
        <v>22527</v>
      </c>
      <c r="F305" s="62">
        <v>865</v>
      </c>
      <c r="G305" s="62">
        <v>646</v>
      </c>
      <c r="H305" s="62">
        <v>992</v>
      </c>
      <c r="I305" s="62">
        <v>18654</v>
      </c>
      <c r="J305" s="62">
        <v>141376</v>
      </c>
      <c r="K305" s="62" t="s">
        <v>52</v>
      </c>
      <c r="L305" s="64">
        <v>0.17002885921231325</v>
      </c>
      <c r="M305" s="62" t="s">
        <v>62</v>
      </c>
      <c r="N305" s="64">
        <f>Hashtags!$H305/Hashtags!$J305</f>
        <v>7.0167496604798549E-3</v>
      </c>
      <c r="O305" s="66">
        <f>(Hashtags!$L305+Hashtags!$N305)*100</f>
        <v>17.70456088727931</v>
      </c>
    </row>
    <row r="306" spans="1:15" x14ac:dyDescent="0.25">
      <c r="A306" s="59" t="s">
        <v>204</v>
      </c>
      <c r="B306" s="59" t="s">
        <v>20</v>
      </c>
      <c r="C306" s="60">
        <v>45528</v>
      </c>
      <c r="D306" s="59" t="s">
        <v>26</v>
      </c>
      <c r="E306" s="59">
        <v>22527</v>
      </c>
      <c r="F306" s="59">
        <v>865</v>
      </c>
      <c r="G306" s="59">
        <v>646</v>
      </c>
      <c r="H306" s="59">
        <v>992</v>
      </c>
      <c r="I306" s="59">
        <v>18654</v>
      </c>
      <c r="J306" s="59">
        <v>141376</v>
      </c>
      <c r="K306" s="59" t="s">
        <v>52</v>
      </c>
      <c r="L306" s="61">
        <v>0.17002885921231325</v>
      </c>
      <c r="M306" s="59" t="s">
        <v>37</v>
      </c>
      <c r="N306" s="61">
        <f>Hashtags!$H306/Hashtags!$J306</f>
        <v>7.0167496604798549E-3</v>
      </c>
      <c r="O306" s="65">
        <f>(Hashtags!$L306+Hashtags!$N306)*100</f>
        <v>17.70456088727931</v>
      </c>
    </row>
    <row r="307" spans="1:15" x14ac:dyDescent="0.25">
      <c r="A307" s="62" t="s">
        <v>205</v>
      </c>
      <c r="B307" s="62" t="s">
        <v>14</v>
      </c>
      <c r="C307" s="63">
        <v>45936</v>
      </c>
      <c r="D307" s="62" t="s">
        <v>31</v>
      </c>
      <c r="E307" s="62">
        <v>22028</v>
      </c>
      <c r="F307" s="62">
        <v>355</v>
      </c>
      <c r="G307" s="62">
        <v>665</v>
      </c>
      <c r="H307" s="62">
        <v>1859</v>
      </c>
      <c r="I307" s="62">
        <v>50565</v>
      </c>
      <c r="J307" s="62">
        <v>202962</v>
      </c>
      <c r="K307" s="62" t="s">
        <v>23</v>
      </c>
      <c r="L307" s="64">
        <v>0.11355820301337197</v>
      </c>
      <c r="M307" s="62" t="s">
        <v>27</v>
      </c>
      <c r="N307" s="64">
        <f>Hashtags!$H307/Hashtags!$J307</f>
        <v>9.1593500261132627E-3</v>
      </c>
      <c r="O307" s="66">
        <f>(Hashtags!$L307+Hashtags!$N307)*100</f>
        <v>12.271755303948522</v>
      </c>
    </row>
    <row r="308" spans="1:15" x14ac:dyDescent="0.25">
      <c r="A308" s="59" t="s">
        <v>205</v>
      </c>
      <c r="B308" s="59" t="s">
        <v>14</v>
      </c>
      <c r="C308" s="60">
        <v>45936</v>
      </c>
      <c r="D308" s="59" t="s">
        <v>31</v>
      </c>
      <c r="E308" s="59">
        <v>22028</v>
      </c>
      <c r="F308" s="59">
        <v>355</v>
      </c>
      <c r="G308" s="59">
        <v>665</v>
      </c>
      <c r="H308" s="59">
        <v>1859</v>
      </c>
      <c r="I308" s="59">
        <v>50565</v>
      </c>
      <c r="J308" s="59">
        <v>202962</v>
      </c>
      <c r="K308" s="59" t="s">
        <v>23</v>
      </c>
      <c r="L308" s="61">
        <v>0.11355820301337197</v>
      </c>
      <c r="M308" s="59" t="s">
        <v>28</v>
      </c>
      <c r="N308" s="61">
        <f>Hashtags!$H308/Hashtags!$J308</f>
        <v>9.1593500261132627E-3</v>
      </c>
      <c r="O308" s="65">
        <f>(Hashtags!$L308+Hashtags!$N308)*100</f>
        <v>12.271755303948522</v>
      </c>
    </row>
    <row r="309" spans="1:15" x14ac:dyDescent="0.25">
      <c r="A309" s="62" t="s">
        <v>206</v>
      </c>
      <c r="B309" s="62" t="s">
        <v>25</v>
      </c>
      <c r="C309" s="63">
        <v>45748</v>
      </c>
      <c r="D309" s="62" t="s">
        <v>15</v>
      </c>
      <c r="E309" s="62">
        <v>6432</v>
      </c>
      <c r="F309" s="62">
        <v>1272</v>
      </c>
      <c r="G309" s="62">
        <v>498</v>
      </c>
      <c r="H309" s="62">
        <v>677</v>
      </c>
      <c r="I309" s="62">
        <v>47305</v>
      </c>
      <c r="J309" s="62">
        <v>119134</v>
      </c>
      <c r="K309" s="62" t="s">
        <v>18</v>
      </c>
      <c r="L309" s="64">
        <v>6.8846844729464299E-2</v>
      </c>
      <c r="M309" s="62" t="s">
        <v>40</v>
      </c>
      <c r="N309" s="64">
        <f>Hashtags!$H309/Hashtags!$J309</f>
        <v>5.6826766498228884E-3</v>
      </c>
      <c r="O309" s="66">
        <f>(Hashtags!$L309+Hashtags!$N309)*100</f>
        <v>7.4529521379287189</v>
      </c>
    </row>
    <row r="310" spans="1:15" x14ac:dyDescent="0.25">
      <c r="A310" s="59" t="s">
        <v>206</v>
      </c>
      <c r="B310" s="59" t="s">
        <v>25</v>
      </c>
      <c r="C310" s="60">
        <v>45748</v>
      </c>
      <c r="D310" s="59" t="s">
        <v>15</v>
      </c>
      <c r="E310" s="59">
        <v>6432</v>
      </c>
      <c r="F310" s="59">
        <v>1272</v>
      </c>
      <c r="G310" s="59">
        <v>498</v>
      </c>
      <c r="H310" s="59">
        <v>677</v>
      </c>
      <c r="I310" s="59">
        <v>47305</v>
      </c>
      <c r="J310" s="59">
        <v>119134</v>
      </c>
      <c r="K310" s="59" t="s">
        <v>18</v>
      </c>
      <c r="L310" s="61">
        <v>6.8846844729464299E-2</v>
      </c>
      <c r="M310" s="59" t="s">
        <v>41</v>
      </c>
      <c r="N310" s="61">
        <f>Hashtags!$H310/Hashtags!$J310</f>
        <v>5.6826766498228884E-3</v>
      </c>
      <c r="O310" s="65">
        <f>(Hashtags!$L310+Hashtags!$N310)*100</f>
        <v>7.4529521379287189</v>
      </c>
    </row>
    <row r="311" spans="1:15" x14ac:dyDescent="0.25">
      <c r="A311" s="62" t="s">
        <v>207</v>
      </c>
      <c r="B311" s="62" t="s">
        <v>20</v>
      </c>
      <c r="C311" s="63">
        <v>45755</v>
      </c>
      <c r="D311" s="62" t="s">
        <v>31</v>
      </c>
      <c r="E311" s="62">
        <v>15568</v>
      </c>
      <c r="F311" s="62">
        <v>1166</v>
      </c>
      <c r="G311" s="62">
        <v>546</v>
      </c>
      <c r="H311" s="62">
        <v>826</v>
      </c>
      <c r="I311" s="62">
        <v>21836</v>
      </c>
      <c r="J311" s="62">
        <v>87055</v>
      </c>
      <c r="K311" s="62" t="s">
        <v>18</v>
      </c>
      <c r="L311" s="64">
        <v>0.19849520418126471</v>
      </c>
      <c r="M311" s="62" t="s">
        <v>16</v>
      </c>
      <c r="N311" s="64">
        <f>Hashtags!$H311/Hashtags!$J311</f>
        <v>9.4882545517201763E-3</v>
      </c>
      <c r="O311" s="66">
        <f>(Hashtags!$L311+Hashtags!$N311)*100</f>
        <v>20.798345873298487</v>
      </c>
    </row>
    <row r="312" spans="1:15" x14ac:dyDescent="0.25">
      <c r="A312" s="59" t="s">
        <v>207</v>
      </c>
      <c r="B312" s="59" t="s">
        <v>20</v>
      </c>
      <c r="C312" s="60">
        <v>45755</v>
      </c>
      <c r="D312" s="59" t="s">
        <v>31</v>
      </c>
      <c r="E312" s="59">
        <v>15568</v>
      </c>
      <c r="F312" s="59">
        <v>1166</v>
      </c>
      <c r="G312" s="59">
        <v>546</v>
      </c>
      <c r="H312" s="59">
        <v>826</v>
      </c>
      <c r="I312" s="59">
        <v>21836</v>
      </c>
      <c r="J312" s="59">
        <v>87055</v>
      </c>
      <c r="K312" s="59" t="s">
        <v>18</v>
      </c>
      <c r="L312" s="61">
        <v>0.19849520418126471</v>
      </c>
      <c r="M312" s="59" t="s">
        <v>17</v>
      </c>
      <c r="N312" s="61">
        <f>Hashtags!$H312/Hashtags!$J312</f>
        <v>9.4882545517201763E-3</v>
      </c>
      <c r="O312" s="65">
        <f>(Hashtags!$L312+Hashtags!$N312)*100</f>
        <v>20.798345873298487</v>
      </c>
    </row>
    <row r="313" spans="1:15" x14ac:dyDescent="0.25">
      <c r="A313" s="62" t="s">
        <v>208</v>
      </c>
      <c r="B313" s="62" t="s">
        <v>20</v>
      </c>
      <c r="C313" s="63">
        <v>45715</v>
      </c>
      <c r="D313" s="62" t="s">
        <v>15</v>
      </c>
      <c r="E313" s="62">
        <v>16178</v>
      </c>
      <c r="F313" s="62">
        <v>1048</v>
      </c>
      <c r="G313" s="62">
        <v>871</v>
      </c>
      <c r="H313" s="62">
        <v>2553</v>
      </c>
      <c r="I313" s="62">
        <v>39025</v>
      </c>
      <c r="J313" s="62">
        <v>59508</v>
      </c>
      <c r="K313" s="62" t="s">
        <v>18</v>
      </c>
      <c r="L313" s="64">
        <v>0.30411037171472743</v>
      </c>
      <c r="M313" s="62" t="s">
        <v>21</v>
      </c>
      <c r="N313" s="64">
        <f>Hashtags!$H313/Hashtags!$J313</f>
        <v>4.2901794716676753E-2</v>
      </c>
      <c r="O313" s="66">
        <f>(Hashtags!$L313+Hashtags!$N313)*100</f>
        <v>34.70121664314042</v>
      </c>
    </row>
    <row r="314" spans="1:15" x14ac:dyDescent="0.25">
      <c r="A314" s="59" t="s">
        <v>208</v>
      </c>
      <c r="B314" s="59" t="s">
        <v>20</v>
      </c>
      <c r="C314" s="60">
        <v>45715</v>
      </c>
      <c r="D314" s="59" t="s">
        <v>15</v>
      </c>
      <c r="E314" s="59">
        <v>16178</v>
      </c>
      <c r="F314" s="59">
        <v>1048</v>
      </c>
      <c r="G314" s="59">
        <v>871</v>
      </c>
      <c r="H314" s="59">
        <v>2553</v>
      </c>
      <c r="I314" s="59">
        <v>39025</v>
      </c>
      <c r="J314" s="59">
        <v>59508</v>
      </c>
      <c r="K314" s="59" t="s">
        <v>18</v>
      </c>
      <c r="L314" s="61">
        <v>0.30411037171472743</v>
      </c>
      <c r="M314" s="59" t="s">
        <v>22</v>
      </c>
      <c r="N314" s="61">
        <f>Hashtags!$H314/Hashtags!$J314</f>
        <v>4.2901794716676753E-2</v>
      </c>
      <c r="O314" s="65">
        <f>(Hashtags!$L314+Hashtags!$N314)*100</f>
        <v>34.70121664314042</v>
      </c>
    </row>
    <row r="315" spans="1:15" x14ac:dyDescent="0.25">
      <c r="A315" s="62" t="s">
        <v>209</v>
      </c>
      <c r="B315" s="62" t="s">
        <v>47</v>
      </c>
      <c r="C315" s="63">
        <v>45937</v>
      </c>
      <c r="D315" s="62" t="s">
        <v>39</v>
      </c>
      <c r="E315" s="62">
        <v>19660</v>
      </c>
      <c r="F315" s="62">
        <v>1307</v>
      </c>
      <c r="G315" s="62">
        <v>310</v>
      </c>
      <c r="H315" s="62">
        <v>2802</v>
      </c>
      <c r="I315" s="62">
        <v>22171</v>
      </c>
      <c r="J315" s="62">
        <v>213359</v>
      </c>
      <c r="K315" s="62" t="s">
        <v>23</v>
      </c>
      <c r="L315" s="64">
        <v>9.9723939463533293E-2</v>
      </c>
      <c r="M315" s="62" t="s">
        <v>43</v>
      </c>
      <c r="N315" s="64">
        <f>Hashtags!$H315/Hashtags!$J315</f>
        <v>1.3132794960606303E-2</v>
      </c>
      <c r="O315" s="66">
        <f>(Hashtags!$L315+Hashtags!$N315)*100</f>
        <v>11.285673442413961</v>
      </c>
    </row>
    <row r="316" spans="1:15" x14ac:dyDescent="0.25">
      <c r="A316" s="59" t="s">
        <v>209</v>
      </c>
      <c r="B316" s="59" t="s">
        <v>47</v>
      </c>
      <c r="C316" s="60">
        <v>45937</v>
      </c>
      <c r="D316" s="59" t="s">
        <v>39</v>
      </c>
      <c r="E316" s="59">
        <v>19660</v>
      </c>
      <c r="F316" s="59">
        <v>1307</v>
      </c>
      <c r="G316" s="59">
        <v>310</v>
      </c>
      <c r="H316" s="59">
        <v>2802</v>
      </c>
      <c r="I316" s="59">
        <v>22171</v>
      </c>
      <c r="J316" s="59">
        <v>213359</v>
      </c>
      <c r="K316" s="59" t="s">
        <v>23</v>
      </c>
      <c r="L316" s="61">
        <v>9.9723939463533293E-2</v>
      </c>
      <c r="M316" s="59" t="s">
        <v>44</v>
      </c>
      <c r="N316" s="61">
        <f>Hashtags!$H316/Hashtags!$J316</f>
        <v>1.3132794960606303E-2</v>
      </c>
      <c r="O316" s="65">
        <f>(Hashtags!$L316+Hashtags!$N316)*100</f>
        <v>11.285673442413961</v>
      </c>
    </row>
    <row r="317" spans="1:15" x14ac:dyDescent="0.25">
      <c r="A317" s="62" t="s">
        <v>210</v>
      </c>
      <c r="B317" s="62" t="s">
        <v>25</v>
      </c>
      <c r="C317" s="63">
        <v>45704</v>
      </c>
      <c r="D317" s="62" t="s">
        <v>26</v>
      </c>
      <c r="E317" s="62">
        <v>24195</v>
      </c>
      <c r="F317" s="62">
        <v>888</v>
      </c>
      <c r="G317" s="62">
        <v>165</v>
      </c>
      <c r="H317" s="62">
        <v>1559</v>
      </c>
      <c r="I317" s="62">
        <v>11596</v>
      </c>
      <c r="J317" s="62">
        <v>249988</v>
      </c>
      <c r="K317" s="62" t="s">
        <v>29</v>
      </c>
      <c r="L317" s="64">
        <v>0.10099684784869674</v>
      </c>
      <c r="M317" s="62" t="s">
        <v>32</v>
      </c>
      <c r="N317" s="64">
        <f>Hashtags!$H317/Hashtags!$J317</f>
        <v>6.2362993423684338E-3</v>
      </c>
      <c r="O317" s="66">
        <f>(Hashtags!$L317+Hashtags!$N317)*100</f>
        <v>10.723314719106519</v>
      </c>
    </row>
    <row r="318" spans="1:15" x14ac:dyDescent="0.25">
      <c r="A318" s="59" t="s">
        <v>210</v>
      </c>
      <c r="B318" s="59" t="s">
        <v>25</v>
      </c>
      <c r="C318" s="60">
        <v>45704</v>
      </c>
      <c r="D318" s="59" t="s">
        <v>26</v>
      </c>
      <c r="E318" s="59">
        <v>24195</v>
      </c>
      <c r="F318" s="59">
        <v>888</v>
      </c>
      <c r="G318" s="59">
        <v>165</v>
      </c>
      <c r="H318" s="59">
        <v>1559</v>
      </c>
      <c r="I318" s="59">
        <v>11596</v>
      </c>
      <c r="J318" s="59">
        <v>249988</v>
      </c>
      <c r="K318" s="59" t="s">
        <v>29</v>
      </c>
      <c r="L318" s="61">
        <v>0.10099684784869674</v>
      </c>
      <c r="M318" s="59" t="s">
        <v>57</v>
      </c>
      <c r="N318" s="61">
        <f>Hashtags!$H318/Hashtags!$J318</f>
        <v>6.2362993423684338E-3</v>
      </c>
      <c r="O318" s="65">
        <f>(Hashtags!$L318+Hashtags!$N318)*100</f>
        <v>10.723314719106519</v>
      </c>
    </row>
    <row r="319" spans="1:15" x14ac:dyDescent="0.25">
      <c r="A319" s="62" t="s">
        <v>211</v>
      </c>
      <c r="B319" s="62" t="s">
        <v>20</v>
      </c>
      <c r="C319" s="63">
        <v>45624</v>
      </c>
      <c r="D319" s="62" t="s">
        <v>39</v>
      </c>
      <c r="E319" s="62">
        <v>2302</v>
      </c>
      <c r="F319" s="62">
        <v>347</v>
      </c>
      <c r="G319" s="62">
        <v>642</v>
      </c>
      <c r="H319" s="62">
        <v>2175</v>
      </c>
      <c r="I319" s="62">
        <v>56378</v>
      </c>
      <c r="J319" s="62">
        <v>198056</v>
      </c>
      <c r="K319" s="62" t="s">
        <v>52</v>
      </c>
      <c r="L319" s="64">
        <v>1.6616512501514722E-2</v>
      </c>
      <c r="M319" s="62" t="s">
        <v>32</v>
      </c>
      <c r="N319" s="64">
        <f>Hashtags!$H319/Hashtags!$J319</f>
        <v>1.0981742537464152E-2</v>
      </c>
      <c r="O319" s="66">
        <f>(Hashtags!$L319+Hashtags!$N319)*100</f>
        <v>2.7598255038978876</v>
      </c>
    </row>
    <row r="320" spans="1:15" x14ac:dyDescent="0.25">
      <c r="A320" s="59" t="s">
        <v>211</v>
      </c>
      <c r="B320" s="59" t="s">
        <v>20</v>
      </c>
      <c r="C320" s="60">
        <v>45624</v>
      </c>
      <c r="D320" s="59" t="s">
        <v>39</v>
      </c>
      <c r="E320" s="59">
        <v>2302</v>
      </c>
      <c r="F320" s="59">
        <v>347</v>
      </c>
      <c r="G320" s="59">
        <v>642</v>
      </c>
      <c r="H320" s="59">
        <v>2175</v>
      </c>
      <c r="I320" s="59">
        <v>56378</v>
      </c>
      <c r="J320" s="59">
        <v>198056</v>
      </c>
      <c r="K320" s="59" t="s">
        <v>52</v>
      </c>
      <c r="L320" s="61">
        <v>1.6616512501514722E-2</v>
      </c>
      <c r="M320" s="59" t="s">
        <v>57</v>
      </c>
      <c r="N320" s="61">
        <f>Hashtags!$H320/Hashtags!$J320</f>
        <v>1.0981742537464152E-2</v>
      </c>
      <c r="O320" s="65">
        <f>(Hashtags!$L320+Hashtags!$N320)*100</f>
        <v>2.7598255038978876</v>
      </c>
    </row>
    <row r="321" spans="1:15" x14ac:dyDescent="0.25">
      <c r="A321" s="62" t="s">
        <v>212</v>
      </c>
      <c r="B321" s="62" t="s">
        <v>14</v>
      </c>
      <c r="C321" s="63">
        <v>45608</v>
      </c>
      <c r="D321" s="62" t="s">
        <v>15</v>
      </c>
      <c r="E321" s="62">
        <v>19022</v>
      </c>
      <c r="F321" s="62">
        <v>541</v>
      </c>
      <c r="G321" s="62">
        <v>575</v>
      </c>
      <c r="H321" s="62">
        <v>2063</v>
      </c>
      <c r="I321" s="62">
        <v>42743</v>
      </c>
      <c r="J321" s="62">
        <v>150169</v>
      </c>
      <c r="K321" s="62" t="s">
        <v>18</v>
      </c>
      <c r="L321" s="64">
        <v>0.13410224480418728</v>
      </c>
      <c r="M321" s="62" t="s">
        <v>21</v>
      </c>
      <c r="N321" s="64">
        <f>Hashtags!$H321/Hashtags!$J321</f>
        <v>1.3737855349639406E-2</v>
      </c>
      <c r="O321" s="66">
        <f>(Hashtags!$L321+Hashtags!$N321)*100</f>
        <v>14.784010015382668</v>
      </c>
    </row>
    <row r="322" spans="1:15" x14ac:dyDescent="0.25">
      <c r="A322" s="59" t="s">
        <v>212</v>
      </c>
      <c r="B322" s="59" t="s">
        <v>14</v>
      </c>
      <c r="C322" s="60">
        <v>45608</v>
      </c>
      <c r="D322" s="59" t="s">
        <v>15</v>
      </c>
      <c r="E322" s="59">
        <v>19022</v>
      </c>
      <c r="F322" s="59">
        <v>541</v>
      </c>
      <c r="G322" s="59">
        <v>575</v>
      </c>
      <c r="H322" s="59">
        <v>2063</v>
      </c>
      <c r="I322" s="59">
        <v>42743</v>
      </c>
      <c r="J322" s="59">
        <v>150169</v>
      </c>
      <c r="K322" s="59" t="s">
        <v>18</v>
      </c>
      <c r="L322" s="61">
        <v>0.13410224480418728</v>
      </c>
      <c r="M322" s="59" t="s">
        <v>22</v>
      </c>
      <c r="N322" s="61">
        <f>Hashtags!$H322/Hashtags!$J322</f>
        <v>1.3737855349639406E-2</v>
      </c>
      <c r="O322" s="65">
        <f>(Hashtags!$L322+Hashtags!$N322)*100</f>
        <v>14.784010015382668</v>
      </c>
    </row>
    <row r="323" spans="1:15" x14ac:dyDescent="0.25">
      <c r="A323" s="62" t="s">
        <v>213</v>
      </c>
      <c r="B323" s="62" t="s">
        <v>14</v>
      </c>
      <c r="C323" s="63">
        <v>45629</v>
      </c>
      <c r="D323" s="62" t="s">
        <v>15</v>
      </c>
      <c r="E323" s="62">
        <v>2055</v>
      </c>
      <c r="F323" s="62">
        <v>675</v>
      </c>
      <c r="G323" s="62">
        <v>257</v>
      </c>
      <c r="H323" s="62">
        <v>820</v>
      </c>
      <c r="I323" s="62">
        <v>33534</v>
      </c>
      <c r="J323" s="62">
        <v>48125</v>
      </c>
      <c r="K323" s="62" t="s">
        <v>18</v>
      </c>
      <c r="L323" s="64">
        <v>6.2067532467532466E-2</v>
      </c>
      <c r="M323" s="62" t="s">
        <v>40</v>
      </c>
      <c r="N323" s="64">
        <f>Hashtags!$H323/Hashtags!$J323</f>
        <v>1.7038961038961038E-2</v>
      </c>
      <c r="O323" s="66">
        <f>(Hashtags!$L323+Hashtags!$N323)*100</f>
        <v>7.9106493506493498</v>
      </c>
    </row>
    <row r="324" spans="1:15" x14ac:dyDescent="0.25">
      <c r="A324" s="59" t="s">
        <v>213</v>
      </c>
      <c r="B324" s="59" t="s">
        <v>14</v>
      </c>
      <c r="C324" s="60">
        <v>45629</v>
      </c>
      <c r="D324" s="59" t="s">
        <v>15</v>
      </c>
      <c r="E324" s="59">
        <v>2055</v>
      </c>
      <c r="F324" s="59">
        <v>675</v>
      </c>
      <c r="G324" s="59">
        <v>257</v>
      </c>
      <c r="H324" s="59">
        <v>820</v>
      </c>
      <c r="I324" s="59">
        <v>33534</v>
      </c>
      <c r="J324" s="59">
        <v>48125</v>
      </c>
      <c r="K324" s="59" t="s">
        <v>18</v>
      </c>
      <c r="L324" s="61">
        <v>6.2067532467532466E-2</v>
      </c>
      <c r="M324" s="59" t="s">
        <v>41</v>
      </c>
      <c r="N324" s="61">
        <f>Hashtags!$H324/Hashtags!$J324</f>
        <v>1.7038961038961038E-2</v>
      </c>
      <c r="O324" s="65">
        <f>(Hashtags!$L324+Hashtags!$N324)*100</f>
        <v>7.9106493506493498</v>
      </c>
    </row>
    <row r="325" spans="1:15" x14ac:dyDescent="0.25">
      <c r="A325" s="62" t="s">
        <v>214</v>
      </c>
      <c r="B325" s="62" t="s">
        <v>47</v>
      </c>
      <c r="C325" s="63">
        <v>45775</v>
      </c>
      <c r="D325" s="62" t="s">
        <v>39</v>
      </c>
      <c r="E325" s="62">
        <v>15013</v>
      </c>
      <c r="F325" s="62">
        <v>1286</v>
      </c>
      <c r="G325" s="62">
        <v>599</v>
      </c>
      <c r="H325" s="62">
        <v>2001</v>
      </c>
      <c r="I325" s="62">
        <v>67839</v>
      </c>
      <c r="J325" s="62">
        <v>76059</v>
      </c>
      <c r="K325" s="62" t="s">
        <v>18</v>
      </c>
      <c r="L325" s="64">
        <v>0.22216963147030594</v>
      </c>
      <c r="M325" s="62" t="s">
        <v>62</v>
      </c>
      <c r="N325" s="64">
        <f>Hashtags!$H325/Hashtags!$J325</f>
        <v>2.6308523646116831E-2</v>
      </c>
      <c r="O325" s="66">
        <f>(Hashtags!$L325+Hashtags!$N325)*100</f>
        <v>24.847815511642278</v>
      </c>
    </row>
    <row r="326" spans="1:15" x14ac:dyDescent="0.25">
      <c r="A326" s="59" t="s">
        <v>214</v>
      </c>
      <c r="B326" s="59" t="s">
        <v>47</v>
      </c>
      <c r="C326" s="60">
        <v>45775</v>
      </c>
      <c r="D326" s="59" t="s">
        <v>39</v>
      </c>
      <c r="E326" s="59">
        <v>15013</v>
      </c>
      <c r="F326" s="59">
        <v>1286</v>
      </c>
      <c r="G326" s="59">
        <v>599</v>
      </c>
      <c r="H326" s="59">
        <v>2001</v>
      </c>
      <c r="I326" s="59">
        <v>67839</v>
      </c>
      <c r="J326" s="59">
        <v>76059</v>
      </c>
      <c r="K326" s="59" t="s">
        <v>18</v>
      </c>
      <c r="L326" s="61">
        <v>0.22216963147030594</v>
      </c>
      <c r="M326" s="59" t="s">
        <v>37</v>
      </c>
      <c r="N326" s="61">
        <f>Hashtags!$H326/Hashtags!$J326</f>
        <v>2.6308523646116831E-2</v>
      </c>
      <c r="O326" s="65">
        <f>(Hashtags!$L326+Hashtags!$N326)*100</f>
        <v>24.847815511642278</v>
      </c>
    </row>
    <row r="327" spans="1:15" x14ac:dyDescent="0.25">
      <c r="A327" s="62" t="s">
        <v>215</v>
      </c>
      <c r="B327" s="62" t="s">
        <v>20</v>
      </c>
      <c r="C327" s="63">
        <v>45657</v>
      </c>
      <c r="D327" s="62" t="s">
        <v>15</v>
      </c>
      <c r="E327" s="62">
        <v>10717</v>
      </c>
      <c r="F327" s="62">
        <v>760</v>
      </c>
      <c r="G327" s="62">
        <v>460</v>
      </c>
      <c r="H327" s="62">
        <v>1316</v>
      </c>
      <c r="I327" s="62">
        <v>18164</v>
      </c>
      <c r="J327" s="62">
        <v>240641</v>
      </c>
      <c r="K327" s="62" t="s">
        <v>52</v>
      </c>
      <c r="L327" s="64">
        <v>4.9605013277039242E-2</v>
      </c>
      <c r="M327" s="62" t="s">
        <v>16</v>
      </c>
      <c r="N327" s="64">
        <f>Hashtags!$H327/Hashtags!$J327</f>
        <v>5.4687272742383886E-3</v>
      </c>
      <c r="O327" s="66">
        <f>(Hashtags!$L327+Hashtags!$N327)*100</f>
        <v>5.5073740551277632</v>
      </c>
    </row>
    <row r="328" spans="1:15" x14ac:dyDescent="0.25">
      <c r="A328" s="59" t="s">
        <v>215</v>
      </c>
      <c r="B328" s="59" t="s">
        <v>20</v>
      </c>
      <c r="C328" s="60">
        <v>45657</v>
      </c>
      <c r="D328" s="59" t="s">
        <v>15</v>
      </c>
      <c r="E328" s="59">
        <v>10717</v>
      </c>
      <c r="F328" s="59">
        <v>760</v>
      </c>
      <c r="G328" s="59">
        <v>460</v>
      </c>
      <c r="H328" s="59">
        <v>1316</v>
      </c>
      <c r="I328" s="59">
        <v>18164</v>
      </c>
      <c r="J328" s="59">
        <v>240641</v>
      </c>
      <c r="K328" s="59" t="s">
        <v>52</v>
      </c>
      <c r="L328" s="61">
        <v>4.9605013277039242E-2</v>
      </c>
      <c r="M328" s="59" t="s">
        <v>17</v>
      </c>
      <c r="N328" s="61">
        <f>Hashtags!$H328/Hashtags!$J328</f>
        <v>5.4687272742383886E-3</v>
      </c>
      <c r="O328" s="65">
        <f>(Hashtags!$L328+Hashtags!$N328)*100</f>
        <v>5.5073740551277632</v>
      </c>
    </row>
    <row r="329" spans="1:15" x14ac:dyDescent="0.25">
      <c r="A329" s="62" t="s">
        <v>216</v>
      </c>
      <c r="B329" s="62" t="s">
        <v>25</v>
      </c>
      <c r="C329" s="63">
        <v>45518</v>
      </c>
      <c r="D329" s="62" t="s">
        <v>39</v>
      </c>
      <c r="E329" s="62">
        <v>10150</v>
      </c>
      <c r="F329" s="62">
        <v>526</v>
      </c>
      <c r="G329" s="62">
        <v>888</v>
      </c>
      <c r="H329" s="62">
        <v>1313</v>
      </c>
      <c r="I329" s="62">
        <v>51605</v>
      </c>
      <c r="J329" s="62">
        <v>143409</v>
      </c>
      <c r="K329" s="62" t="s">
        <v>18</v>
      </c>
      <c r="L329" s="64">
        <v>8.0636501195880311E-2</v>
      </c>
      <c r="M329" s="62" t="s">
        <v>122</v>
      </c>
      <c r="N329" s="64">
        <f>Hashtags!$H329/Hashtags!$J329</f>
        <v>9.1556317943783157E-3</v>
      </c>
      <c r="O329" s="66">
        <f>(Hashtags!$L329+Hashtags!$N329)*100</f>
        <v>8.9792132990258615</v>
      </c>
    </row>
    <row r="330" spans="1:15" x14ac:dyDescent="0.25">
      <c r="A330" s="59" t="s">
        <v>216</v>
      </c>
      <c r="B330" s="59" t="s">
        <v>25</v>
      </c>
      <c r="C330" s="60">
        <v>45518</v>
      </c>
      <c r="D330" s="59" t="s">
        <v>39</v>
      </c>
      <c r="E330" s="59">
        <v>10150</v>
      </c>
      <c r="F330" s="59">
        <v>526</v>
      </c>
      <c r="G330" s="59">
        <v>888</v>
      </c>
      <c r="H330" s="59">
        <v>1313</v>
      </c>
      <c r="I330" s="59">
        <v>51605</v>
      </c>
      <c r="J330" s="59">
        <v>143409</v>
      </c>
      <c r="K330" s="59" t="s">
        <v>18</v>
      </c>
      <c r="L330" s="61">
        <v>8.0636501195880311E-2</v>
      </c>
      <c r="M330" s="59" t="s">
        <v>123</v>
      </c>
      <c r="N330" s="61">
        <f>Hashtags!$H330/Hashtags!$J330</f>
        <v>9.1556317943783157E-3</v>
      </c>
      <c r="O330" s="65">
        <f>(Hashtags!$L330+Hashtags!$N330)*100</f>
        <v>8.9792132990258615</v>
      </c>
    </row>
    <row r="331" spans="1:15" x14ac:dyDescent="0.25">
      <c r="A331" s="62" t="s">
        <v>217</v>
      </c>
      <c r="B331" s="62" t="s">
        <v>14</v>
      </c>
      <c r="C331" s="63">
        <v>45631</v>
      </c>
      <c r="D331" s="62" t="s">
        <v>26</v>
      </c>
      <c r="E331" s="62">
        <v>4125</v>
      </c>
      <c r="F331" s="62">
        <v>1364</v>
      </c>
      <c r="G331" s="62">
        <v>319</v>
      </c>
      <c r="H331" s="62">
        <v>2848</v>
      </c>
      <c r="I331" s="62">
        <v>15379</v>
      </c>
      <c r="J331" s="62">
        <v>188159</v>
      </c>
      <c r="K331" s="62" t="s">
        <v>52</v>
      </c>
      <c r="L331" s="64">
        <v>3.0867510988047343E-2</v>
      </c>
      <c r="M331" s="62" t="s">
        <v>32</v>
      </c>
      <c r="N331" s="64">
        <f>Hashtags!$H331/Hashtags!$J331</f>
        <v>1.5136134864662334E-2</v>
      </c>
      <c r="O331" s="66">
        <f>(Hashtags!$L331+Hashtags!$N331)*100</f>
        <v>4.6003645852709676</v>
      </c>
    </row>
    <row r="332" spans="1:15" x14ac:dyDescent="0.25">
      <c r="A332" s="59" t="s">
        <v>217</v>
      </c>
      <c r="B332" s="59" t="s">
        <v>14</v>
      </c>
      <c r="C332" s="60">
        <v>45631</v>
      </c>
      <c r="D332" s="59" t="s">
        <v>26</v>
      </c>
      <c r="E332" s="59">
        <v>4125</v>
      </c>
      <c r="F332" s="59">
        <v>1364</v>
      </c>
      <c r="G332" s="59">
        <v>319</v>
      </c>
      <c r="H332" s="59">
        <v>2848</v>
      </c>
      <c r="I332" s="59">
        <v>15379</v>
      </c>
      <c r="J332" s="59">
        <v>188159</v>
      </c>
      <c r="K332" s="59" t="s">
        <v>52</v>
      </c>
      <c r="L332" s="61">
        <v>3.0867510988047343E-2</v>
      </c>
      <c r="M332" s="59" t="s">
        <v>57</v>
      </c>
      <c r="N332" s="61">
        <f>Hashtags!$H332/Hashtags!$J332</f>
        <v>1.5136134864662334E-2</v>
      </c>
      <c r="O332" s="65">
        <f>(Hashtags!$L332+Hashtags!$N332)*100</f>
        <v>4.6003645852709676</v>
      </c>
    </row>
    <row r="333" spans="1:15" x14ac:dyDescent="0.25">
      <c r="A333" s="62" t="s">
        <v>218</v>
      </c>
      <c r="B333" s="62" t="s">
        <v>20</v>
      </c>
      <c r="C333" s="63">
        <v>45465</v>
      </c>
      <c r="D333" s="62" t="s">
        <v>39</v>
      </c>
      <c r="E333" s="62">
        <v>13479</v>
      </c>
      <c r="F333" s="62">
        <v>1189</v>
      </c>
      <c r="G333" s="62">
        <v>695</v>
      </c>
      <c r="H333" s="62">
        <v>416</v>
      </c>
      <c r="I333" s="62">
        <v>30229</v>
      </c>
      <c r="J333" s="62">
        <v>45704</v>
      </c>
      <c r="K333" s="62" t="s">
        <v>18</v>
      </c>
      <c r="L333" s="64">
        <v>0.33614125678277612</v>
      </c>
      <c r="M333" s="62" t="s">
        <v>16</v>
      </c>
      <c r="N333" s="64">
        <f>Hashtags!$H333/Hashtags!$J333</f>
        <v>9.1020479607911778E-3</v>
      </c>
      <c r="O333" s="66">
        <f>(Hashtags!$L333+Hashtags!$N333)*100</f>
        <v>34.524330474356731</v>
      </c>
    </row>
    <row r="334" spans="1:15" x14ac:dyDescent="0.25">
      <c r="A334" s="59" t="s">
        <v>218</v>
      </c>
      <c r="B334" s="59" t="s">
        <v>20</v>
      </c>
      <c r="C334" s="60">
        <v>45465</v>
      </c>
      <c r="D334" s="59" t="s">
        <v>39</v>
      </c>
      <c r="E334" s="59">
        <v>13479</v>
      </c>
      <c r="F334" s="59">
        <v>1189</v>
      </c>
      <c r="G334" s="59">
        <v>695</v>
      </c>
      <c r="H334" s="59">
        <v>416</v>
      </c>
      <c r="I334" s="59">
        <v>30229</v>
      </c>
      <c r="J334" s="59">
        <v>45704</v>
      </c>
      <c r="K334" s="59" t="s">
        <v>18</v>
      </c>
      <c r="L334" s="61">
        <v>0.33614125678277612</v>
      </c>
      <c r="M334" s="59" t="s">
        <v>17</v>
      </c>
      <c r="N334" s="61">
        <f>Hashtags!$H334/Hashtags!$J334</f>
        <v>9.1020479607911778E-3</v>
      </c>
      <c r="O334" s="65">
        <f>(Hashtags!$L334+Hashtags!$N334)*100</f>
        <v>34.524330474356731</v>
      </c>
    </row>
    <row r="335" spans="1:15" x14ac:dyDescent="0.25">
      <c r="A335" s="62" t="s">
        <v>219</v>
      </c>
      <c r="B335" s="62" t="s">
        <v>20</v>
      </c>
      <c r="C335" s="63">
        <v>45938</v>
      </c>
      <c r="D335" s="62" t="s">
        <v>26</v>
      </c>
      <c r="E335" s="62">
        <v>17745</v>
      </c>
      <c r="F335" s="62">
        <v>414</v>
      </c>
      <c r="G335" s="62">
        <v>563</v>
      </c>
      <c r="H335" s="62">
        <v>2733</v>
      </c>
      <c r="I335" s="62">
        <v>995</v>
      </c>
      <c r="J335" s="62">
        <v>231648</v>
      </c>
      <c r="K335" s="62" t="s">
        <v>23</v>
      </c>
      <c r="L335" s="64">
        <v>8.0820900676889074E-2</v>
      </c>
      <c r="M335" s="62" t="s">
        <v>32</v>
      </c>
      <c r="N335" s="64">
        <f>Hashtags!$H335/Hashtags!$J335</f>
        <v>1.179807293825114E-2</v>
      </c>
      <c r="O335" s="66">
        <f>(Hashtags!$L335+Hashtags!$N335)*100</f>
        <v>9.2618973615140217</v>
      </c>
    </row>
    <row r="336" spans="1:15" x14ac:dyDescent="0.25">
      <c r="A336" s="59" t="s">
        <v>219</v>
      </c>
      <c r="B336" s="59" t="s">
        <v>20</v>
      </c>
      <c r="C336" s="60">
        <v>45938</v>
      </c>
      <c r="D336" s="59" t="s">
        <v>26</v>
      </c>
      <c r="E336" s="59">
        <v>17745</v>
      </c>
      <c r="F336" s="59">
        <v>414</v>
      </c>
      <c r="G336" s="59">
        <v>563</v>
      </c>
      <c r="H336" s="59">
        <v>2733</v>
      </c>
      <c r="I336" s="59">
        <v>995</v>
      </c>
      <c r="J336" s="59">
        <v>231648</v>
      </c>
      <c r="K336" s="59" t="s">
        <v>23</v>
      </c>
      <c r="L336" s="61">
        <v>8.0820900676889074E-2</v>
      </c>
      <c r="M336" s="59" t="s">
        <v>57</v>
      </c>
      <c r="N336" s="61">
        <f>Hashtags!$H336/Hashtags!$J336</f>
        <v>1.179807293825114E-2</v>
      </c>
      <c r="O336" s="65">
        <f>(Hashtags!$L336+Hashtags!$N336)*100</f>
        <v>9.2618973615140217</v>
      </c>
    </row>
    <row r="337" spans="1:15" x14ac:dyDescent="0.25">
      <c r="A337" s="62" t="s">
        <v>220</v>
      </c>
      <c r="B337" s="62" t="s">
        <v>47</v>
      </c>
      <c r="C337" s="63">
        <v>45939</v>
      </c>
      <c r="D337" s="62" t="s">
        <v>39</v>
      </c>
      <c r="E337" s="62">
        <v>18748</v>
      </c>
      <c r="F337" s="62">
        <v>634</v>
      </c>
      <c r="G337" s="62">
        <v>400</v>
      </c>
      <c r="H337" s="62">
        <v>1667</v>
      </c>
      <c r="I337" s="62">
        <v>75813</v>
      </c>
      <c r="J337" s="62">
        <v>244456</v>
      </c>
      <c r="K337" s="62" t="s">
        <v>23</v>
      </c>
      <c r="L337" s="64">
        <v>8.0922538207284747E-2</v>
      </c>
      <c r="M337" s="62" t="s">
        <v>27</v>
      </c>
      <c r="N337" s="64">
        <f>Hashtags!$H337/Hashtags!$J337</f>
        <v>6.8192230912720491E-3</v>
      </c>
      <c r="O337" s="66">
        <f>(Hashtags!$L337+Hashtags!$N337)*100</f>
        <v>8.7741761298556789</v>
      </c>
    </row>
    <row r="338" spans="1:15" x14ac:dyDescent="0.25">
      <c r="A338" s="59" t="s">
        <v>220</v>
      </c>
      <c r="B338" s="59" t="s">
        <v>47</v>
      </c>
      <c r="C338" s="60">
        <v>45939</v>
      </c>
      <c r="D338" s="59" t="s">
        <v>39</v>
      </c>
      <c r="E338" s="59">
        <v>18748</v>
      </c>
      <c r="F338" s="59">
        <v>634</v>
      </c>
      <c r="G338" s="59">
        <v>400</v>
      </c>
      <c r="H338" s="59">
        <v>1667</v>
      </c>
      <c r="I338" s="59">
        <v>75813</v>
      </c>
      <c r="J338" s="59">
        <v>244456</v>
      </c>
      <c r="K338" s="59" t="s">
        <v>23</v>
      </c>
      <c r="L338" s="61">
        <v>8.0922538207284747E-2</v>
      </c>
      <c r="M338" s="59" t="s">
        <v>28</v>
      </c>
      <c r="N338" s="61">
        <f>Hashtags!$H338/Hashtags!$J338</f>
        <v>6.8192230912720491E-3</v>
      </c>
      <c r="O338" s="65">
        <f>(Hashtags!$L338+Hashtags!$N338)*100</f>
        <v>8.7741761298556789</v>
      </c>
    </row>
    <row r="339" spans="1:15" x14ac:dyDescent="0.25">
      <c r="A339" s="62" t="s">
        <v>221</v>
      </c>
      <c r="B339" s="62" t="s">
        <v>14</v>
      </c>
      <c r="C339" s="63">
        <v>45483</v>
      </c>
      <c r="D339" s="62" t="s">
        <v>15</v>
      </c>
      <c r="E339" s="62">
        <v>8809</v>
      </c>
      <c r="F339" s="62">
        <v>1151</v>
      </c>
      <c r="G339" s="62">
        <v>908</v>
      </c>
      <c r="H339" s="62">
        <v>883</v>
      </c>
      <c r="I339" s="62">
        <v>42921</v>
      </c>
      <c r="J339" s="62">
        <v>151279</v>
      </c>
      <c r="K339" s="62" t="s">
        <v>52</v>
      </c>
      <c r="L339" s="64">
        <v>7.1840771025720687E-2</v>
      </c>
      <c r="M339" s="62" t="s">
        <v>62</v>
      </c>
      <c r="N339" s="64">
        <f>Hashtags!$H339/Hashtags!$J339</f>
        <v>5.8368973882693565E-3</v>
      </c>
      <c r="O339" s="66">
        <f>(Hashtags!$L339+Hashtags!$N339)*100</f>
        <v>7.7677668413990038</v>
      </c>
    </row>
    <row r="340" spans="1:15" x14ac:dyDescent="0.25">
      <c r="A340" s="59" t="s">
        <v>221</v>
      </c>
      <c r="B340" s="59" t="s">
        <v>14</v>
      </c>
      <c r="C340" s="60">
        <v>45483</v>
      </c>
      <c r="D340" s="59" t="s">
        <v>15</v>
      </c>
      <c r="E340" s="59">
        <v>8809</v>
      </c>
      <c r="F340" s="59">
        <v>1151</v>
      </c>
      <c r="G340" s="59">
        <v>908</v>
      </c>
      <c r="H340" s="59">
        <v>883</v>
      </c>
      <c r="I340" s="59">
        <v>42921</v>
      </c>
      <c r="J340" s="59">
        <v>151279</v>
      </c>
      <c r="K340" s="59" t="s">
        <v>52</v>
      </c>
      <c r="L340" s="61">
        <v>7.1840771025720687E-2</v>
      </c>
      <c r="M340" s="59" t="s">
        <v>37</v>
      </c>
      <c r="N340" s="61">
        <f>Hashtags!$H340/Hashtags!$J340</f>
        <v>5.8368973882693565E-3</v>
      </c>
      <c r="O340" s="65">
        <f>(Hashtags!$L340+Hashtags!$N340)*100</f>
        <v>7.7677668413990038</v>
      </c>
    </row>
    <row r="341" spans="1:15" x14ac:dyDescent="0.25">
      <c r="A341" s="62" t="s">
        <v>222</v>
      </c>
      <c r="B341" s="62" t="s">
        <v>14</v>
      </c>
      <c r="C341" s="63">
        <v>45940</v>
      </c>
      <c r="D341" s="62" t="s">
        <v>39</v>
      </c>
      <c r="E341" s="62">
        <v>6621</v>
      </c>
      <c r="F341" s="62">
        <v>922</v>
      </c>
      <c r="G341" s="62">
        <v>930</v>
      </c>
      <c r="H341" s="62">
        <v>694</v>
      </c>
      <c r="I341" s="62">
        <v>839</v>
      </c>
      <c r="J341" s="62">
        <v>243532</v>
      </c>
      <c r="K341" s="62" t="s">
        <v>23</v>
      </c>
      <c r="L341" s="64">
        <v>3.479214230573395E-2</v>
      </c>
      <c r="M341" s="62" t="s">
        <v>27</v>
      </c>
      <c r="N341" s="64">
        <f>Hashtags!$H341/Hashtags!$J341</f>
        <v>2.8497281671402527E-3</v>
      </c>
      <c r="O341" s="66">
        <f>(Hashtags!$L341+Hashtags!$N341)*100</f>
        <v>3.7641870472874208</v>
      </c>
    </row>
    <row r="342" spans="1:15" x14ac:dyDescent="0.25">
      <c r="A342" s="59" t="s">
        <v>222</v>
      </c>
      <c r="B342" s="59" t="s">
        <v>14</v>
      </c>
      <c r="C342" s="60">
        <v>45940</v>
      </c>
      <c r="D342" s="59" t="s">
        <v>39</v>
      </c>
      <c r="E342" s="59">
        <v>6621</v>
      </c>
      <c r="F342" s="59">
        <v>922</v>
      </c>
      <c r="G342" s="59">
        <v>930</v>
      </c>
      <c r="H342" s="59">
        <v>694</v>
      </c>
      <c r="I342" s="59">
        <v>839</v>
      </c>
      <c r="J342" s="59">
        <v>243532</v>
      </c>
      <c r="K342" s="59" t="s">
        <v>23</v>
      </c>
      <c r="L342" s="61">
        <v>3.479214230573395E-2</v>
      </c>
      <c r="M342" s="59" t="s">
        <v>28</v>
      </c>
      <c r="N342" s="61">
        <f>Hashtags!$H342/Hashtags!$J342</f>
        <v>2.8497281671402527E-3</v>
      </c>
      <c r="O342" s="65">
        <f>(Hashtags!$L342+Hashtags!$N342)*100</f>
        <v>3.7641870472874208</v>
      </c>
    </row>
    <row r="343" spans="1:15" x14ac:dyDescent="0.25">
      <c r="A343" s="62" t="s">
        <v>223</v>
      </c>
      <c r="B343" s="62" t="s">
        <v>25</v>
      </c>
      <c r="C343" s="63">
        <v>45488</v>
      </c>
      <c r="D343" s="62" t="s">
        <v>15</v>
      </c>
      <c r="E343" s="62">
        <v>17034</v>
      </c>
      <c r="F343" s="62">
        <v>231</v>
      </c>
      <c r="G343" s="62">
        <v>290</v>
      </c>
      <c r="H343" s="62">
        <v>1387</v>
      </c>
      <c r="I343" s="62">
        <v>63550</v>
      </c>
      <c r="J343" s="62">
        <v>198280</v>
      </c>
      <c r="K343" s="62" t="s">
        <v>52</v>
      </c>
      <c r="L343" s="64">
        <v>8.8536413153116805E-2</v>
      </c>
      <c r="M343" s="62" t="s">
        <v>32</v>
      </c>
      <c r="N343" s="64">
        <f>Hashtags!$H343/Hashtags!$J343</f>
        <v>6.9951583619124466E-3</v>
      </c>
      <c r="O343" s="66">
        <f>(Hashtags!$L343+Hashtags!$N343)*100</f>
        <v>9.5531571515029245</v>
      </c>
    </row>
    <row r="344" spans="1:15" x14ac:dyDescent="0.25">
      <c r="A344" s="59" t="s">
        <v>223</v>
      </c>
      <c r="B344" s="59" t="s">
        <v>25</v>
      </c>
      <c r="C344" s="60">
        <v>45488</v>
      </c>
      <c r="D344" s="59" t="s">
        <v>15</v>
      </c>
      <c r="E344" s="59">
        <v>17034</v>
      </c>
      <c r="F344" s="59">
        <v>231</v>
      </c>
      <c r="G344" s="59">
        <v>290</v>
      </c>
      <c r="H344" s="59">
        <v>1387</v>
      </c>
      <c r="I344" s="59">
        <v>63550</v>
      </c>
      <c r="J344" s="59">
        <v>198280</v>
      </c>
      <c r="K344" s="59" t="s">
        <v>52</v>
      </c>
      <c r="L344" s="61">
        <v>8.8536413153116805E-2</v>
      </c>
      <c r="M344" s="59" t="s">
        <v>57</v>
      </c>
      <c r="N344" s="61">
        <f>Hashtags!$H344/Hashtags!$J344</f>
        <v>6.9951583619124466E-3</v>
      </c>
      <c r="O344" s="65">
        <f>(Hashtags!$L344+Hashtags!$N344)*100</f>
        <v>9.5531571515029245</v>
      </c>
    </row>
    <row r="345" spans="1:15" x14ac:dyDescent="0.25">
      <c r="A345" s="62" t="s">
        <v>224</v>
      </c>
      <c r="B345" s="62" t="s">
        <v>14</v>
      </c>
      <c r="C345" s="63">
        <v>45941</v>
      </c>
      <c r="D345" s="62" t="s">
        <v>39</v>
      </c>
      <c r="E345" s="62">
        <v>15623</v>
      </c>
      <c r="F345" s="62">
        <v>869</v>
      </c>
      <c r="G345" s="62">
        <v>423</v>
      </c>
      <c r="H345" s="62">
        <v>371</v>
      </c>
      <c r="I345" s="62">
        <v>47579</v>
      </c>
      <c r="J345" s="62">
        <v>158516</v>
      </c>
      <c r="K345" s="62" t="s">
        <v>23</v>
      </c>
      <c r="L345" s="64">
        <v>0.10670847106916652</v>
      </c>
      <c r="M345" s="62" t="s">
        <v>43</v>
      </c>
      <c r="N345" s="64">
        <f>Hashtags!$H345/Hashtags!$J345</f>
        <v>2.3404577455903505E-3</v>
      </c>
      <c r="O345" s="66">
        <f>(Hashtags!$L345+Hashtags!$N345)*100</f>
        <v>10.904892881475686</v>
      </c>
    </row>
    <row r="346" spans="1:15" x14ac:dyDescent="0.25">
      <c r="A346" s="59" t="s">
        <v>224</v>
      </c>
      <c r="B346" s="59" t="s">
        <v>14</v>
      </c>
      <c r="C346" s="60">
        <v>45941</v>
      </c>
      <c r="D346" s="59" t="s">
        <v>39</v>
      </c>
      <c r="E346" s="59">
        <v>15623</v>
      </c>
      <c r="F346" s="59">
        <v>869</v>
      </c>
      <c r="G346" s="59">
        <v>423</v>
      </c>
      <c r="H346" s="59">
        <v>371</v>
      </c>
      <c r="I346" s="59">
        <v>47579</v>
      </c>
      <c r="J346" s="59">
        <v>158516</v>
      </c>
      <c r="K346" s="59" t="s">
        <v>23</v>
      </c>
      <c r="L346" s="61">
        <v>0.10670847106916652</v>
      </c>
      <c r="M346" s="59" t="s">
        <v>44</v>
      </c>
      <c r="N346" s="61">
        <f>Hashtags!$H346/Hashtags!$J346</f>
        <v>2.3404577455903505E-3</v>
      </c>
      <c r="O346" s="65">
        <f>(Hashtags!$L346+Hashtags!$N346)*100</f>
        <v>10.904892881475686</v>
      </c>
    </row>
    <row r="347" spans="1:15" x14ac:dyDescent="0.25">
      <c r="A347" s="62" t="s">
        <v>225</v>
      </c>
      <c r="B347" s="62" t="s">
        <v>25</v>
      </c>
      <c r="C347" s="63">
        <v>45942</v>
      </c>
      <c r="D347" s="62" t="s">
        <v>39</v>
      </c>
      <c r="E347" s="62">
        <v>7126</v>
      </c>
      <c r="F347" s="62">
        <v>484</v>
      </c>
      <c r="G347" s="62">
        <v>565</v>
      </c>
      <c r="H347" s="62">
        <v>573</v>
      </c>
      <c r="I347" s="62">
        <v>7389</v>
      </c>
      <c r="J347" s="62">
        <v>237096</v>
      </c>
      <c r="K347" s="62" t="s">
        <v>23</v>
      </c>
      <c r="L347" s="64">
        <v>3.4479704423524646E-2</v>
      </c>
      <c r="M347" s="62" t="s">
        <v>43</v>
      </c>
      <c r="N347" s="64">
        <f>Hashtags!$H347/Hashtags!$J347</f>
        <v>2.416742585281911E-3</v>
      </c>
      <c r="O347" s="66">
        <f>(Hashtags!$L347+Hashtags!$N347)*100</f>
        <v>3.6896447008806557</v>
      </c>
    </row>
    <row r="348" spans="1:15" x14ac:dyDescent="0.25">
      <c r="A348" s="59" t="s">
        <v>225</v>
      </c>
      <c r="B348" s="59" t="s">
        <v>25</v>
      </c>
      <c r="C348" s="60">
        <v>45942</v>
      </c>
      <c r="D348" s="59" t="s">
        <v>39</v>
      </c>
      <c r="E348" s="59">
        <v>7126</v>
      </c>
      <c r="F348" s="59">
        <v>484</v>
      </c>
      <c r="G348" s="59">
        <v>565</v>
      </c>
      <c r="H348" s="59">
        <v>573</v>
      </c>
      <c r="I348" s="59">
        <v>7389</v>
      </c>
      <c r="J348" s="59">
        <v>237096</v>
      </c>
      <c r="K348" s="59" t="s">
        <v>23</v>
      </c>
      <c r="L348" s="61">
        <v>3.4479704423524646E-2</v>
      </c>
      <c r="M348" s="59" t="s">
        <v>44</v>
      </c>
      <c r="N348" s="61">
        <f>Hashtags!$H348/Hashtags!$J348</f>
        <v>2.416742585281911E-3</v>
      </c>
      <c r="O348" s="65">
        <f>(Hashtags!$L348+Hashtags!$N348)*100</f>
        <v>3.6896447008806557</v>
      </c>
    </row>
    <row r="349" spans="1:15" x14ac:dyDescent="0.25">
      <c r="A349" s="62" t="s">
        <v>226</v>
      </c>
      <c r="B349" s="62" t="s">
        <v>14</v>
      </c>
      <c r="C349" s="63">
        <v>45504</v>
      </c>
      <c r="D349" s="62" t="s">
        <v>31</v>
      </c>
      <c r="E349" s="62">
        <v>7122</v>
      </c>
      <c r="F349" s="62">
        <v>628</v>
      </c>
      <c r="G349" s="62">
        <v>757</v>
      </c>
      <c r="H349" s="62">
        <v>2313</v>
      </c>
      <c r="I349" s="62">
        <v>50924</v>
      </c>
      <c r="J349" s="62">
        <v>210954</v>
      </c>
      <c r="K349" s="62" t="s">
        <v>52</v>
      </c>
      <c r="L349" s="64">
        <v>4.0326327066564277E-2</v>
      </c>
      <c r="M349" s="62" t="s">
        <v>27</v>
      </c>
      <c r="N349" s="64">
        <f>Hashtags!$H349/Hashtags!$J349</f>
        <v>1.0964475667681106E-2</v>
      </c>
      <c r="O349" s="66">
        <f>(Hashtags!$L349+Hashtags!$N349)*100</f>
        <v>5.1290802734245382</v>
      </c>
    </row>
    <row r="350" spans="1:15" x14ac:dyDescent="0.25">
      <c r="A350" s="59" t="s">
        <v>226</v>
      </c>
      <c r="B350" s="59" t="s">
        <v>14</v>
      </c>
      <c r="C350" s="60">
        <v>45504</v>
      </c>
      <c r="D350" s="59" t="s">
        <v>31</v>
      </c>
      <c r="E350" s="59">
        <v>7122</v>
      </c>
      <c r="F350" s="59">
        <v>628</v>
      </c>
      <c r="G350" s="59">
        <v>757</v>
      </c>
      <c r="H350" s="59">
        <v>2313</v>
      </c>
      <c r="I350" s="59">
        <v>50924</v>
      </c>
      <c r="J350" s="59">
        <v>210954</v>
      </c>
      <c r="K350" s="59" t="s">
        <v>52</v>
      </c>
      <c r="L350" s="61">
        <v>4.0326327066564277E-2</v>
      </c>
      <c r="M350" s="59" t="s">
        <v>28</v>
      </c>
      <c r="N350" s="61">
        <f>Hashtags!$H350/Hashtags!$J350</f>
        <v>1.0964475667681106E-2</v>
      </c>
      <c r="O350" s="65">
        <f>(Hashtags!$L350+Hashtags!$N350)*100</f>
        <v>5.1290802734245382</v>
      </c>
    </row>
    <row r="351" spans="1:15" x14ac:dyDescent="0.25">
      <c r="A351" s="62" t="s">
        <v>227</v>
      </c>
      <c r="B351" s="62" t="s">
        <v>47</v>
      </c>
      <c r="C351" s="63">
        <v>45643</v>
      </c>
      <c r="D351" s="62" t="s">
        <v>15</v>
      </c>
      <c r="E351" s="62">
        <v>20030</v>
      </c>
      <c r="F351" s="62">
        <v>485</v>
      </c>
      <c r="G351" s="62">
        <v>888</v>
      </c>
      <c r="H351" s="62">
        <v>1643</v>
      </c>
      <c r="I351" s="62">
        <v>4322</v>
      </c>
      <c r="J351" s="62">
        <v>196995</v>
      </c>
      <c r="K351" s="62" t="s">
        <v>29</v>
      </c>
      <c r="L351" s="64">
        <v>0.10864742759968526</v>
      </c>
      <c r="M351" s="62" t="s">
        <v>43</v>
      </c>
      <c r="N351" s="64">
        <f>Hashtags!$H351/Hashtags!$J351</f>
        <v>8.3403132059189315E-3</v>
      </c>
      <c r="O351" s="66">
        <f>(Hashtags!$L351+Hashtags!$N351)*100</f>
        <v>11.698774080560421</v>
      </c>
    </row>
    <row r="352" spans="1:15" x14ac:dyDescent="0.25">
      <c r="A352" s="59" t="s">
        <v>227</v>
      </c>
      <c r="B352" s="59" t="s">
        <v>47</v>
      </c>
      <c r="C352" s="60">
        <v>45643</v>
      </c>
      <c r="D352" s="59" t="s">
        <v>15</v>
      </c>
      <c r="E352" s="59">
        <v>20030</v>
      </c>
      <c r="F352" s="59">
        <v>485</v>
      </c>
      <c r="G352" s="59">
        <v>888</v>
      </c>
      <c r="H352" s="59">
        <v>1643</v>
      </c>
      <c r="I352" s="59">
        <v>4322</v>
      </c>
      <c r="J352" s="59">
        <v>196995</v>
      </c>
      <c r="K352" s="59" t="s">
        <v>29</v>
      </c>
      <c r="L352" s="61">
        <v>0.10864742759968526</v>
      </c>
      <c r="M352" s="59" t="s">
        <v>44</v>
      </c>
      <c r="N352" s="61">
        <f>Hashtags!$H352/Hashtags!$J352</f>
        <v>8.3403132059189315E-3</v>
      </c>
      <c r="O352" s="65">
        <f>(Hashtags!$L352+Hashtags!$N352)*100</f>
        <v>11.698774080560421</v>
      </c>
    </row>
    <row r="353" spans="1:15" x14ac:dyDescent="0.25">
      <c r="A353" s="62" t="s">
        <v>228</v>
      </c>
      <c r="B353" s="62" t="s">
        <v>14</v>
      </c>
      <c r="C353" s="63">
        <v>45943</v>
      </c>
      <c r="D353" s="62" t="s">
        <v>31</v>
      </c>
      <c r="E353" s="62">
        <v>19302</v>
      </c>
      <c r="F353" s="62">
        <v>1367</v>
      </c>
      <c r="G353" s="62">
        <v>188</v>
      </c>
      <c r="H353" s="62">
        <v>637</v>
      </c>
      <c r="I353" s="62">
        <v>31404</v>
      </c>
      <c r="J353" s="62">
        <v>154044</v>
      </c>
      <c r="K353" s="62" t="s">
        <v>23</v>
      </c>
      <c r="L353" s="64">
        <v>0.13539638025499209</v>
      </c>
      <c r="M353" s="62" t="s">
        <v>32</v>
      </c>
      <c r="N353" s="64">
        <f>Hashtags!$H353/Hashtags!$J353</f>
        <v>4.1351821557477084E-3</v>
      </c>
      <c r="O353" s="66">
        <f>(Hashtags!$L353+Hashtags!$N353)*100</f>
        <v>13.95315624107398</v>
      </c>
    </row>
    <row r="354" spans="1:15" x14ac:dyDescent="0.25">
      <c r="A354" s="59" t="s">
        <v>228</v>
      </c>
      <c r="B354" s="59" t="s">
        <v>14</v>
      </c>
      <c r="C354" s="60">
        <v>45943</v>
      </c>
      <c r="D354" s="59" t="s">
        <v>31</v>
      </c>
      <c r="E354" s="59">
        <v>19302</v>
      </c>
      <c r="F354" s="59">
        <v>1367</v>
      </c>
      <c r="G354" s="59">
        <v>188</v>
      </c>
      <c r="H354" s="59">
        <v>637</v>
      </c>
      <c r="I354" s="59">
        <v>31404</v>
      </c>
      <c r="J354" s="59">
        <v>154044</v>
      </c>
      <c r="K354" s="59" t="s">
        <v>23</v>
      </c>
      <c r="L354" s="61">
        <v>0.13539638025499209</v>
      </c>
      <c r="M354" s="59" t="s">
        <v>57</v>
      </c>
      <c r="N354" s="61">
        <f>Hashtags!$H354/Hashtags!$J354</f>
        <v>4.1351821557477084E-3</v>
      </c>
      <c r="O354" s="65">
        <f>(Hashtags!$L354+Hashtags!$N354)*100</f>
        <v>13.95315624107398</v>
      </c>
    </row>
    <row r="355" spans="1:15" x14ac:dyDescent="0.25">
      <c r="A355" s="62" t="s">
        <v>229</v>
      </c>
      <c r="B355" s="62" t="s">
        <v>25</v>
      </c>
      <c r="C355" s="63">
        <v>45668</v>
      </c>
      <c r="D355" s="62" t="s">
        <v>15</v>
      </c>
      <c r="E355" s="62">
        <v>21181</v>
      </c>
      <c r="F355" s="62">
        <v>1242</v>
      </c>
      <c r="G355" s="62">
        <v>963</v>
      </c>
      <c r="H355" s="62">
        <v>1689</v>
      </c>
      <c r="I355" s="62">
        <v>49329</v>
      </c>
      <c r="J355" s="62">
        <v>69165</v>
      </c>
      <c r="K355" s="62" t="s">
        <v>18</v>
      </c>
      <c r="L355" s="64">
        <v>0.33811899081905589</v>
      </c>
      <c r="M355" s="62" t="s">
        <v>21</v>
      </c>
      <c r="N355" s="64">
        <f>Hashtags!$H355/Hashtags!$J355</f>
        <v>2.4419865538928647E-2</v>
      </c>
      <c r="O355" s="66">
        <f>(Hashtags!$L355+Hashtags!$N355)*100</f>
        <v>36.253885635798454</v>
      </c>
    </row>
    <row r="356" spans="1:15" x14ac:dyDescent="0.25">
      <c r="A356" s="59" t="s">
        <v>229</v>
      </c>
      <c r="B356" s="59" t="s">
        <v>25</v>
      </c>
      <c r="C356" s="60">
        <v>45668</v>
      </c>
      <c r="D356" s="59" t="s">
        <v>15</v>
      </c>
      <c r="E356" s="59">
        <v>21181</v>
      </c>
      <c r="F356" s="59">
        <v>1242</v>
      </c>
      <c r="G356" s="59">
        <v>963</v>
      </c>
      <c r="H356" s="59">
        <v>1689</v>
      </c>
      <c r="I356" s="59">
        <v>49329</v>
      </c>
      <c r="J356" s="59">
        <v>69165</v>
      </c>
      <c r="K356" s="59" t="s">
        <v>18</v>
      </c>
      <c r="L356" s="61">
        <v>0.33811899081905589</v>
      </c>
      <c r="M356" s="59" t="s">
        <v>22</v>
      </c>
      <c r="N356" s="61">
        <f>Hashtags!$H356/Hashtags!$J356</f>
        <v>2.4419865538928647E-2</v>
      </c>
      <c r="O356" s="65">
        <f>(Hashtags!$L356+Hashtags!$N356)*100</f>
        <v>36.253885635798454</v>
      </c>
    </row>
    <row r="357" spans="1:15" x14ac:dyDescent="0.25">
      <c r="A357" s="62" t="s">
        <v>230</v>
      </c>
      <c r="B357" s="62" t="s">
        <v>25</v>
      </c>
      <c r="C357" s="63">
        <v>45528</v>
      </c>
      <c r="D357" s="62" t="s">
        <v>31</v>
      </c>
      <c r="E357" s="62">
        <v>24890</v>
      </c>
      <c r="F357" s="62">
        <v>217</v>
      </c>
      <c r="G357" s="62">
        <v>178</v>
      </c>
      <c r="H357" s="62">
        <v>906</v>
      </c>
      <c r="I357" s="62">
        <v>54826</v>
      </c>
      <c r="J357" s="62">
        <v>107203</v>
      </c>
      <c r="K357" s="62" t="s">
        <v>29</v>
      </c>
      <c r="L357" s="64">
        <v>0.23586093672751696</v>
      </c>
      <c r="M357" s="62" t="s">
        <v>27</v>
      </c>
      <c r="N357" s="64">
        <f>Hashtags!$H357/Hashtags!$J357</f>
        <v>8.45125602828279E-3</v>
      </c>
      <c r="O357" s="66">
        <f>(Hashtags!$L357+Hashtags!$N357)*100</f>
        <v>24.431219275579974</v>
      </c>
    </row>
    <row r="358" spans="1:15" x14ac:dyDescent="0.25">
      <c r="A358" s="59" t="s">
        <v>230</v>
      </c>
      <c r="B358" s="59" t="s">
        <v>25</v>
      </c>
      <c r="C358" s="60">
        <v>45528</v>
      </c>
      <c r="D358" s="59" t="s">
        <v>31</v>
      </c>
      <c r="E358" s="59">
        <v>24890</v>
      </c>
      <c r="F358" s="59">
        <v>217</v>
      </c>
      <c r="G358" s="59">
        <v>178</v>
      </c>
      <c r="H358" s="59">
        <v>906</v>
      </c>
      <c r="I358" s="59">
        <v>54826</v>
      </c>
      <c r="J358" s="59">
        <v>107203</v>
      </c>
      <c r="K358" s="59" t="s">
        <v>29</v>
      </c>
      <c r="L358" s="61">
        <v>0.23586093672751696</v>
      </c>
      <c r="M358" s="59" t="s">
        <v>28</v>
      </c>
      <c r="N358" s="61">
        <f>Hashtags!$H358/Hashtags!$J358</f>
        <v>8.45125602828279E-3</v>
      </c>
      <c r="O358" s="65">
        <f>(Hashtags!$L358+Hashtags!$N358)*100</f>
        <v>24.431219275579974</v>
      </c>
    </row>
    <row r="359" spans="1:15" x14ac:dyDescent="0.25">
      <c r="A359" s="62" t="s">
        <v>231</v>
      </c>
      <c r="B359" s="62" t="s">
        <v>47</v>
      </c>
      <c r="C359" s="63">
        <v>45648</v>
      </c>
      <c r="D359" s="62" t="s">
        <v>26</v>
      </c>
      <c r="E359" s="62">
        <v>7870</v>
      </c>
      <c r="F359" s="62">
        <v>968</v>
      </c>
      <c r="G359" s="62">
        <v>626</v>
      </c>
      <c r="H359" s="62">
        <v>465</v>
      </c>
      <c r="I359" s="62">
        <v>27184</v>
      </c>
      <c r="J359" s="62">
        <v>44114</v>
      </c>
      <c r="K359" s="62" t="s">
        <v>52</v>
      </c>
      <c r="L359" s="64">
        <v>0.2145350682323072</v>
      </c>
      <c r="M359" s="62" t="s">
        <v>122</v>
      </c>
      <c r="N359" s="64">
        <f>Hashtags!$H359/Hashtags!$J359</f>
        <v>1.0540871378700639E-2</v>
      </c>
      <c r="O359" s="66">
        <f>(Hashtags!$L359+Hashtags!$N359)*100</f>
        <v>22.507593961100785</v>
      </c>
    </row>
    <row r="360" spans="1:15" x14ac:dyDescent="0.25">
      <c r="A360" s="59" t="s">
        <v>231</v>
      </c>
      <c r="B360" s="59" t="s">
        <v>47</v>
      </c>
      <c r="C360" s="60">
        <v>45648</v>
      </c>
      <c r="D360" s="59" t="s">
        <v>26</v>
      </c>
      <c r="E360" s="59">
        <v>7870</v>
      </c>
      <c r="F360" s="59">
        <v>968</v>
      </c>
      <c r="G360" s="59">
        <v>626</v>
      </c>
      <c r="H360" s="59">
        <v>465</v>
      </c>
      <c r="I360" s="59">
        <v>27184</v>
      </c>
      <c r="J360" s="59">
        <v>44114</v>
      </c>
      <c r="K360" s="59" t="s">
        <v>52</v>
      </c>
      <c r="L360" s="61">
        <v>0.2145350682323072</v>
      </c>
      <c r="M360" s="59" t="s">
        <v>123</v>
      </c>
      <c r="N360" s="61">
        <f>Hashtags!$H360/Hashtags!$J360</f>
        <v>1.0540871378700639E-2</v>
      </c>
      <c r="O360" s="65">
        <f>(Hashtags!$L360+Hashtags!$N360)*100</f>
        <v>22.507593961100785</v>
      </c>
    </row>
    <row r="361" spans="1:15" x14ac:dyDescent="0.25">
      <c r="A361" s="62" t="s">
        <v>232</v>
      </c>
      <c r="B361" s="62" t="s">
        <v>14</v>
      </c>
      <c r="C361" s="63">
        <v>45449</v>
      </c>
      <c r="D361" s="62" t="s">
        <v>39</v>
      </c>
      <c r="E361" s="62">
        <v>3531</v>
      </c>
      <c r="F361" s="62">
        <v>789</v>
      </c>
      <c r="G361" s="62">
        <v>467</v>
      </c>
      <c r="H361" s="62">
        <v>1867</v>
      </c>
      <c r="I361" s="62">
        <v>40816</v>
      </c>
      <c r="J361" s="62">
        <v>236037</v>
      </c>
      <c r="K361" s="62" t="s">
        <v>29</v>
      </c>
      <c r="L361" s="64">
        <v>2.0280718700881641E-2</v>
      </c>
      <c r="M361" s="62" t="s">
        <v>122</v>
      </c>
      <c r="N361" s="64">
        <f>Hashtags!$H361/Hashtags!$J361</f>
        <v>7.909776857018179E-3</v>
      </c>
      <c r="O361" s="66">
        <f>(Hashtags!$L361+Hashtags!$N361)*100</f>
        <v>2.8190495557899817</v>
      </c>
    </row>
    <row r="362" spans="1:15" x14ac:dyDescent="0.25">
      <c r="A362" s="59" t="s">
        <v>232</v>
      </c>
      <c r="B362" s="59" t="s">
        <v>14</v>
      </c>
      <c r="C362" s="60">
        <v>45449</v>
      </c>
      <c r="D362" s="59" t="s">
        <v>39</v>
      </c>
      <c r="E362" s="59">
        <v>3531</v>
      </c>
      <c r="F362" s="59">
        <v>789</v>
      </c>
      <c r="G362" s="59">
        <v>467</v>
      </c>
      <c r="H362" s="59">
        <v>1867</v>
      </c>
      <c r="I362" s="59">
        <v>40816</v>
      </c>
      <c r="J362" s="59">
        <v>236037</v>
      </c>
      <c r="K362" s="59" t="s">
        <v>29</v>
      </c>
      <c r="L362" s="61">
        <v>2.0280718700881641E-2</v>
      </c>
      <c r="M362" s="59" t="s">
        <v>123</v>
      </c>
      <c r="N362" s="61">
        <f>Hashtags!$H362/Hashtags!$J362</f>
        <v>7.909776857018179E-3</v>
      </c>
      <c r="O362" s="65">
        <f>(Hashtags!$L362+Hashtags!$N362)*100</f>
        <v>2.8190495557899817</v>
      </c>
    </row>
    <row r="363" spans="1:15" x14ac:dyDescent="0.25">
      <c r="A363" s="62" t="s">
        <v>233</v>
      </c>
      <c r="B363" s="62" t="s">
        <v>14</v>
      </c>
      <c r="C363" s="63">
        <v>45740</v>
      </c>
      <c r="D363" s="62" t="s">
        <v>15</v>
      </c>
      <c r="E363" s="62">
        <v>10172</v>
      </c>
      <c r="F363" s="62">
        <v>1398</v>
      </c>
      <c r="G363" s="62">
        <v>394</v>
      </c>
      <c r="H363" s="62">
        <v>2358</v>
      </c>
      <c r="I363" s="62">
        <v>59610</v>
      </c>
      <c r="J363" s="62">
        <v>76321</v>
      </c>
      <c r="K363" s="62" t="s">
        <v>34</v>
      </c>
      <c r="L363" s="64">
        <v>0.15675895231980713</v>
      </c>
      <c r="M363" s="62" t="s">
        <v>37</v>
      </c>
      <c r="N363" s="64">
        <f>Hashtags!$H363/Hashtags!$J363</f>
        <v>3.0895821595628987E-2</v>
      </c>
      <c r="O363" s="66">
        <f>(Hashtags!$L363+Hashtags!$N363)*100</f>
        <v>18.765477391543612</v>
      </c>
    </row>
    <row r="364" spans="1:15" x14ac:dyDescent="0.25">
      <c r="A364" s="59" t="s">
        <v>234</v>
      </c>
      <c r="B364" s="59" t="s">
        <v>47</v>
      </c>
      <c r="C364" s="60">
        <v>45569</v>
      </c>
      <c r="D364" s="59" t="s">
        <v>15</v>
      </c>
      <c r="E364" s="59">
        <v>21729</v>
      </c>
      <c r="F364" s="59">
        <v>1209</v>
      </c>
      <c r="G364" s="59">
        <v>897</v>
      </c>
      <c r="H364" s="59">
        <v>1624</v>
      </c>
      <c r="I364" s="59">
        <v>38771</v>
      </c>
      <c r="J364" s="59">
        <v>113297</v>
      </c>
      <c r="K364" s="59" t="s">
        <v>34</v>
      </c>
      <c r="L364" s="61">
        <v>0.21037626768581694</v>
      </c>
      <c r="M364" s="59" t="s">
        <v>40</v>
      </c>
      <c r="N364" s="61">
        <f>Hashtags!$H364/Hashtags!$J364</f>
        <v>1.433400707873995E-2</v>
      </c>
      <c r="O364" s="65">
        <f>(Hashtags!$L364+Hashtags!$N364)*100</f>
        <v>22.471027476455689</v>
      </c>
    </row>
    <row r="365" spans="1:15" x14ac:dyDescent="0.25">
      <c r="A365" s="62" t="s">
        <v>234</v>
      </c>
      <c r="B365" s="62" t="s">
        <v>47</v>
      </c>
      <c r="C365" s="63">
        <v>45569</v>
      </c>
      <c r="D365" s="62" t="s">
        <v>15</v>
      </c>
      <c r="E365" s="62">
        <v>21729</v>
      </c>
      <c r="F365" s="62">
        <v>1209</v>
      </c>
      <c r="G365" s="62">
        <v>897</v>
      </c>
      <c r="H365" s="62">
        <v>1624</v>
      </c>
      <c r="I365" s="62">
        <v>38771</v>
      </c>
      <c r="J365" s="62">
        <v>113297</v>
      </c>
      <c r="K365" s="62" t="s">
        <v>34</v>
      </c>
      <c r="L365" s="64">
        <v>0.21037626768581694</v>
      </c>
      <c r="M365" s="62" t="s">
        <v>41</v>
      </c>
      <c r="N365" s="64">
        <f>Hashtags!$H365/Hashtags!$J365</f>
        <v>1.433400707873995E-2</v>
      </c>
      <c r="O365" s="66">
        <f>(Hashtags!$L365+Hashtags!$N365)*100</f>
        <v>22.471027476455689</v>
      </c>
    </row>
    <row r="366" spans="1:15" x14ac:dyDescent="0.25">
      <c r="A366" s="59" t="s">
        <v>235</v>
      </c>
      <c r="B366" s="59" t="s">
        <v>14</v>
      </c>
      <c r="C366" s="60">
        <v>45944</v>
      </c>
      <c r="D366" s="59" t="s">
        <v>39</v>
      </c>
      <c r="E366" s="59">
        <v>9673</v>
      </c>
      <c r="F366" s="59">
        <v>393</v>
      </c>
      <c r="G366" s="59">
        <v>846</v>
      </c>
      <c r="H366" s="59">
        <v>1028</v>
      </c>
      <c r="I366" s="59">
        <v>55556</v>
      </c>
      <c r="J366" s="59">
        <v>136652</v>
      </c>
      <c r="K366" s="59" t="s">
        <v>23</v>
      </c>
      <c r="L366" s="61">
        <v>7.9852471972601938E-2</v>
      </c>
      <c r="M366" s="59" t="s">
        <v>62</v>
      </c>
      <c r="N366" s="61">
        <f>Hashtags!$H366/Hashtags!$J366</f>
        <v>7.5227585399408716E-3</v>
      </c>
      <c r="O366" s="65">
        <f>(Hashtags!$L366+Hashtags!$N366)*100</f>
        <v>8.7375230512542821</v>
      </c>
    </row>
    <row r="367" spans="1:15" x14ac:dyDescent="0.25">
      <c r="A367" s="62" t="s">
        <v>235</v>
      </c>
      <c r="B367" s="62" t="s">
        <v>14</v>
      </c>
      <c r="C367" s="63">
        <v>45944</v>
      </c>
      <c r="D367" s="62" t="s">
        <v>39</v>
      </c>
      <c r="E367" s="62">
        <v>9673</v>
      </c>
      <c r="F367" s="62">
        <v>393</v>
      </c>
      <c r="G367" s="62">
        <v>846</v>
      </c>
      <c r="H367" s="62">
        <v>1028</v>
      </c>
      <c r="I367" s="62">
        <v>55556</v>
      </c>
      <c r="J367" s="62">
        <v>136652</v>
      </c>
      <c r="K367" s="62" t="s">
        <v>23</v>
      </c>
      <c r="L367" s="64">
        <v>7.9852471972601938E-2</v>
      </c>
      <c r="M367" s="62" t="s">
        <v>37</v>
      </c>
      <c r="N367" s="64">
        <f>Hashtags!$H367/Hashtags!$J367</f>
        <v>7.5227585399408716E-3</v>
      </c>
      <c r="O367" s="66">
        <f>(Hashtags!$L367+Hashtags!$N367)*100</f>
        <v>8.7375230512542821</v>
      </c>
    </row>
    <row r="368" spans="1:15" x14ac:dyDescent="0.25">
      <c r="A368" s="59" t="s">
        <v>236</v>
      </c>
      <c r="B368" s="59" t="s">
        <v>14</v>
      </c>
      <c r="C368" s="60">
        <v>45945</v>
      </c>
      <c r="D368" s="59" t="s">
        <v>15</v>
      </c>
      <c r="E368" s="59">
        <v>8882</v>
      </c>
      <c r="F368" s="59">
        <v>701</v>
      </c>
      <c r="G368" s="59">
        <v>421</v>
      </c>
      <c r="H368" s="59">
        <v>2343</v>
      </c>
      <c r="I368" s="59">
        <v>13588</v>
      </c>
      <c r="J368" s="59">
        <v>139304</v>
      </c>
      <c r="K368" s="59" t="s">
        <v>23</v>
      </c>
      <c r="L368" s="61">
        <v>7.1814161833113191E-2</v>
      </c>
      <c r="M368" s="59" t="s">
        <v>43</v>
      </c>
      <c r="N368" s="61">
        <f>Hashtags!$H368/Hashtags!$J368</f>
        <v>1.6819330385344285E-2</v>
      </c>
      <c r="O368" s="65">
        <f>(Hashtags!$L368+Hashtags!$N368)*100</f>
        <v>8.8633492218457484</v>
      </c>
    </row>
    <row r="369" spans="1:15" x14ac:dyDescent="0.25">
      <c r="A369" s="62" t="s">
        <v>236</v>
      </c>
      <c r="B369" s="62" t="s">
        <v>14</v>
      </c>
      <c r="C369" s="63">
        <v>45945</v>
      </c>
      <c r="D369" s="62" t="s">
        <v>15</v>
      </c>
      <c r="E369" s="62">
        <v>8882</v>
      </c>
      <c r="F369" s="62">
        <v>701</v>
      </c>
      <c r="G369" s="62">
        <v>421</v>
      </c>
      <c r="H369" s="62">
        <v>2343</v>
      </c>
      <c r="I369" s="62">
        <v>13588</v>
      </c>
      <c r="J369" s="62">
        <v>139304</v>
      </c>
      <c r="K369" s="62" t="s">
        <v>23</v>
      </c>
      <c r="L369" s="64">
        <v>7.1814161833113191E-2</v>
      </c>
      <c r="M369" s="62" t="s">
        <v>44</v>
      </c>
      <c r="N369" s="64">
        <f>Hashtags!$H369/Hashtags!$J369</f>
        <v>1.6819330385344285E-2</v>
      </c>
      <c r="O369" s="66">
        <f>(Hashtags!$L369+Hashtags!$N369)*100</f>
        <v>8.8633492218457484</v>
      </c>
    </row>
    <row r="370" spans="1:15" x14ac:dyDescent="0.25">
      <c r="A370" s="59" t="s">
        <v>237</v>
      </c>
      <c r="B370" s="59" t="s">
        <v>25</v>
      </c>
      <c r="C370" s="60">
        <v>45546</v>
      </c>
      <c r="D370" s="59" t="s">
        <v>15</v>
      </c>
      <c r="E370" s="59">
        <v>3906</v>
      </c>
      <c r="F370" s="59">
        <v>1187</v>
      </c>
      <c r="G370" s="59">
        <v>589</v>
      </c>
      <c r="H370" s="59">
        <v>401</v>
      </c>
      <c r="I370" s="59">
        <v>52687</v>
      </c>
      <c r="J370" s="59">
        <v>196498</v>
      </c>
      <c r="K370" s="59" t="s">
        <v>18</v>
      </c>
      <c r="L370" s="61">
        <v>2.8916324848090057E-2</v>
      </c>
      <c r="M370" s="59" t="s">
        <v>43</v>
      </c>
      <c r="N370" s="61">
        <f>Hashtags!$H370/Hashtags!$J370</f>
        <v>2.0407332390151552E-3</v>
      </c>
      <c r="O370" s="65">
        <f>(Hashtags!$L370+Hashtags!$N370)*100</f>
        <v>3.0957058087105209</v>
      </c>
    </row>
    <row r="371" spans="1:15" x14ac:dyDescent="0.25">
      <c r="A371" s="62" t="s">
        <v>237</v>
      </c>
      <c r="B371" s="62" t="s">
        <v>25</v>
      </c>
      <c r="C371" s="63">
        <v>45546</v>
      </c>
      <c r="D371" s="62" t="s">
        <v>15</v>
      </c>
      <c r="E371" s="62">
        <v>3906</v>
      </c>
      <c r="F371" s="62">
        <v>1187</v>
      </c>
      <c r="G371" s="62">
        <v>589</v>
      </c>
      <c r="H371" s="62">
        <v>401</v>
      </c>
      <c r="I371" s="62">
        <v>52687</v>
      </c>
      <c r="J371" s="62">
        <v>196498</v>
      </c>
      <c r="K371" s="62" t="s">
        <v>18</v>
      </c>
      <c r="L371" s="64">
        <v>2.8916324848090057E-2</v>
      </c>
      <c r="M371" s="62" t="s">
        <v>44</v>
      </c>
      <c r="N371" s="64">
        <f>Hashtags!$H371/Hashtags!$J371</f>
        <v>2.0407332390151552E-3</v>
      </c>
      <c r="O371" s="66">
        <f>(Hashtags!$L371+Hashtags!$N371)*100</f>
        <v>3.0957058087105209</v>
      </c>
    </row>
    <row r="372" spans="1:15" x14ac:dyDescent="0.25">
      <c r="A372" s="59" t="s">
        <v>238</v>
      </c>
      <c r="B372" s="59" t="s">
        <v>14</v>
      </c>
      <c r="C372" s="60">
        <v>45567</v>
      </c>
      <c r="D372" s="59" t="s">
        <v>31</v>
      </c>
      <c r="E372" s="59">
        <v>5086</v>
      </c>
      <c r="F372" s="59">
        <v>1336</v>
      </c>
      <c r="G372" s="59">
        <v>897</v>
      </c>
      <c r="H372" s="59">
        <v>1715</v>
      </c>
      <c r="I372" s="59">
        <v>60592</v>
      </c>
      <c r="J372" s="59">
        <v>57772</v>
      </c>
      <c r="K372" s="59" t="s">
        <v>29</v>
      </c>
      <c r="L372" s="61">
        <v>0.12668766876687668</v>
      </c>
      <c r="M372" s="59" t="s">
        <v>40</v>
      </c>
      <c r="N372" s="61">
        <f>Hashtags!$H372/Hashtags!$J372</f>
        <v>2.9685660873779687E-2</v>
      </c>
      <c r="O372" s="65">
        <f>(Hashtags!$L372+Hashtags!$N372)*100</f>
        <v>15.637332964065637</v>
      </c>
    </row>
    <row r="373" spans="1:15" x14ac:dyDescent="0.25">
      <c r="A373" s="62" t="s">
        <v>238</v>
      </c>
      <c r="B373" s="62" t="s">
        <v>14</v>
      </c>
      <c r="C373" s="63">
        <v>45567</v>
      </c>
      <c r="D373" s="62" t="s">
        <v>31</v>
      </c>
      <c r="E373" s="62">
        <v>5086</v>
      </c>
      <c r="F373" s="62">
        <v>1336</v>
      </c>
      <c r="G373" s="62">
        <v>897</v>
      </c>
      <c r="H373" s="62">
        <v>1715</v>
      </c>
      <c r="I373" s="62">
        <v>60592</v>
      </c>
      <c r="J373" s="62">
        <v>57772</v>
      </c>
      <c r="K373" s="62" t="s">
        <v>29</v>
      </c>
      <c r="L373" s="64">
        <v>0.12668766876687668</v>
      </c>
      <c r="M373" s="62" t="s">
        <v>41</v>
      </c>
      <c r="N373" s="64">
        <f>Hashtags!$H373/Hashtags!$J373</f>
        <v>2.9685660873779687E-2</v>
      </c>
      <c r="O373" s="66">
        <f>(Hashtags!$L373+Hashtags!$N373)*100</f>
        <v>15.637332964065637</v>
      </c>
    </row>
    <row r="374" spans="1:15" x14ac:dyDescent="0.25">
      <c r="A374" s="59" t="s">
        <v>239</v>
      </c>
      <c r="B374" s="59" t="s">
        <v>14</v>
      </c>
      <c r="C374" s="60">
        <v>45519</v>
      </c>
      <c r="D374" s="59" t="s">
        <v>15</v>
      </c>
      <c r="E374" s="59">
        <v>15503</v>
      </c>
      <c r="F374" s="59">
        <v>313</v>
      </c>
      <c r="G374" s="59">
        <v>388</v>
      </c>
      <c r="H374" s="59">
        <v>1078</v>
      </c>
      <c r="I374" s="59">
        <v>11500</v>
      </c>
      <c r="J374" s="59">
        <v>143754</v>
      </c>
      <c r="K374" s="59" t="s">
        <v>34</v>
      </c>
      <c r="L374" s="61">
        <v>0.1127203416948398</v>
      </c>
      <c r="M374" s="59" t="s">
        <v>48</v>
      </c>
      <c r="N374" s="61">
        <f>Hashtags!$H374/Hashtags!$J374</f>
        <v>7.4989217691333807E-3</v>
      </c>
      <c r="O374" s="65">
        <f>(Hashtags!$L374+Hashtags!$N374)*100</f>
        <v>12.021926346397318</v>
      </c>
    </row>
    <row r="375" spans="1:15" x14ac:dyDescent="0.25">
      <c r="A375" s="62" t="s">
        <v>239</v>
      </c>
      <c r="B375" s="62" t="s">
        <v>14</v>
      </c>
      <c r="C375" s="63">
        <v>45519</v>
      </c>
      <c r="D375" s="62" t="s">
        <v>15</v>
      </c>
      <c r="E375" s="62">
        <v>15503</v>
      </c>
      <c r="F375" s="62">
        <v>313</v>
      </c>
      <c r="G375" s="62">
        <v>388</v>
      </c>
      <c r="H375" s="62">
        <v>1078</v>
      </c>
      <c r="I375" s="62">
        <v>11500</v>
      </c>
      <c r="J375" s="62">
        <v>143754</v>
      </c>
      <c r="K375" s="62" t="s">
        <v>34</v>
      </c>
      <c r="L375" s="64">
        <v>0.1127203416948398</v>
      </c>
      <c r="M375" s="62" t="s">
        <v>32</v>
      </c>
      <c r="N375" s="64">
        <f>Hashtags!$H375/Hashtags!$J375</f>
        <v>7.4989217691333807E-3</v>
      </c>
      <c r="O375" s="66">
        <f>(Hashtags!$L375+Hashtags!$N375)*100</f>
        <v>12.021926346397318</v>
      </c>
    </row>
    <row r="376" spans="1:15" x14ac:dyDescent="0.25">
      <c r="A376" s="59" t="s">
        <v>240</v>
      </c>
      <c r="B376" s="59" t="s">
        <v>47</v>
      </c>
      <c r="C376" s="60">
        <v>45918</v>
      </c>
      <c r="D376" s="59" t="s">
        <v>26</v>
      </c>
      <c r="E376" s="59">
        <v>10152</v>
      </c>
      <c r="F376" s="59">
        <v>1445</v>
      </c>
      <c r="G376" s="59">
        <v>526</v>
      </c>
      <c r="H376" s="59">
        <v>513</v>
      </c>
      <c r="I376" s="59">
        <v>18959</v>
      </c>
      <c r="J376" s="59">
        <v>43712</v>
      </c>
      <c r="K376" s="59" t="s">
        <v>23</v>
      </c>
      <c r="L376" s="61">
        <v>0.27733803074670571</v>
      </c>
      <c r="M376" s="59" t="s">
        <v>71</v>
      </c>
      <c r="N376" s="61">
        <f>Hashtags!$H376/Hashtags!$J376</f>
        <v>1.173590775988287E-2</v>
      </c>
      <c r="O376" s="65">
        <f>(Hashtags!$L376+Hashtags!$N376)*100</f>
        <v>28.907393850658856</v>
      </c>
    </row>
    <row r="377" spans="1:15" x14ac:dyDescent="0.25">
      <c r="A377" s="62" t="s">
        <v>241</v>
      </c>
      <c r="B377" s="62" t="s">
        <v>47</v>
      </c>
      <c r="C377" s="63">
        <v>45587</v>
      </c>
      <c r="D377" s="62" t="s">
        <v>26</v>
      </c>
      <c r="E377" s="62">
        <v>7750</v>
      </c>
      <c r="F377" s="62">
        <v>1146</v>
      </c>
      <c r="G377" s="62">
        <v>415</v>
      </c>
      <c r="H377" s="62">
        <v>1411</v>
      </c>
      <c r="I377" s="62">
        <v>85339</v>
      </c>
      <c r="J377" s="62">
        <v>172439</v>
      </c>
      <c r="K377" s="62" t="s">
        <v>29</v>
      </c>
      <c r="L377" s="64">
        <v>5.3995905798572247E-2</v>
      </c>
      <c r="M377" s="62" t="s">
        <v>27</v>
      </c>
      <c r="N377" s="64">
        <f>Hashtags!$H377/Hashtags!$J377</f>
        <v>8.1826037033385715E-3</v>
      </c>
      <c r="O377" s="66">
        <f>(Hashtags!$L377+Hashtags!$N377)*100</f>
        <v>6.2178509501910817</v>
      </c>
    </row>
    <row r="378" spans="1:15" x14ac:dyDescent="0.25">
      <c r="A378" s="59" t="s">
        <v>241</v>
      </c>
      <c r="B378" s="59" t="s">
        <v>47</v>
      </c>
      <c r="C378" s="60">
        <v>45587</v>
      </c>
      <c r="D378" s="59" t="s">
        <v>26</v>
      </c>
      <c r="E378" s="59">
        <v>7750</v>
      </c>
      <c r="F378" s="59">
        <v>1146</v>
      </c>
      <c r="G378" s="59">
        <v>415</v>
      </c>
      <c r="H378" s="59">
        <v>1411</v>
      </c>
      <c r="I378" s="59">
        <v>85339</v>
      </c>
      <c r="J378" s="59">
        <v>172439</v>
      </c>
      <c r="K378" s="59" t="s">
        <v>29</v>
      </c>
      <c r="L378" s="61">
        <v>5.3995905798572247E-2</v>
      </c>
      <c r="M378" s="59" t="s">
        <v>28</v>
      </c>
      <c r="N378" s="61">
        <f>Hashtags!$H378/Hashtags!$J378</f>
        <v>8.1826037033385715E-3</v>
      </c>
      <c r="O378" s="65">
        <f>(Hashtags!$L378+Hashtags!$N378)*100</f>
        <v>6.2178509501910817</v>
      </c>
    </row>
    <row r="379" spans="1:15" x14ac:dyDescent="0.25">
      <c r="A379" s="62" t="s">
        <v>242</v>
      </c>
      <c r="B379" s="62" t="s">
        <v>20</v>
      </c>
      <c r="C379" s="63">
        <v>45919</v>
      </c>
      <c r="D379" s="62" t="s">
        <v>39</v>
      </c>
      <c r="E379" s="62">
        <v>14772</v>
      </c>
      <c r="F379" s="62">
        <v>1030</v>
      </c>
      <c r="G379" s="62">
        <v>508</v>
      </c>
      <c r="H379" s="62">
        <v>1876</v>
      </c>
      <c r="I379" s="62">
        <v>8882</v>
      </c>
      <c r="J379" s="62">
        <v>155142</v>
      </c>
      <c r="K379" s="62" t="s">
        <v>23</v>
      </c>
      <c r="L379" s="64">
        <v>0.10512949426976577</v>
      </c>
      <c r="M379" s="62" t="s">
        <v>32</v>
      </c>
      <c r="N379" s="64">
        <f>Hashtags!$H379/Hashtags!$J379</f>
        <v>1.2092147838754173E-2</v>
      </c>
      <c r="O379" s="66">
        <f>(Hashtags!$L379+Hashtags!$N379)*100</f>
        <v>11.722164210851995</v>
      </c>
    </row>
    <row r="380" spans="1:15" x14ac:dyDescent="0.25">
      <c r="A380" s="59" t="s">
        <v>242</v>
      </c>
      <c r="B380" s="59" t="s">
        <v>20</v>
      </c>
      <c r="C380" s="60">
        <v>45919</v>
      </c>
      <c r="D380" s="59" t="s">
        <v>39</v>
      </c>
      <c r="E380" s="59">
        <v>14772</v>
      </c>
      <c r="F380" s="59">
        <v>1030</v>
      </c>
      <c r="G380" s="59">
        <v>508</v>
      </c>
      <c r="H380" s="59">
        <v>1876</v>
      </c>
      <c r="I380" s="59">
        <v>8882</v>
      </c>
      <c r="J380" s="59">
        <v>155142</v>
      </c>
      <c r="K380" s="59" t="s">
        <v>23</v>
      </c>
      <c r="L380" s="61">
        <v>0.10512949426976577</v>
      </c>
      <c r="M380" s="59" t="s">
        <v>33</v>
      </c>
      <c r="N380" s="61">
        <f>Hashtags!$H380/Hashtags!$J380</f>
        <v>1.2092147838754173E-2</v>
      </c>
      <c r="O380" s="65">
        <f>(Hashtags!$L380+Hashtags!$N380)*100</f>
        <v>11.722164210851995</v>
      </c>
    </row>
    <row r="381" spans="1:15" x14ac:dyDescent="0.25">
      <c r="A381" s="62" t="s">
        <v>243</v>
      </c>
      <c r="B381" s="62" t="s">
        <v>25</v>
      </c>
      <c r="C381" s="63">
        <v>45920</v>
      </c>
      <c r="D381" s="62" t="s">
        <v>15</v>
      </c>
      <c r="E381" s="62">
        <v>12267</v>
      </c>
      <c r="F381" s="62">
        <v>1487</v>
      </c>
      <c r="G381" s="62">
        <v>489</v>
      </c>
      <c r="H381" s="62">
        <v>2748</v>
      </c>
      <c r="I381" s="62">
        <v>34685</v>
      </c>
      <c r="J381" s="62">
        <v>131736</v>
      </c>
      <c r="K381" s="62" t="s">
        <v>23</v>
      </c>
      <c r="L381" s="64">
        <v>0.1081177506528208</v>
      </c>
      <c r="M381" s="62" t="s">
        <v>43</v>
      </c>
      <c r="N381" s="64">
        <f>Hashtags!$H381/Hashtags!$J381</f>
        <v>2.0859901621424669E-2</v>
      </c>
      <c r="O381" s="66">
        <f>(Hashtags!$L381+Hashtags!$N381)*100</f>
        <v>12.897765227424546</v>
      </c>
    </row>
    <row r="382" spans="1:15" x14ac:dyDescent="0.25">
      <c r="A382" s="59" t="s">
        <v>243</v>
      </c>
      <c r="B382" s="59" t="s">
        <v>25</v>
      </c>
      <c r="C382" s="60">
        <v>45920</v>
      </c>
      <c r="D382" s="59" t="s">
        <v>15</v>
      </c>
      <c r="E382" s="59">
        <v>12267</v>
      </c>
      <c r="F382" s="59">
        <v>1487</v>
      </c>
      <c r="G382" s="59">
        <v>489</v>
      </c>
      <c r="H382" s="59">
        <v>2748</v>
      </c>
      <c r="I382" s="59">
        <v>34685</v>
      </c>
      <c r="J382" s="59">
        <v>131736</v>
      </c>
      <c r="K382" s="59" t="s">
        <v>23</v>
      </c>
      <c r="L382" s="61">
        <v>0.1081177506528208</v>
      </c>
      <c r="M382" s="59" t="s">
        <v>44</v>
      </c>
      <c r="N382" s="61">
        <f>Hashtags!$H382/Hashtags!$J382</f>
        <v>2.0859901621424669E-2</v>
      </c>
      <c r="O382" s="65">
        <f>(Hashtags!$L382+Hashtags!$N382)*100</f>
        <v>12.897765227424546</v>
      </c>
    </row>
    <row r="383" spans="1:15" x14ac:dyDescent="0.25">
      <c r="A383" s="62" t="s">
        <v>244</v>
      </c>
      <c r="B383" s="62" t="s">
        <v>14</v>
      </c>
      <c r="C383" s="63">
        <v>45754</v>
      </c>
      <c r="D383" s="62" t="s">
        <v>39</v>
      </c>
      <c r="E383" s="62">
        <v>3062</v>
      </c>
      <c r="F383" s="62">
        <v>1124</v>
      </c>
      <c r="G383" s="62">
        <v>538</v>
      </c>
      <c r="H383" s="62">
        <v>2935</v>
      </c>
      <c r="I383" s="62">
        <v>69749</v>
      </c>
      <c r="J383" s="62">
        <v>91924</v>
      </c>
      <c r="K383" s="62" t="s">
        <v>34</v>
      </c>
      <c r="L383" s="64">
        <v>5.1390278926069365E-2</v>
      </c>
      <c r="M383" s="62" t="s">
        <v>62</v>
      </c>
      <c r="N383" s="64">
        <f>Hashtags!$H383/Hashtags!$J383</f>
        <v>3.1928549671467736E-2</v>
      </c>
      <c r="O383" s="66">
        <f>(Hashtags!$L383+Hashtags!$N383)*100</f>
        <v>8.3318828597537102</v>
      </c>
    </row>
    <row r="384" spans="1:15" x14ac:dyDescent="0.25">
      <c r="A384" s="59" t="s">
        <v>244</v>
      </c>
      <c r="B384" s="59" t="s">
        <v>14</v>
      </c>
      <c r="C384" s="60">
        <v>45754</v>
      </c>
      <c r="D384" s="59" t="s">
        <v>39</v>
      </c>
      <c r="E384" s="59">
        <v>3062</v>
      </c>
      <c r="F384" s="59">
        <v>1124</v>
      </c>
      <c r="G384" s="59">
        <v>538</v>
      </c>
      <c r="H384" s="59">
        <v>2935</v>
      </c>
      <c r="I384" s="59">
        <v>69749</v>
      </c>
      <c r="J384" s="59">
        <v>91924</v>
      </c>
      <c r="K384" s="59" t="s">
        <v>34</v>
      </c>
      <c r="L384" s="61">
        <v>5.1390278926069365E-2</v>
      </c>
      <c r="M384" s="59" t="s">
        <v>37</v>
      </c>
      <c r="N384" s="61">
        <f>Hashtags!$H384/Hashtags!$J384</f>
        <v>3.1928549671467736E-2</v>
      </c>
      <c r="O384" s="65">
        <f>(Hashtags!$L384+Hashtags!$N384)*100</f>
        <v>8.3318828597537102</v>
      </c>
    </row>
    <row r="385" spans="1:15" x14ac:dyDescent="0.25">
      <c r="A385" s="62" t="s">
        <v>245</v>
      </c>
      <c r="B385" s="62" t="s">
        <v>14</v>
      </c>
      <c r="C385" s="63">
        <v>45672</v>
      </c>
      <c r="D385" s="62" t="s">
        <v>26</v>
      </c>
      <c r="E385" s="62">
        <v>20360</v>
      </c>
      <c r="F385" s="62">
        <v>254</v>
      </c>
      <c r="G385" s="62">
        <v>726</v>
      </c>
      <c r="H385" s="62">
        <v>1995</v>
      </c>
      <c r="I385" s="62">
        <v>14280</v>
      </c>
      <c r="J385" s="62">
        <v>43726</v>
      </c>
      <c r="K385" s="62" t="s">
        <v>34</v>
      </c>
      <c r="L385" s="64">
        <v>0.48803915290673738</v>
      </c>
      <c r="M385" s="62" t="s">
        <v>37</v>
      </c>
      <c r="N385" s="64">
        <f>Hashtags!$H385/Hashtags!$J385</f>
        <v>4.5625028587110643E-2</v>
      </c>
      <c r="O385" s="66">
        <f>(Hashtags!$L385+Hashtags!$N385)*100</f>
        <v>53.366418149384799</v>
      </c>
    </row>
    <row r="386" spans="1:15" x14ac:dyDescent="0.25">
      <c r="A386" s="59" t="s">
        <v>246</v>
      </c>
      <c r="B386" s="59" t="s">
        <v>20</v>
      </c>
      <c r="C386" s="60">
        <v>45921</v>
      </c>
      <c r="D386" s="59" t="s">
        <v>15</v>
      </c>
      <c r="E386" s="59">
        <v>19680</v>
      </c>
      <c r="F386" s="59">
        <v>999</v>
      </c>
      <c r="G386" s="59">
        <v>838</v>
      </c>
      <c r="H386" s="59">
        <v>891</v>
      </c>
      <c r="I386" s="59">
        <v>29576</v>
      </c>
      <c r="J386" s="59">
        <v>129152</v>
      </c>
      <c r="K386" s="59" t="s">
        <v>23</v>
      </c>
      <c r="L386" s="61">
        <v>0.16660214321110009</v>
      </c>
      <c r="M386" s="59" t="s">
        <v>122</v>
      </c>
      <c r="N386" s="61">
        <f>Hashtags!$H386/Hashtags!$J386</f>
        <v>6.8988478691774033E-3</v>
      </c>
      <c r="O386" s="65">
        <f>(Hashtags!$L386+Hashtags!$N386)*100</f>
        <v>17.350099108027749</v>
      </c>
    </row>
    <row r="387" spans="1:15" x14ac:dyDescent="0.25">
      <c r="A387" s="62" t="s">
        <v>246</v>
      </c>
      <c r="B387" s="62" t="s">
        <v>20</v>
      </c>
      <c r="C387" s="63">
        <v>45921</v>
      </c>
      <c r="D387" s="62" t="s">
        <v>15</v>
      </c>
      <c r="E387" s="62">
        <v>19680</v>
      </c>
      <c r="F387" s="62">
        <v>999</v>
      </c>
      <c r="G387" s="62">
        <v>838</v>
      </c>
      <c r="H387" s="62">
        <v>891</v>
      </c>
      <c r="I387" s="62">
        <v>29576</v>
      </c>
      <c r="J387" s="62">
        <v>129152</v>
      </c>
      <c r="K387" s="62" t="s">
        <v>23</v>
      </c>
      <c r="L387" s="64">
        <v>0.16660214321110009</v>
      </c>
      <c r="M387" s="62" t="s">
        <v>123</v>
      </c>
      <c r="N387" s="64">
        <f>Hashtags!$H387/Hashtags!$J387</f>
        <v>6.8988478691774033E-3</v>
      </c>
      <c r="O387" s="66">
        <f>(Hashtags!$L387+Hashtags!$N387)*100</f>
        <v>17.350099108027749</v>
      </c>
    </row>
    <row r="388" spans="1:15" x14ac:dyDescent="0.25">
      <c r="A388" s="59" t="s">
        <v>247</v>
      </c>
      <c r="B388" s="59" t="s">
        <v>14</v>
      </c>
      <c r="C388" s="60">
        <v>45617</v>
      </c>
      <c r="D388" s="59" t="s">
        <v>15</v>
      </c>
      <c r="E388" s="59">
        <v>8229</v>
      </c>
      <c r="F388" s="59">
        <v>977</v>
      </c>
      <c r="G388" s="59">
        <v>152</v>
      </c>
      <c r="H388" s="59">
        <v>1633</v>
      </c>
      <c r="I388" s="59">
        <v>71447</v>
      </c>
      <c r="J388" s="59">
        <v>67723</v>
      </c>
      <c r="K388" s="59" t="s">
        <v>52</v>
      </c>
      <c r="L388" s="61">
        <v>0.13818052950991538</v>
      </c>
      <c r="M388" s="59" t="s">
        <v>43</v>
      </c>
      <c r="N388" s="61">
        <f>Hashtags!$H388/Hashtags!$J388</f>
        <v>2.41129306144146E-2</v>
      </c>
      <c r="O388" s="65">
        <f>(Hashtags!$L388+Hashtags!$N388)*100</f>
        <v>16.229346012432998</v>
      </c>
    </row>
    <row r="389" spans="1:15" x14ac:dyDescent="0.25">
      <c r="A389" s="62" t="s">
        <v>247</v>
      </c>
      <c r="B389" s="62" t="s">
        <v>14</v>
      </c>
      <c r="C389" s="63">
        <v>45617</v>
      </c>
      <c r="D389" s="62" t="s">
        <v>15</v>
      </c>
      <c r="E389" s="62">
        <v>8229</v>
      </c>
      <c r="F389" s="62">
        <v>977</v>
      </c>
      <c r="G389" s="62">
        <v>152</v>
      </c>
      <c r="H389" s="62">
        <v>1633</v>
      </c>
      <c r="I389" s="62">
        <v>71447</v>
      </c>
      <c r="J389" s="62">
        <v>67723</v>
      </c>
      <c r="K389" s="62" t="s">
        <v>52</v>
      </c>
      <c r="L389" s="64">
        <v>0.13818052950991538</v>
      </c>
      <c r="M389" s="62" t="s">
        <v>44</v>
      </c>
      <c r="N389" s="64">
        <f>Hashtags!$H389/Hashtags!$J389</f>
        <v>2.41129306144146E-2</v>
      </c>
      <c r="O389" s="66">
        <f>(Hashtags!$L389+Hashtags!$N389)*100</f>
        <v>16.229346012432998</v>
      </c>
    </row>
    <row r="390" spans="1:15" x14ac:dyDescent="0.25">
      <c r="A390" s="59" t="s">
        <v>248</v>
      </c>
      <c r="B390" s="59" t="s">
        <v>25</v>
      </c>
      <c r="C390" s="60">
        <v>45922</v>
      </c>
      <c r="D390" s="59" t="s">
        <v>39</v>
      </c>
      <c r="E390" s="59">
        <v>18509</v>
      </c>
      <c r="F390" s="59">
        <v>361</v>
      </c>
      <c r="G390" s="59">
        <v>578</v>
      </c>
      <c r="H390" s="59">
        <v>1409</v>
      </c>
      <c r="I390" s="59">
        <v>10569</v>
      </c>
      <c r="J390" s="59">
        <v>166969</v>
      </c>
      <c r="K390" s="59" t="s">
        <v>23</v>
      </c>
      <c r="L390" s="61">
        <v>0.11647671124580011</v>
      </c>
      <c r="M390" s="59" t="s">
        <v>37</v>
      </c>
      <c r="N390" s="61">
        <f>Hashtags!$H390/Hashtags!$J390</f>
        <v>8.4386922123268395E-3</v>
      </c>
      <c r="O390" s="65">
        <f>(Hashtags!$L390+Hashtags!$N390)*100</f>
        <v>12.491540345812695</v>
      </c>
    </row>
    <row r="391" spans="1:15" x14ac:dyDescent="0.25">
      <c r="A391" s="62" t="s">
        <v>249</v>
      </c>
      <c r="B391" s="62" t="s">
        <v>20</v>
      </c>
      <c r="C391" s="63">
        <v>45923</v>
      </c>
      <c r="D391" s="62" t="s">
        <v>26</v>
      </c>
      <c r="E391" s="62">
        <v>17147</v>
      </c>
      <c r="F391" s="62">
        <v>286</v>
      </c>
      <c r="G391" s="62">
        <v>291</v>
      </c>
      <c r="H391" s="62">
        <v>2439</v>
      </c>
      <c r="I391" s="62">
        <v>45631</v>
      </c>
      <c r="J391" s="62">
        <v>140494</v>
      </c>
      <c r="K391" s="62" t="s">
        <v>23</v>
      </c>
      <c r="L391" s="64">
        <v>0.12615485358805359</v>
      </c>
      <c r="M391" s="62" t="s">
        <v>32</v>
      </c>
      <c r="N391" s="64">
        <f>Hashtags!$H391/Hashtags!$J391</f>
        <v>1.736017196463906E-2</v>
      </c>
      <c r="O391" s="66">
        <f>(Hashtags!$L391+Hashtags!$N391)*100</f>
        <v>14.351502555269265</v>
      </c>
    </row>
    <row r="392" spans="1:15" x14ac:dyDescent="0.25">
      <c r="A392" s="59" t="s">
        <v>249</v>
      </c>
      <c r="B392" s="59" t="s">
        <v>20</v>
      </c>
      <c r="C392" s="60">
        <v>45923</v>
      </c>
      <c r="D392" s="59" t="s">
        <v>26</v>
      </c>
      <c r="E392" s="59">
        <v>17147</v>
      </c>
      <c r="F392" s="59">
        <v>286</v>
      </c>
      <c r="G392" s="59">
        <v>291</v>
      </c>
      <c r="H392" s="59">
        <v>2439</v>
      </c>
      <c r="I392" s="59">
        <v>45631</v>
      </c>
      <c r="J392" s="59">
        <v>140494</v>
      </c>
      <c r="K392" s="59" t="s">
        <v>23</v>
      </c>
      <c r="L392" s="61">
        <v>0.12615485358805359</v>
      </c>
      <c r="M392" s="59" t="s">
        <v>57</v>
      </c>
      <c r="N392" s="61">
        <f>Hashtags!$H392/Hashtags!$J392</f>
        <v>1.736017196463906E-2</v>
      </c>
      <c r="O392" s="65">
        <f>(Hashtags!$L392+Hashtags!$N392)*100</f>
        <v>14.351502555269265</v>
      </c>
    </row>
    <row r="393" spans="1:15" x14ac:dyDescent="0.25">
      <c r="A393" s="62" t="s">
        <v>250</v>
      </c>
      <c r="B393" s="62" t="s">
        <v>25</v>
      </c>
      <c r="C393" s="63">
        <v>45467</v>
      </c>
      <c r="D393" s="62" t="s">
        <v>15</v>
      </c>
      <c r="E393" s="62">
        <v>6632</v>
      </c>
      <c r="F393" s="62">
        <v>254</v>
      </c>
      <c r="G393" s="62">
        <v>525</v>
      </c>
      <c r="H393" s="62">
        <v>1013</v>
      </c>
      <c r="I393" s="62">
        <v>13838</v>
      </c>
      <c r="J393" s="62">
        <v>180180</v>
      </c>
      <c r="K393" s="62" t="s">
        <v>18</v>
      </c>
      <c r="L393" s="64">
        <v>4.1131091131091133E-2</v>
      </c>
      <c r="M393" s="62" t="s">
        <v>32</v>
      </c>
      <c r="N393" s="64">
        <f>Hashtags!$H393/Hashtags!$J393</f>
        <v>5.6221556221556224E-3</v>
      </c>
      <c r="O393" s="66">
        <f>(Hashtags!$L393+Hashtags!$N393)*100</f>
        <v>4.6753246753246751</v>
      </c>
    </row>
    <row r="394" spans="1:15" x14ac:dyDescent="0.25">
      <c r="A394" s="59" t="s">
        <v>250</v>
      </c>
      <c r="B394" s="59" t="s">
        <v>25</v>
      </c>
      <c r="C394" s="60">
        <v>45467</v>
      </c>
      <c r="D394" s="59" t="s">
        <v>15</v>
      </c>
      <c r="E394" s="59">
        <v>6632</v>
      </c>
      <c r="F394" s="59">
        <v>254</v>
      </c>
      <c r="G394" s="59">
        <v>525</v>
      </c>
      <c r="H394" s="59">
        <v>1013</v>
      </c>
      <c r="I394" s="59">
        <v>13838</v>
      </c>
      <c r="J394" s="59">
        <v>180180</v>
      </c>
      <c r="K394" s="59" t="s">
        <v>18</v>
      </c>
      <c r="L394" s="61">
        <v>4.1131091131091133E-2</v>
      </c>
      <c r="M394" s="59" t="s">
        <v>57</v>
      </c>
      <c r="N394" s="61">
        <f>Hashtags!$H394/Hashtags!$J394</f>
        <v>5.6221556221556224E-3</v>
      </c>
      <c r="O394" s="65">
        <f>(Hashtags!$L394+Hashtags!$N394)*100</f>
        <v>4.6753246753246751</v>
      </c>
    </row>
    <row r="395" spans="1:15" x14ac:dyDescent="0.25">
      <c r="A395" s="62" t="s">
        <v>251</v>
      </c>
      <c r="B395" s="62" t="s">
        <v>20</v>
      </c>
      <c r="C395" s="63">
        <v>45655</v>
      </c>
      <c r="D395" s="62" t="s">
        <v>39</v>
      </c>
      <c r="E395" s="62">
        <v>8288</v>
      </c>
      <c r="F395" s="62">
        <v>1401</v>
      </c>
      <c r="G395" s="62">
        <v>819</v>
      </c>
      <c r="H395" s="62">
        <v>1235</v>
      </c>
      <c r="I395" s="62">
        <v>33446</v>
      </c>
      <c r="J395" s="62">
        <v>248786</v>
      </c>
      <c r="K395" s="62" t="s">
        <v>18</v>
      </c>
      <c r="L395" s="64">
        <v>4.2237103373984064E-2</v>
      </c>
      <c r="M395" s="62" t="s">
        <v>71</v>
      </c>
      <c r="N395" s="64">
        <f>Hashtags!$H395/Hashtags!$J395</f>
        <v>4.9641056972659237E-3</v>
      </c>
      <c r="O395" s="66">
        <f>(Hashtags!$L395+Hashtags!$N395)*100</f>
        <v>4.7201209071249988</v>
      </c>
    </row>
    <row r="396" spans="1:15" x14ac:dyDescent="0.25">
      <c r="A396" s="59" t="s">
        <v>252</v>
      </c>
      <c r="B396" s="59" t="s">
        <v>20</v>
      </c>
      <c r="C396" s="60">
        <v>45467</v>
      </c>
      <c r="D396" s="59" t="s">
        <v>26</v>
      </c>
      <c r="E396" s="59">
        <v>5596</v>
      </c>
      <c r="F396" s="59">
        <v>1231</v>
      </c>
      <c r="G396" s="59">
        <v>473</v>
      </c>
      <c r="H396" s="59">
        <v>2251</v>
      </c>
      <c r="I396" s="59">
        <v>43705</v>
      </c>
      <c r="J396" s="59">
        <v>75643</v>
      </c>
      <c r="K396" s="59" t="s">
        <v>18</v>
      </c>
      <c r="L396" s="61">
        <v>9.6505955607260427E-2</v>
      </c>
      <c r="M396" s="59" t="s">
        <v>21</v>
      </c>
      <c r="N396" s="61">
        <f>Hashtags!$H396/Hashtags!$J396</f>
        <v>2.9758206311225097E-2</v>
      </c>
      <c r="O396" s="65">
        <f>(Hashtags!$L396+Hashtags!$N396)*100</f>
        <v>12.626416191848552</v>
      </c>
    </row>
    <row r="397" spans="1:15" x14ac:dyDescent="0.25">
      <c r="A397" s="62" t="s">
        <v>252</v>
      </c>
      <c r="B397" s="62" t="s">
        <v>20</v>
      </c>
      <c r="C397" s="63">
        <v>45467</v>
      </c>
      <c r="D397" s="62" t="s">
        <v>26</v>
      </c>
      <c r="E397" s="62">
        <v>5596</v>
      </c>
      <c r="F397" s="62">
        <v>1231</v>
      </c>
      <c r="G397" s="62">
        <v>473</v>
      </c>
      <c r="H397" s="62">
        <v>2251</v>
      </c>
      <c r="I397" s="62">
        <v>43705</v>
      </c>
      <c r="J397" s="62">
        <v>75643</v>
      </c>
      <c r="K397" s="62" t="s">
        <v>18</v>
      </c>
      <c r="L397" s="64">
        <v>9.6505955607260427E-2</v>
      </c>
      <c r="M397" s="62" t="s">
        <v>22</v>
      </c>
      <c r="N397" s="64">
        <f>Hashtags!$H397/Hashtags!$J397</f>
        <v>2.9758206311225097E-2</v>
      </c>
      <c r="O397" s="66">
        <f>(Hashtags!$L397+Hashtags!$N397)*100</f>
        <v>12.626416191848552</v>
      </c>
    </row>
    <row r="398" spans="1:15" x14ac:dyDescent="0.25">
      <c r="A398" s="59" t="s">
        <v>253</v>
      </c>
      <c r="B398" s="59" t="s">
        <v>47</v>
      </c>
      <c r="C398" s="60">
        <v>45735</v>
      </c>
      <c r="D398" s="59" t="s">
        <v>39</v>
      </c>
      <c r="E398" s="59">
        <v>13475</v>
      </c>
      <c r="F398" s="59">
        <v>1032</v>
      </c>
      <c r="G398" s="59">
        <v>295</v>
      </c>
      <c r="H398" s="59">
        <v>541</v>
      </c>
      <c r="I398" s="59">
        <v>43666</v>
      </c>
      <c r="J398" s="59">
        <v>202396</v>
      </c>
      <c r="K398" s="59" t="s">
        <v>52</v>
      </c>
      <c r="L398" s="61">
        <v>7.3133856400324118E-2</v>
      </c>
      <c r="M398" s="59" t="s">
        <v>32</v>
      </c>
      <c r="N398" s="61">
        <f>Hashtags!$H398/Hashtags!$J398</f>
        <v>2.672977726832546E-3</v>
      </c>
      <c r="O398" s="65">
        <f>(Hashtags!$L398+Hashtags!$N398)*100</f>
        <v>7.5806834127156666</v>
      </c>
    </row>
    <row r="399" spans="1:15" x14ac:dyDescent="0.25">
      <c r="A399" s="62" t="s">
        <v>253</v>
      </c>
      <c r="B399" s="62" t="s">
        <v>47</v>
      </c>
      <c r="C399" s="63">
        <v>45735</v>
      </c>
      <c r="D399" s="62" t="s">
        <v>39</v>
      </c>
      <c r="E399" s="62">
        <v>13475</v>
      </c>
      <c r="F399" s="62">
        <v>1032</v>
      </c>
      <c r="G399" s="62">
        <v>295</v>
      </c>
      <c r="H399" s="62">
        <v>541</v>
      </c>
      <c r="I399" s="62">
        <v>43666</v>
      </c>
      <c r="J399" s="62">
        <v>202396</v>
      </c>
      <c r="K399" s="62" t="s">
        <v>52</v>
      </c>
      <c r="L399" s="64">
        <v>7.3133856400324118E-2</v>
      </c>
      <c r="M399" s="62" t="s">
        <v>33</v>
      </c>
      <c r="N399" s="64">
        <f>Hashtags!$H399/Hashtags!$J399</f>
        <v>2.672977726832546E-3</v>
      </c>
      <c r="O399" s="66">
        <f>(Hashtags!$L399+Hashtags!$N399)*100</f>
        <v>7.5806834127156666</v>
      </c>
    </row>
    <row r="400" spans="1:15" x14ac:dyDescent="0.25">
      <c r="A400" s="59" t="s">
        <v>254</v>
      </c>
      <c r="B400" s="59" t="s">
        <v>25</v>
      </c>
      <c r="C400" s="60">
        <v>45707</v>
      </c>
      <c r="D400" s="59" t="s">
        <v>31</v>
      </c>
      <c r="E400" s="59">
        <v>8168</v>
      </c>
      <c r="F400" s="59">
        <v>512</v>
      </c>
      <c r="G400" s="59">
        <v>442</v>
      </c>
      <c r="H400" s="59">
        <v>2343</v>
      </c>
      <c r="I400" s="59">
        <v>2753</v>
      </c>
      <c r="J400" s="59">
        <v>143896</v>
      </c>
      <c r="K400" s="59" t="s">
        <v>52</v>
      </c>
      <c r="L400" s="61">
        <v>6.3393006059932172E-2</v>
      </c>
      <c r="M400" s="59" t="s">
        <v>48</v>
      </c>
      <c r="N400" s="61">
        <f>Hashtags!$H400/Hashtags!$J400</f>
        <v>1.6282592983821648E-2</v>
      </c>
      <c r="O400" s="65">
        <f>(Hashtags!$L400+Hashtags!$N400)*100</f>
        <v>7.9675599043753822</v>
      </c>
    </row>
    <row r="401" spans="1:15" x14ac:dyDescent="0.25">
      <c r="A401" s="62" t="s">
        <v>254</v>
      </c>
      <c r="B401" s="62" t="s">
        <v>25</v>
      </c>
      <c r="C401" s="63">
        <v>45707</v>
      </c>
      <c r="D401" s="62" t="s">
        <v>31</v>
      </c>
      <c r="E401" s="62">
        <v>8168</v>
      </c>
      <c r="F401" s="62">
        <v>512</v>
      </c>
      <c r="G401" s="62">
        <v>442</v>
      </c>
      <c r="H401" s="62">
        <v>2343</v>
      </c>
      <c r="I401" s="62">
        <v>2753</v>
      </c>
      <c r="J401" s="62">
        <v>143896</v>
      </c>
      <c r="K401" s="62" t="s">
        <v>52</v>
      </c>
      <c r="L401" s="64">
        <v>6.3393006059932172E-2</v>
      </c>
      <c r="M401" s="62" t="s">
        <v>32</v>
      </c>
      <c r="N401" s="64">
        <f>Hashtags!$H401/Hashtags!$J401</f>
        <v>1.6282592983821648E-2</v>
      </c>
      <c r="O401" s="66">
        <f>(Hashtags!$L401+Hashtags!$N401)*100</f>
        <v>7.9675599043753822</v>
      </c>
    </row>
    <row r="402" spans="1:15" x14ac:dyDescent="0.25">
      <c r="A402" s="59" t="s">
        <v>255</v>
      </c>
      <c r="B402" s="59" t="s">
        <v>14</v>
      </c>
      <c r="C402" s="60">
        <v>45924</v>
      </c>
      <c r="D402" s="59" t="s">
        <v>15</v>
      </c>
      <c r="E402" s="59">
        <v>11795</v>
      </c>
      <c r="F402" s="59">
        <v>958</v>
      </c>
      <c r="G402" s="59">
        <v>814</v>
      </c>
      <c r="H402" s="59">
        <v>301</v>
      </c>
      <c r="I402" s="59">
        <v>12564</v>
      </c>
      <c r="J402" s="59">
        <v>179999</v>
      </c>
      <c r="K402" s="59" t="s">
        <v>23</v>
      </c>
      <c r="L402" s="61">
        <v>7.5372640959116444E-2</v>
      </c>
      <c r="M402" s="59" t="s">
        <v>71</v>
      </c>
      <c r="N402" s="61">
        <f>Hashtags!$H402/Hashtags!$J402</f>
        <v>1.6722315123972912E-3</v>
      </c>
      <c r="O402" s="65">
        <f>(Hashtags!$L402+Hashtags!$N402)*100</f>
        <v>7.7044872471513735</v>
      </c>
    </row>
    <row r="403" spans="1:15" x14ac:dyDescent="0.25">
      <c r="A403" s="62" t="s">
        <v>256</v>
      </c>
      <c r="B403" s="62" t="s">
        <v>14</v>
      </c>
      <c r="C403" s="63">
        <v>45719</v>
      </c>
      <c r="D403" s="62" t="s">
        <v>31</v>
      </c>
      <c r="E403" s="62">
        <v>9561</v>
      </c>
      <c r="F403" s="62">
        <v>642</v>
      </c>
      <c r="G403" s="62">
        <v>581</v>
      </c>
      <c r="H403" s="62">
        <v>2572</v>
      </c>
      <c r="I403" s="62">
        <v>38552</v>
      </c>
      <c r="J403" s="62">
        <v>133680</v>
      </c>
      <c r="K403" s="62" t="s">
        <v>18</v>
      </c>
      <c r="L403" s="64">
        <v>8.0670257330939563E-2</v>
      </c>
      <c r="M403" s="62" t="s">
        <v>16</v>
      </c>
      <c r="N403" s="64">
        <f>Hashtags!$H403/Hashtags!$J403</f>
        <v>1.9239976062238182E-2</v>
      </c>
      <c r="O403" s="66">
        <f>(Hashtags!$L403+Hashtags!$N403)*100</f>
        <v>9.9910233393177741</v>
      </c>
    </row>
    <row r="404" spans="1:15" x14ac:dyDescent="0.25">
      <c r="A404" s="59" t="s">
        <v>256</v>
      </c>
      <c r="B404" s="59" t="s">
        <v>14</v>
      </c>
      <c r="C404" s="60">
        <v>45719</v>
      </c>
      <c r="D404" s="59" t="s">
        <v>31</v>
      </c>
      <c r="E404" s="59">
        <v>9561</v>
      </c>
      <c r="F404" s="59">
        <v>642</v>
      </c>
      <c r="G404" s="59">
        <v>581</v>
      </c>
      <c r="H404" s="59">
        <v>2572</v>
      </c>
      <c r="I404" s="59">
        <v>38552</v>
      </c>
      <c r="J404" s="59">
        <v>133680</v>
      </c>
      <c r="K404" s="59" t="s">
        <v>18</v>
      </c>
      <c r="L404" s="61">
        <v>8.0670257330939563E-2</v>
      </c>
      <c r="M404" s="59" t="s">
        <v>17</v>
      </c>
      <c r="N404" s="61">
        <f>Hashtags!$H404/Hashtags!$J404</f>
        <v>1.9239976062238182E-2</v>
      </c>
      <c r="O404" s="65">
        <f>(Hashtags!$L404+Hashtags!$N404)*100</f>
        <v>9.9910233393177741</v>
      </c>
    </row>
    <row r="405" spans="1:15" x14ac:dyDescent="0.25">
      <c r="A405" s="62" t="s">
        <v>257</v>
      </c>
      <c r="B405" s="62" t="s">
        <v>25</v>
      </c>
      <c r="C405" s="63">
        <v>45778</v>
      </c>
      <c r="D405" s="62" t="s">
        <v>26</v>
      </c>
      <c r="E405" s="62">
        <v>10258</v>
      </c>
      <c r="F405" s="62">
        <v>527</v>
      </c>
      <c r="G405" s="62">
        <v>854</v>
      </c>
      <c r="H405" s="62">
        <v>2068</v>
      </c>
      <c r="I405" s="62">
        <v>45632</v>
      </c>
      <c r="J405" s="62">
        <v>136546</v>
      </c>
      <c r="K405" s="62" t="s">
        <v>52</v>
      </c>
      <c r="L405" s="64">
        <v>8.5238674146441498E-2</v>
      </c>
      <c r="M405" s="62" t="s">
        <v>48</v>
      </c>
      <c r="N405" s="64">
        <f>Hashtags!$H405/Hashtags!$J405</f>
        <v>1.5145079313930837E-2</v>
      </c>
      <c r="O405" s="66">
        <f>(Hashtags!$L405+Hashtags!$N405)*100</f>
        <v>10.038375346037233</v>
      </c>
    </row>
    <row r="406" spans="1:15" x14ac:dyDescent="0.25">
      <c r="A406" s="59" t="s">
        <v>257</v>
      </c>
      <c r="B406" s="59" t="s">
        <v>25</v>
      </c>
      <c r="C406" s="60">
        <v>45778</v>
      </c>
      <c r="D406" s="59" t="s">
        <v>26</v>
      </c>
      <c r="E406" s="59">
        <v>10258</v>
      </c>
      <c r="F406" s="59">
        <v>527</v>
      </c>
      <c r="G406" s="59">
        <v>854</v>
      </c>
      <c r="H406" s="59">
        <v>2068</v>
      </c>
      <c r="I406" s="59">
        <v>45632</v>
      </c>
      <c r="J406" s="59">
        <v>136546</v>
      </c>
      <c r="K406" s="59" t="s">
        <v>52</v>
      </c>
      <c r="L406" s="61">
        <v>8.5238674146441498E-2</v>
      </c>
      <c r="M406" s="59" t="s">
        <v>32</v>
      </c>
      <c r="N406" s="61">
        <f>Hashtags!$H406/Hashtags!$J406</f>
        <v>1.5145079313930837E-2</v>
      </c>
      <c r="O406" s="65">
        <f>(Hashtags!$L406+Hashtags!$N406)*100</f>
        <v>10.038375346037233</v>
      </c>
    </row>
    <row r="407" spans="1:15" x14ac:dyDescent="0.25">
      <c r="A407" s="62" t="s">
        <v>258</v>
      </c>
      <c r="B407" s="62" t="s">
        <v>14</v>
      </c>
      <c r="C407" s="63">
        <v>45649</v>
      </c>
      <c r="D407" s="62" t="s">
        <v>31</v>
      </c>
      <c r="E407" s="62">
        <v>18616</v>
      </c>
      <c r="F407" s="62">
        <v>1277</v>
      </c>
      <c r="G407" s="62">
        <v>734</v>
      </c>
      <c r="H407" s="62">
        <v>2249</v>
      </c>
      <c r="I407" s="62">
        <v>3399</v>
      </c>
      <c r="J407" s="62">
        <v>193515</v>
      </c>
      <c r="K407" s="62" t="s">
        <v>34</v>
      </c>
      <c r="L407" s="64">
        <v>0.10659122031883833</v>
      </c>
      <c r="M407" s="62" t="s">
        <v>27</v>
      </c>
      <c r="N407" s="64">
        <f>Hashtags!$H407/Hashtags!$J407</f>
        <v>1.1621838100405653E-2</v>
      </c>
      <c r="O407" s="66">
        <f>(Hashtags!$L407+Hashtags!$N407)*100</f>
        <v>11.821305841924397</v>
      </c>
    </row>
    <row r="408" spans="1:15" x14ac:dyDescent="0.25">
      <c r="A408" s="59" t="s">
        <v>258</v>
      </c>
      <c r="B408" s="59" t="s">
        <v>14</v>
      </c>
      <c r="C408" s="60">
        <v>45649</v>
      </c>
      <c r="D408" s="59" t="s">
        <v>31</v>
      </c>
      <c r="E408" s="59">
        <v>18616</v>
      </c>
      <c r="F408" s="59">
        <v>1277</v>
      </c>
      <c r="G408" s="59">
        <v>734</v>
      </c>
      <c r="H408" s="59">
        <v>2249</v>
      </c>
      <c r="I408" s="59">
        <v>3399</v>
      </c>
      <c r="J408" s="59">
        <v>193515</v>
      </c>
      <c r="K408" s="59" t="s">
        <v>34</v>
      </c>
      <c r="L408" s="61">
        <v>0.10659122031883833</v>
      </c>
      <c r="M408" s="59" t="s">
        <v>28</v>
      </c>
      <c r="N408" s="61">
        <f>Hashtags!$H408/Hashtags!$J408</f>
        <v>1.1621838100405653E-2</v>
      </c>
      <c r="O408" s="65">
        <f>(Hashtags!$L408+Hashtags!$N408)*100</f>
        <v>11.821305841924397</v>
      </c>
    </row>
    <row r="409" spans="1:15" x14ac:dyDescent="0.25">
      <c r="A409" s="62" t="s">
        <v>259</v>
      </c>
      <c r="B409" s="62" t="s">
        <v>14</v>
      </c>
      <c r="C409" s="63">
        <v>45925</v>
      </c>
      <c r="D409" s="62" t="s">
        <v>31</v>
      </c>
      <c r="E409" s="62">
        <v>8371</v>
      </c>
      <c r="F409" s="62">
        <v>960</v>
      </c>
      <c r="G409" s="62">
        <v>548</v>
      </c>
      <c r="H409" s="62">
        <v>2936</v>
      </c>
      <c r="I409" s="62">
        <v>82543</v>
      </c>
      <c r="J409" s="62">
        <v>119973</v>
      </c>
      <c r="K409" s="62" t="s">
        <v>23</v>
      </c>
      <c r="L409" s="64">
        <v>8.2343527293641069E-2</v>
      </c>
      <c r="M409" s="62" t="s">
        <v>62</v>
      </c>
      <c r="N409" s="64">
        <f>Hashtags!$H409/Hashtags!$J409</f>
        <v>2.4472172905570421E-2</v>
      </c>
      <c r="O409" s="66">
        <f>(Hashtags!$L409+Hashtags!$N409)*100</f>
        <v>10.68157001992115</v>
      </c>
    </row>
    <row r="410" spans="1:15" x14ac:dyDescent="0.25">
      <c r="A410" s="59" t="s">
        <v>259</v>
      </c>
      <c r="B410" s="59" t="s">
        <v>14</v>
      </c>
      <c r="C410" s="60">
        <v>45925</v>
      </c>
      <c r="D410" s="59" t="s">
        <v>31</v>
      </c>
      <c r="E410" s="59">
        <v>8371</v>
      </c>
      <c r="F410" s="59">
        <v>960</v>
      </c>
      <c r="G410" s="59">
        <v>548</v>
      </c>
      <c r="H410" s="59">
        <v>2936</v>
      </c>
      <c r="I410" s="59">
        <v>82543</v>
      </c>
      <c r="J410" s="59">
        <v>119973</v>
      </c>
      <c r="K410" s="59" t="s">
        <v>23</v>
      </c>
      <c r="L410" s="61">
        <v>8.2343527293641069E-2</v>
      </c>
      <c r="M410" s="59" t="s">
        <v>37</v>
      </c>
      <c r="N410" s="61">
        <f>Hashtags!$H410/Hashtags!$J410</f>
        <v>2.4472172905570421E-2</v>
      </c>
      <c r="O410" s="65">
        <f>(Hashtags!$L410+Hashtags!$N410)*100</f>
        <v>10.68157001992115</v>
      </c>
    </row>
    <row r="411" spans="1:15" x14ac:dyDescent="0.25">
      <c r="A411" s="62" t="s">
        <v>260</v>
      </c>
      <c r="B411" s="62" t="s">
        <v>25</v>
      </c>
      <c r="C411" s="63">
        <v>45502</v>
      </c>
      <c r="D411" s="62" t="s">
        <v>26</v>
      </c>
      <c r="E411" s="62">
        <v>22590</v>
      </c>
      <c r="F411" s="62">
        <v>1462</v>
      </c>
      <c r="G411" s="62">
        <v>966</v>
      </c>
      <c r="H411" s="62">
        <v>2463</v>
      </c>
      <c r="I411" s="62">
        <v>29689</v>
      </c>
      <c r="J411" s="62">
        <v>103449</v>
      </c>
      <c r="K411" s="62" t="s">
        <v>29</v>
      </c>
      <c r="L411" s="64">
        <v>0.24183897379385011</v>
      </c>
      <c r="M411" s="62" t="s">
        <v>16</v>
      </c>
      <c r="N411" s="64">
        <f>Hashtags!$H411/Hashtags!$J411</f>
        <v>2.3808833338166632E-2</v>
      </c>
      <c r="O411" s="66">
        <f>(Hashtags!$L411+Hashtags!$N411)*100</f>
        <v>26.564780713201674</v>
      </c>
    </row>
    <row r="412" spans="1:15" x14ac:dyDescent="0.25">
      <c r="A412" s="59" t="s">
        <v>260</v>
      </c>
      <c r="B412" s="59" t="s">
        <v>25</v>
      </c>
      <c r="C412" s="60">
        <v>45502</v>
      </c>
      <c r="D412" s="59" t="s">
        <v>26</v>
      </c>
      <c r="E412" s="59">
        <v>22590</v>
      </c>
      <c r="F412" s="59">
        <v>1462</v>
      </c>
      <c r="G412" s="59">
        <v>966</v>
      </c>
      <c r="H412" s="59">
        <v>2463</v>
      </c>
      <c r="I412" s="59">
        <v>29689</v>
      </c>
      <c r="J412" s="59">
        <v>103449</v>
      </c>
      <c r="K412" s="59" t="s">
        <v>29</v>
      </c>
      <c r="L412" s="61">
        <v>0.24183897379385011</v>
      </c>
      <c r="M412" s="59" t="s">
        <v>17</v>
      </c>
      <c r="N412" s="61">
        <f>Hashtags!$H412/Hashtags!$J412</f>
        <v>2.3808833338166632E-2</v>
      </c>
      <c r="O412" s="65">
        <f>(Hashtags!$L412+Hashtags!$N412)*100</f>
        <v>26.564780713201674</v>
      </c>
    </row>
    <row r="413" spans="1:15" x14ac:dyDescent="0.25">
      <c r="A413" s="62" t="s">
        <v>261</v>
      </c>
      <c r="B413" s="62" t="s">
        <v>20</v>
      </c>
      <c r="C413" s="63">
        <v>45926</v>
      </c>
      <c r="D413" s="62" t="s">
        <v>39</v>
      </c>
      <c r="E413" s="62">
        <v>16369</v>
      </c>
      <c r="F413" s="62">
        <v>1452</v>
      </c>
      <c r="G413" s="62">
        <v>493</v>
      </c>
      <c r="H413" s="62">
        <v>1217</v>
      </c>
      <c r="I413" s="62">
        <v>91440</v>
      </c>
      <c r="J413" s="62">
        <v>149834</v>
      </c>
      <c r="K413" s="62" t="s">
        <v>23</v>
      </c>
      <c r="L413" s="64">
        <v>0.12222859965027964</v>
      </c>
      <c r="M413" s="62" t="s">
        <v>16</v>
      </c>
      <c r="N413" s="64">
        <f>Hashtags!$H413/Hashtags!$J413</f>
        <v>8.1223220363869347E-3</v>
      </c>
      <c r="O413" s="66">
        <f>(Hashtags!$L413+Hashtags!$N413)*100</f>
        <v>13.035092168666656</v>
      </c>
    </row>
    <row r="414" spans="1:15" x14ac:dyDescent="0.25">
      <c r="A414" s="59" t="s">
        <v>261</v>
      </c>
      <c r="B414" s="59" t="s">
        <v>20</v>
      </c>
      <c r="C414" s="60">
        <v>45926</v>
      </c>
      <c r="D414" s="59" t="s">
        <v>39</v>
      </c>
      <c r="E414" s="59">
        <v>16369</v>
      </c>
      <c r="F414" s="59">
        <v>1452</v>
      </c>
      <c r="G414" s="59">
        <v>493</v>
      </c>
      <c r="H414" s="59">
        <v>1217</v>
      </c>
      <c r="I414" s="59">
        <v>91440</v>
      </c>
      <c r="J414" s="59">
        <v>149834</v>
      </c>
      <c r="K414" s="59" t="s">
        <v>23</v>
      </c>
      <c r="L414" s="61">
        <v>0.12222859965027964</v>
      </c>
      <c r="M414" s="59" t="s">
        <v>17</v>
      </c>
      <c r="N414" s="61">
        <f>Hashtags!$H414/Hashtags!$J414</f>
        <v>8.1223220363869347E-3</v>
      </c>
      <c r="O414" s="65">
        <f>(Hashtags!$L414+Hashtags!$N414)*100</f>
        <v>13.035092168666656</v>
      </c>
    </row>
    <row r="415" spans="1:15" x14ac:dyDescent="0.25">
      <c r="A415" s="62" t="s">
        <v>262</v>
      </c>
      <c r="B415" s="62" t="s">
        <v>25</v>
      </c>
      <c r="C415" s="63">
        <v>45454</v>
      </c>
      <c r="D415" s="62" t="s">
        <v>31</v>
      </c>
      <c r="E415" s="62">
        <v>14910</v>
      </c>
      <c r="F415" s="62">
        <v>778</v>
      </c>
      <c r="G415" s="62">
        <v>289</v>
      </c>
      <c r="H415" s="62">
        <v>2541</v>
      </c>
      <c r="I415" s="62">
        <v>14309</v>
      </c>
      <c r="J415" s="62">
        <v>247815</v>
      </c>
      <c r="K415" s="62" t="s">
        <v>29</v>
      </c>
      <c r="L415" s="64">
        <v>6.4471480741682297E-2</v>
      </c>
      <c r="M415" s="62" t="s">
        <v>71</v>
      </c>
      <c r="N415" s="64">
        <f>Hashtags!$H415/Hashtags!$J415</f>
        <v>1.0253616609164094E-2</v>
      </c>
      <c r="O415" s="66">
        <f>(Hashtags!$L415+Hashtags!$N415)*100</f>
        <v>7.4725097350846399</v>
      </c>
    </row>
    <row r="416" spans="1:15" x14ac:dyDescent="0.25">
      <c r="A416" s="59" t="s">
        <v>263</v>
      </c>
      <c r="B416" s="59" t="s">
        <v>20</v>
      </c>
      <c r="C416" s="60">
        <v>45685</v>
      </c>
      <c r="D416" s="59" t="s">
        <v>39</v>
      </c>
      <c r="E416" s="59">
        <v>9943</v>
      </c>
      <c r="F416" s="59">
        <v>1274</v>
      </c>
      <c r="G416" s="59">
        <v>336</v>
      </c>
      <c r="H416" s="59">
        <v>389</v>
      </c>
      <c r="I416" s="59">
        <v>6145</v>
      </c>
      <c r="J416" s="59">
        <v>231305</v>
      </c>
      <c r="K416" s="59" t="s">
        <v>18</v>
      </c>
      <c r="L416" s="61">
        <v>4.9947039623008581E-2</v>
      </c>
      <c r="M416" s="59" t="s">
        <v>40</v>
      </c>
      <c r="N416" s="61">
        <f>Hashtags!$H416/Hashtags!$J416</f>
        <v>1.6817621754825879E-3</v>
      </c>
      <c r="O416" s="65">
        <f>(Hashtags!$L416+Hashtags!$N416)*100</f>
        <v>5.1628801798491173</v>
      </c>
    </row>
    <row r="417" spans="1:15" x14ac:dyDescent="0.25">
      <c r="A417" s="62" t="s">
        <v>263</v>
      </c>
      <c r="B417" s="62" t="s">
        <v>20</v>
      </c>
      <c r="C417" s="63">
        <v>45685</v>
      </c>
      <c r="D417" s="62" t="s">
        <v>39</v>
      </c>
      <c r="E417" s="62">
        <v>9943</v>
      </c>
      <c r="F417" s="62">
        <v>1274</v>
      </c>
      <c r="G417" s="62">
        <v>336</v>
      </c>
      <c r="H417" s="62">
        <v>389</v>
      </c>
      <c r="I417" s="62">
        <v>6145</v>
      </c>
      <c r="J417" s="62">
        <v>231305</v>
      </c>
      <c r="K417" s="62" t="s">
        <v>18</v>
      </c>
      <c r="L417" s="64">
        <v>4.9947039623008581E-2</v>
      </c>
      <c r="M417" s="62" t="s">
        <v>41</v>
      </c>
      <c r="N417" s="64">
        <f>Hashtags!$H417/Hashtags!$J417</f>
        <v>1.6817621754825879E-3</v>
      </c>
      <c r="O417" s="66">
        <f>(Hashtags!$L417+Hashtags!$N417)*100</f>
        <v>5.1628801798491173</v>
      </c>
    </row>
    <row r="418" spans="1:15" x14ac:dyDescent="0.25">
      <c r="A418" s="59" t="s">
        <v>264</v>
      </c>
      <c r="B418" s="59" t="s">
        <v>14</v>
      </c>
      <c r="C418" s="60">
        <v>45445</v>
      </c>
      <c r="D418" s="59" t="s">
        <v>31</v>
      </c>
      <c r="E418" s="59">
        <v>14199</v>
      </c>
      <c r="F418" s="59">
        <v>1206</v>
      </c>
      <c r="G418" s="59">
        <v>954</v>
      </c>
      <c r="H418" s="59">
        <v>2009</v>
      </c>
      <c r="I418" s="59">
        <v>8</v>
      </c>
      <c r="J418" s="59">
        <v>65537</v>
      </c>
      <c r="K418" s="59" t="s">
        <v>29</v>
      </c>
      <c r="L418" s="61">
        <v>0.24961472145505592</v>
      </c>
      <c r="M418" s="59" t="s">
        <v>21</v>
      </c>
      <c r="N418" s="61">
        <f>Hashtags!$H418/Hashtags!$J418</f>
        <v>3.0654439476936694E-2</v>
      </c>
      <c r="O418" s="65">
        <f>(Hashtags!$L418+Hashtags!$N418)*100</f>
        <v>28.026916093199262</v>
      </c>
    </row>
    <row r="419" spans="1:15" x14ac:dyDescent="0.25">
      <c r="A419" s="62" t="s">
        <v>264</v>
      </c>
      <c r="B419" s="62" t="s">
        <v>14</v>
      </c>
      <c r="C419" s="63">
        <v>45445</v>
      </c>
      <c r="D419" s="62" t="s">
        <v>31</v>
      </c>
      <c r="E419" s="62">
        <v>14199</v>
      </c>
      <c r="F419" s="62">
        <v>1206</v>
      </c>
      <c r="G419" s="62">
        <v>954</v>
      </c>
      <c r="H419" s="62">
        <v>2009</v>
      </c>
      <c r="I419" s="62">
        <v>8</v>
      </c>
      <c r="J419" s="62">
        <v>65537</v>
      </c>
      <c r="K419" s="62" t="s">
        <v>29</v>
      </c>
      <c r="L419" s="64">
        <v>0.24961472145505592</v>
      </c>
      <c r="M419" s="62" t="s">
        <v>22</v>
      </c>
      <c r="N419" s="64">
        <f>Hashtags!$H419/Hashtags!$J419</f>
        <v>3.0654439476936694E-2</v>
      </c>
      <c r="O419" s="66">
        <f>(Hashtags!$L419+Hashtags!$N419)*100</f>
        <v>28.026916093199262</v>
      </c>
    </row>
    <row r="420" spans="1:15" x14ac:dyDescent="0.25">
      <c r="A420" s="59" t="s">
        <v>265</v>
      </c>
      <c r="B420" s="59" t="s">
        <v>14</v>
      </c>
      <c r="C420" s="60">
        <v>45739</v>
      </c>
      <c r="D420" s="59" t="s">
        <v>39</v>
      </c>
      <c r="E420" s="59">
        <v>17728</v>
      </c>
      <c r="F420" s="59">
        <v>1487</v>
      </c>
      <c r="G420" s="59">
        <v>210</v>
      </c>
      <c r="H420" s="59">
        <v>2469</v>
      </c>
      <c r="I420" s="59">
        <v>30565</v>
      </c>
      <c r="J420" s="59">
        <v>117576</v>
      </c>
      <c r="K420" s="59" t="s">
        <v>18</v>
      </c>
      <c r="L420" s="61">
        <v>0.16521228822208614</v>
      </c>
      <c r="M420" s="59" t="s">
        <v>40</v>
      </c>
      <c r="N420" s="61">
        <f>Hashtags!$H420/Hashtags!$J420</f>
        <v>2.0999183506838132E-2</v>
      </c>
      <c r="O420" s="65">
        <f>(Hashtags!$L420+Hashtags!$N420)*100</f>
        <v>18.621147172892428</v>
      </c>
    </row>
    <row r="421" spans="1:15" x14ac:dyDescent="0.25">
      <c r="A421" s="62" t="s">
        <v>265</v>
      </c>
      <c r="B421" s="62" t="s">
        <v>14</v>
      </c>
      <c r="C421" s="63">
        <v>45739</v>
      </c>
      <c r="D421" s="62" t="s">
        <v>39</v>
      </c>
      <c r="E421" s="62">
        <v>17728</v>
      </c>
      <c r="F421" s="62">
        <v>1487</v>
      </c>
      <c r="G421" s="62">
        <v>210</v>
      </c>
      <c r="H421" s="62">
        <v>2469</v>
      </c>
      <c r="I421" s="62">
        <v>30565</v>
      </c>
      <c r="J421" s="62">
        <v>117576</v>
      </c>
      <c r="K421" s="62" t="s">
        <v>18</v>
      </c>
      <c r="L421" s="64">
        <v>0.16521228822208614</v>
      </c>
      <c r="M421" s="62" t="s">
        <v>41</v>
      </c>
      <c r="N421" s="64">
        <f>Hashtags!$H421/Hashtags!$J421</f>
        <v>2.0999183506838132E-2</v>
      </c>
      <c r="O421" s="66">
        <f>(Hashtags!$L421+Hashtags!$N421)*100</f>
        <v>18.621147172892428</v>
      </c>
    </row>
    <row r="422" spans="1:15" x14ac:dyDescent="0.25">
      <c r="A422" s="59" t="s">
        <v>266</v>
      </c>
      <c r="B422" s="59" t="s">
        <v>14</v>
      </c>
      <c r="C422" s="60">
        <v>45573</v>
      </c>
      <c r="D422" s="59" t="s">
        <v>26</v>
      </c>
      <c r="E422" s="59">
        <v>8738</v>
      </c>
      <c r="F422" s="59">
        <v>295</v>
      </c>
      <c r="G422" s="59">
        <v>529</v>
      </c>
      <c r="H422" s="59">
        <v>442</v>
      </c>
      <c r="I422" s="59">
        <v>25286</v>
      </c>
      <c r="J422" s="59">
        <v>147522</v>
      </c>
      <c r="K422" s="59" t="s">
        <v>34</v>
      </c>
      <c r="L422" s="61">
        <v>6.4817450956467515E-2</v>
      </c>
      <c r="M422" s="59" t="s">
        <v>71</v>
      </c>
      <c r="N422" s="61">
        <f>Hashtags!$H422/Hashtags!$J422</f>
        <v>2.9961632841203345E-3</v>
      </c>
      <c r="O422" s="65">
        <f>(Hashtags!$L422+Hashtags!$N422)*100</f>
        <v>6.7813614240587849</v>
      </c>
    </row>
    <row r="423" spans="1:15" x14ac:dyDescent="0.25">
      <c r="A423" s="62" t="s">
        <v>267</v>
      </c>
      <c r="B423" s="62" t="s">
        <v>47</v>
      </c>
      <c r="C423" s="63">
        <v>45608</v>
      </c>
      <c r="D423" s="62" t="s">
        <v>31</v>
      </c>
      <c r="E423" s="62">
        <v>17913</v>
      </c>
      <c r="F423" s="62">
        <v>1311</v>
      </c>
      <c r="G423" s="62">
        <v>859</v>
      </c>
      <c r="H423" s="62">
        <v>405</v>
      </c>
      <c r="I423" s="62">
        <v>59842</v>
      </c>
      <c r="J423" s="62">
        <v>62612</v>
      </c>
      <c r="K423" s="62" t="s">
        <v>29</v>
      </c>
      <c r="L423" s="64">
        <v>0.32075321024723696</v>
      </c>
      <c r="M423" s="62" t="s">
        <v>27</v>
      </c>
      <c r="N423" s="64">
        <f>Hashtags!$H423/Hashtags!$J423</f>
        <v>6.4684086117677122E-3</v>
      </c>
      <c r="O423" s="66">
        <f>(Hashtags!$L423+Hashtags!$N423)*100</f>
        <v>32.722161885900469</v>
      </c>
    </row>
    <row r="424" spans="1:15" x14ac:dyDescent="0.25">
      <c r="A424" s="59" t="s">
        <v>267</v>
      </c>
      <c r="B424" s="59" t="s">
        <v>47</v>
      </c>
      <c r="C424" s="60">
        <v>45608</v>
      </c>
      <c r="D424" s="59" t="s">
        <v>31</v>
      </c>
      <c r="E424" s="59">
        <v>17913</v>
      </c>
      <c r="F424" s="59">
        <v>1311</v>
      </c>
      <c r="G424" s="59">
        <v>859</v>
      </c>
      <c r="H424" s="59">
        <v>405</v>
      </c>
      <c r="I424" s="59">
        <v>59842</v>
      </c>
      <c r="J424" s="59">
        <v>62612</v>
      </c>
      <c r="K424" s="59" t="s">
        <v>29</v>
      </c>
      <c r="L424" s="61">
        <v>0.32075321024723696</v>
      </c>
      <c r="M424" s="59" t="s">
        <v>28</v>
      </c>
      <c r="N424" s="61">
        <f>Hashtags!$H424/Hashtags!$J424</f>
        <v>6.4684086117677122E-3</v>
      </c>
      <c r="O424" s="65">
        <f>(Hashtags!$L424+Hashtags!$N424)*100</f>
        <v>32.722161885900469</v>
      </c>
    </row>
    <row r="425" spans="1:15" x14ac:dyDescent="0.25">
      <c r="A425" s="62" t="s">
        <v>268</v>
      </c>
      <c r="B425" s="62" t="s">
        <v>20</v>
      </c>
      <c r="C425" s="63">
        <v>45907</v>
      </c>
      <c r="D425" s="62" t="s">
        <v>26</v>
      </c>
      <c r="E425" s="62">
        <v>4472</v>
      </c>
      <c r="F425" s="62">
        <v>1301</v>
      </c>
      <c r="G425" s="62">
        <v>956</v>
      </c>
      <c r="H425" s="62">
        <v>1186</v>
      </c>
      <c r="I425" s="62">
        <v>3363</v>
      </c>
      <c r="J425" s="62">
        <v>46471</v>
      </c>
      <c r="K425" s="62" t="s">
        <v>23</v>
      </c>
      <c r="L425" s="64">
        <v>0.14479998278496267</v>
      </c>
      <c r="M425" s="62" t="s">
        <v>122</v>
      </c>
      <c r="N425" s="64">
        <f>Hashtags!$H425/Hashtags!$J425</f>
        <v>2.5521292849303868E-2</v>
      </c>
      <c r="O425" s="66">
        <f>(Hashtags!$L425+Hashtags!$N425)*100</f>
        <v>17.032127563426656</v>
      </c>
    </row>
    <row r="426" spans="1:15" x14ac:dyDescent="0.25">
      <c r="A426" s="59" t="s">
        <v>268</v>
      </c>
      <c r="B426" s="59" t="s">
        <v>20</v>
      </c>
      <c r="C426" s="60">
        <v>45907</v>
      </c>
      <c r="D426" s="59" t="s">
        <v>26</v>
      </c>
      <c r="E426" s="59">
        <v>4472</v>
      </c>
      <c r="F426" s="59">
        <v>1301</v>
      </c>
      <c r="G426" s="59">
        <v>956</v>
      </c>
      <c r="H426" s="59">
        <v>1186</v>
      </c>
      <c r="I426" s="59">
        <v>3363</v>
      </c>
      <c r="J426" s="59">
        <v>46471</v>
      </c>
      <c r="K426" s="59" t="s">
        <v>23</v>
      </c>
      <c r="L426" s="61">
        <v>0.14479998278496267</v>
      </c>
      <c r="M426" s="59" t="s">
        <v>123</v>
      </c>
      <c r="N426" s="61">
        <f>Hashtags!$H426/Hashtags!$J426</f>
        <v>2.5521292849303868E-2</v>
      </c>
      <c r="O426" s="65">
        <f>(Hashtags!$L426+Hashtags!$N426)*100</f>
        <v>17.032127563426656</v>
      </c>
    </row>
    <row r="427" spans="1:15" x14ac:dyDescent="0.25">
      <c r="A427" s="62" t="s">
        <v>269</v>
      </c>
      <c r="B427" s="62" t="s">
        <v>47</v>
      </c>
      <c r="C427" s="63">
        <v>45463</v>
      </c>
      <c r="D427" s="62" t="s">
        <v>31</v>
      </c>
      <c r="E427" s="62">
        <v>21123</v>
      </c>
      <c r="F427" s="62">
        <v>1343</v>
      </c>
      <c r="G427" s="62">
        <v>589</v>
      </c>
      <c r="H427" s="62">
        <v>727</v>
      </c>
      <c r="I427" s="62">
        <v>87833</v>
      </c>
      <c r="J427" s="62">
        <v>206703</v>
      </c>
      <c r="K427" s="62" t="s">
        <v>18</v>
      </c>
      <c r="L427" s="64">
        <v>0.11153684271636116</v>
      </c>
      <c r="M427" s="62" t="s">
        <v>43</v>
      </c>
      <c r="N427" s="64">
        <f>Hashtags!$H427/Hashtags!$J427</f>
        <v>3.5171236024634377E-3</v>
      </c>
      <c r="O427" s="66">
        <f>(Hashtags!$L427+Hashtags!$N427)*100</f>
        <v>11.50539663188246</v>
      </c>
    </row>
    <row r="428" spans="1:15" x14ac:dyDescent="0.25">
      <c r="A428" s="59" t="s">
        <v>269</v>
      </c>
      <c r="B428" s="59" t="s">
        <v>47</v>
      </c>
      <c r="C428" s="60">
        <v>45463</v>
      </c>
      <c r="D428" s="59" t="s">
        <v>31</v>
      </c>
      <c r="E428" s="59">
        <v>21123</v>
      </c>
      <c r="F428" s="59">
        <v>1343</v>
      </c>
      <c r="G428" s="59">
        <v>589</v>
      </c>
      <c r="H428" s="59">
        <v>727</v>
      </c>
      <c r="I428" s="59">
        <v>87833</v>
      </c>
      <c r="J428" s="59">
        <v>206703</v>
      </c>
      <c r="K428" s="59" t="s">
        <v>18</v>
      </c>
      <c r="L428" s="61">
        <v>0.11153684271636116</v>
      </c>
      <c r="M428" s="59" t="s">
        <v>44</v>
      </c>
      <c r="N428" s="61">
        <f>Hashtags!$H428/Hashtags!$J428</f>
        <v>3.5171236024634377E-3</v>
      </c>
      <c r="O428" s="65">
        <f>(Hashtags!$L428+Hashtags!$N428)*100</f>
        <v>11.50539663188246</v>
      </c>
    </row>
    <row r="429" spans="1:15" x14ac:dyDescent="0.25">
      <c r="A429" s="62" t="s">
        <v>270</v>
      </c>
      <c r="B429" s="62" t="s">
        <v>47</v>
      </c>
      <c r="C429" s="63">
        <v>45908</v>
      </c>
      <c r="D429" s="62" t="s">
        <v>26</v>
      </c>
      <c r="E429" s="62">
        <v>23785</v>
      </c>
      <c r="F429" s="62">
        <v>1013</v>
      </c>
      <c r="G429" s="62">
        <v>468</v>
      </c>
      <c r="H429" s="62">
        <v>1628</v>
      </c>
      <c r="I429" s="62">
        <v>8272</v>
      </c>
      <c r="J429" s="62">
        <v>71348</v>
      </c>
      <c r="K429" s="62" t="s">
        <v>23</v>
      </c>
      <c r="L429" s="64">
        <v>0.35412345125301342</v>
      </c>
      <c r="M429" s="62" t="s">
        <v>43</v>
      </c>
      <c r="N429" s="64">
        <f>Hashtags!$H429/Hashtags!$J429</f>
        <v>2.2817738408925269E-2</v>
      </c>
      <c r="O429" s="66">
        <f>(Hashtags!$L429+Hashtags!$N429)*100</f>
        <v>37.694118966193869</v>
      </c>
    </row>
    <row r="430" spans="1:15" x14ac:dyDescent="0.25">
      <c r="A430" s="59" t="s">
        <v>270</v>
      </c>
      <c r="B430" s="59" t="s">
        <v>47</v>
      </c>
      <c r="C430" s="60">
        <v>45908</v>
      </c>
      <c r="D430" s="59" t="s">
        <v>26</v>
      </c>
      <c r="E430" s="59">
        <v>23785</v>
      </c>
      <c r="F430" s="59">
        <v>1013</v>
      </c>
      <c r="G430" s="59">
        <v>468</v>
      </c>
      <c r="H430" s="59">
        <v>1628</v>
      </c>
      <c r="I430" s="59">
        <v>8272</v>
      </c>
      <c r="J430" s="59">
        <v>71348</v>
      </c>
      <c r="K430" s="59" t="s">
        <v>23</v>
      </c>
      <c r="L430" s="61">
        <v>0.35412345125301342</v>
      </c>
      <c r="M430" s="59" t="s">
        <v>44</v>
      </c>
      <c r="N430" s="61">
        <f>Hashtags!$H430/Hashtags!$J430</f>
        <v>2.2817738408925269E-2</v>
      </c>
      <c r="O430" s="65">
        <f>(Hashtags!$L430+Hashtags!$N430)*100</f>
        <v>37.694118966193869</v>
      </c>
    </row>
    <row r="431" spans="1:15" x14ac:dyDescent="0.25">
      <c r="A431" s="62" t="s">
        <v>271</v>
      </c>
      <c r="B431" s="62" t="s">
        <v>25</v>
      </c>
      <c r="C431" s="63">
        <v>45455</v>
      </c>
      <c r="D431" s="62" t="s">
        <v>26</v>
      </c>
      <c r="E431" s="62">
        <v>17679</v>
      </c>
      <c r="F431" s="62">
        <v>690</v>
      </c>
      <c r="G431" s="62">
        <v>451</v>
      </c>
      <c r="H431" s="62">
        <v>2195</v>
      </c>
      <c r="I431" s="62">
        <v>4390</v>
      </c>
      <c r="J431" s="62">
        <v>235804</v>
      </c>
      <c r="K431" s="62" t="s">
        <v>52</v>
      </c>
      <c r="L431" s="64">
        <v>7.9812047293514959E-2</v>
      </c>
      <c r="M431" s="62" t="s">
        <v>21</v>
      </c>
      <c r="N431" s="64">
        <f>Hashtags!$H431/Hashtags!$J431</f>
        <v>9.3085783108004961E-3</v>
      </c>
      <c r="O431" s="66">
        <f>(Hashtags!$L431+Hashtags!$N431)*100</f>
        <v>8.9120625604315453</v>
      </c>
    </row>
    <row r="432" spans="1:15" x14ac:dyDescent="0.25">
      <c r="A432" s="59" t="s">
        <v>271</v>
      </c>
      <c r="B432" s="59" t="s">
        <v>25</v>
      </c>
      <c r="C432" s="60">
        <v>45455</v>
      </c>
      <c r="D432" s="59" t="s">
        <v>26</v>
      </c>
      <c r="E432" s="59">
        <v>17679</v>
      </c>
      <c r="F432" s="59">
        <v>690</v>
      </c>
      <c r="G432" s="59">
        <v>451</v>
      </c>
      <c r="H432" s="59">
        <v>2195</v>
      </c>
      <c r="I432" s="59">
        <v>4390</v>
      </c>
      <c r="J432" s="59">
        <v>235804</v>
      </c>
      <c r="K432" s="59" t="s">
        <v>52</v>
      </c>
      <c r="L432" s="61">
        <v>7.9812047293514959E-2</v>
      </c>
      <c r="M432" s="59" t="s">
        <v>22</v>
      </c>
      <c r="N432" s="61">
        <f>Hashtags!$H432/Hashtags!$J432</f>
        <v>9.3085783108004961E-3</v>
      </c>
      <c r="O432" s="65">
        <f>(Hashtags!$L432+Hashtags!$N432)*100</f>
        <v>8.9120625604315453</v>
      </c>
    </row>
    <row r="433" spans="1:15" x14ac:dyDescent="0.25">
      <c r="A433" s="62" t="s">
        <v>272</v>
      </c>
      <c r="B433" s="62" t="s">
        <v>47</v>
      </c>
      <c r="C433" s="63">
        <v>45474</v>
      </c>
      <c r="D433" s="62" t="s">
        <v>31</v>
      </c>
      <c r="E433" s="62">
        <v>3761</v>
      </c>
      <c r="F433" s="62">
        <v>651</v>
      </c>
      <c r="G433" s="62">
        <v>493</v>
      </c>
      <c r="H433" s="62">
        <v>2294</v>
      </c>
      <c r="I433" s="62">
        <v>71696</v>
      </c>
      <c r="J433" s="62">
        <v>41177</v>
      </c>
      <c r="K433" s="62" t="s">
        <v>18</v>
      </c>
      <c r="L433" s="64">
        <v>0.11911989702989532</v>
      </c>
      <c r="M433" s="62" t="s">
        <v>27</v>
      </c>
      <c r="N433" s="64">
        <f>Hashtags!$H433/Hashtags!$J433</f>
        <v>5.5710712290841978E-2</v>
      </c>
      <c r="O433" s="66">
        <f>(Hashtags!$L433+Hashtags!$N433)*100</f>
        <v>17.48306093207373</v>
      </c>
    </row>
    <row r="434" spans="1:15" x14ac:dyDescent="0.25">
      <c r="A434" s="59" t="s">
        <v>272</v>
      </c>
      <c r="B434" s="59" t="s">
        <v>47</v>
      </c>
      <c r="C434" s="60">
        <v>45474</v>
      </c>
      <c r="D434" s="59" t="s">
        <v>31</v>
      </c>
      <c r="E434" s="59">
        <v>3761</v>
      </c>
      <c r="F434" s="59">
        <v>651</v>
      </c>
      <c r="G434" s="59">
        <v>493</v>
      </c>
      <c r="H434" s="59">
        <v>2294</v>
      </c>
      <c r="I434" s="59">
        <v>71696</v>
      </c>
      <c r="J434" s="59">
        <v>41177</v>
      </c>
      <c r="K434" s="59" t="s">
        <v>18</v>
      </c>
      <c r="L434" s="61">
        <v>0.11911989702989532</v>
      </c>
      <c r="M434" s="59" t="s">
        <v>28</v>
      </c>
      <c r="N434" s="61">
        <f>Hashtags!$H434/Hashtags!$J434</f>
        <v>5.5710712290841978E-2</v>
      </c>
      <c r="O434" s="65">
        <f>(Hashtags!$L434+Hashtags!$N434)*100</f>
        <v>17.48306093207373</v>
      </c>
    </row>
    <row r="435" spans="1:15" x14ac:dyDescent="0.25">
      <c r="A435" s="62" t="s">
        <v>273</v>
      </c>
      <c r="B435" s="62" t="s">
        <v>25</v>
      </c>
      <c r="C435" s="63">
        <v>45476</v>
      </c>
      <c r="D435" s="62" t="s">
        <v>31</v>
      </c>
      <c r="E435" s="62">
        <v>12167</v>
      </c>
      <c r="F435" s="62">
        <v>364</v>
      </c>
      <c r="G435" s="62">
        <v>160</v>
      </c>
      <c r="H435" s="62">
        <v>616</v>
      </c>
      <c r="I435" s="62">
        <v>42228</v>
      </c>
      <c r="J435" s="62">
        <v>175832</v>
      </c>
      <c r="K435" s="62" t="s">
        <v>29</v>
      </c>
      <c r="L435" s="64">
        <v>7.2176850630146963E-2</v>
      </c>
      <c r="M435" s="62" t="s">
        <v>21</v>
      </c>
      <c r="N435" s="64">
        <f>Hashtags!$H435/Hashtags!$J435</f>
        <v>3.503344101187497E-3</v>
      </c>
      <c r="O435" s="66">
        <f>(Hashtags!$L435+Hashtags!$N435)*100</f>
        <v>7.5680194731334458</v>
      </c>
    </row>
    <row r="436" spans="1:15" x14ac:dyDescent="0.25">
      <c r="A436" s="59" t="s">
        <v>273</v>
      </c>
      <c r="B436" s="59" t="s">
        <v>25</v>
      </c>
      <c r="C436" s="60">
        <v>45476</v>
      </c>
      <c r="D436" s="59" t="s">
        <v>31</v>
      </c>
      <c r="E436" s="59">
        <v>12167</v>
      </c>
      <c r="F436" s="59">
        <v>364</v>
      </c>
      <c r="G436" s="59">
        <v>160</v>
      </c>
      <c r="H436" s="59">
        <v>616</v>
      </c>
      <c r="I436" s="59">
        <v>42228</v>
      </c>
      <c r="J436" s="59">
        <v>175832</v>
      </c>
      <c r="K436" s="59" t="s">
        <v>29</v>
      </c>
      <c r="L436" s="61">
        <v>7.2176850630146963E-2</v>
      </c>
      <c r="M436" s="59" t="s">
        <v>22</v>
      </c>
      <c r="N436" s="61">
        <f>Hashtags!$H436/Hashtags!$J436</f>
        <v>3.503344101187497E-3</v>
      </c>
      <c r="O436" s="65">
        <f>(Hashtags!$L436+Hashtags!$N436)*100</f>
        <v>7.5680194731334458</v>
      </c>
    </row>
    <row r="437" spans="1:15" x14ac:dyDescent="0.25">
      <c r="A437" s="62" t="s">
        <v>274</v>
      </c>
      <c r="B437" s="62" t="s">
        <v>25</v>
      </c>
      <c r="C437" s="63">
        <v>45488</v>
      </c>
      <c r="D437" s="62" t="s">
        <v>31</v>
      </c>
      <c r="E437" s="62">
        <v>12554</v>
      </c>
      <c r="F437" s="62">
        <v>381</v>
      </c>
      <c r="G437" s="62">
        <v>211</v>
      </c>
      <c r="H437" s="62">
        <v>2286</v>
      </c>
      <c r="I437" s="62">
        <v>50567</v>
      </c>
      <c r="J437" s="62">
        <v>72779</v>
      </c>
      <c r="K437" s="62" t="s">
        <v>18</v>
      </c>
      <c r="L437" s="64">
        <v>0.18062902760411656</v>
      </c>
      <c r="M437" s="62" t="s">
        <v>37</v>
      </c>
      <c r="N437" s="64">
        <f>Hashtags!$H437/Hashtags!$J437</f>
        <v>3.1410159524038528E-2</v>
      </c>
      <c r="O437" s="66">
        <f>(Hashtags!$L437+Hashtags!$N437)*100</f>
        <v>21.203918712815508</v>
      </c>
    </row>
    <row r="438" spans="1:15" x14ac:dyDescent="0.25">
      <c r="A438" s="59" t="s">
        <v>275</v>
      </c>
      <c r="B438" s="59" t="s">
        <v>47</v>
      </c>
      <c r="C438" s="60">
        <v>45909</v>
      </c>
      <c r="D438" s="59" t="s">
        <v>15</v>
      </c>
      <c r="E438" s="59">
        <v>19260</v>
      </c>
      <c r="F438" s="59">
        <v>668</v>
      </c>
      <c r="G438" s="59">
        <v>994</v>
      </c>
      <c r="H438" s="59">
        <v>934</v>
      </c>
      <c r="I438" s="59">
        <v>20509</v>
      </c>
      <c r="J438" s="59">
        <v>61636</v>
      </c>
      <c r="K438" s="59" t="s">
        <v>23</v>
      </c>
      <c r="L438" s="61">
        <v>0.33944448049841003</v>
      </c>
      <c r="M438" s="59" t="s">
        <v>40</v>
      </c>
      <c r="N438" s="61">
        <f>Hashtags!$H438/Hashtags!$J438</f>
        <v>1.5153481731455642E-2</v>
      </c>
      <c r="O438" s="65">
        <f>(Hashtags!$L438+Hashtags!$N438)*100</f>
        <v>35.459796222986569</v>
      </c>
    </row>
    <row r="439" spans="1:15" x14ac:dyDescent="0.25">
      <c r="A439" s="62" t="s">
        <v>275</v>
      </c>
      <c r="B439" s="62" t="s">
        <v>47</v>
      </c>
      <c r="C439" s="63">
        <v>45909</v>
      </c>
      <c r="D439" s="62" t="s">
        <v>15</v>
      </c>
      <c r="E439" s="62">
        <v>19260</v>
      </c>
      <c r="F439" s="62">
        <v>668</v>
      </c>
      <c r="G439" s="62">
        <v>994</v>
      </c>
      <c r="H439" s="62">
        <v>934</v>
      </c>
      <c r="I439" s="62">
        <v>20509</v>
      </c>
      <c r="J439" s="62">
        <v>61636</v>
      </c>
      <c r="K439" s="62" t="s">
        <v>23</v>
      </c>
      <c r="L439" s="64">
        <v>0.33944448049841003</v>
      </c>
      <c r="M439" s="62" t="s">
        <v>41</v>
      </c>
      <c r="N439" s="64">
        <f>Hashtags!$H439/Hashtags!$J439</f>
        <v>1.5153481731455642E-2</v>
      </c>
      <c r="O439" s="66">
        <f>(Hashtags!$L439+Hashtags!$N439)*100</f>
        <v>35.459796222986569</v>
      </c>
    </row>
    <row r="440" spans="1:15" x14ac:dyDescent="0.25">
      <c r="A440" s="59" t="s">
        <v>276</v>
      </c>
      <c r="B440" s="59" t="s">
        <v>20</v>
      </c>
      <c r="C440" s="60">
        <v>45776</v>
      </c>
      <c r="D440" s="59" t="s">
        <v>39</v>
      </c>
      <c r="E440" s="59">
        <v>16277</v>
      </c>
      <c r="F440" s="59">
        <v>1109</v>
      </c>
      <c r="G440" s="59">
        <v>375</v>
      </c>
      <c r="H440" s="59">
        <v>2225</v>
      </c>
      <c r="I440" s="59">
        <v>1044</v>
      </c>
      <c r="J440" s="59">
        <v>121889</v>
      </c>
      <c r="K440" s="59" t="s">
        <v>34</v>
      </c>
      <c r="L440" s="61">
        <v>0.14571454356012437</v>
      </c>
      <c r="M440" s="59" t="s">
        <v>43</v>
      </c>
      <c r="N440" s="61">
        <f>Hashtags!$H440/Hashtags!$J440</f>
        <v>1.8254313350671514E-2</v>
      </c>
      <c r="O440" s="65">
        <f>(Hashtags!$L440+Hashtags!$N440)*100</f>
        <v>16.396885691079589</v>
      </c>
    </row>
    <row r="441" spans="1:15" x14ac:dyDescent="0.25">
      <c r="A441" s="62" t="s">
        <v>276</v>
      </c>
      <c r="B441" s="62" t="s">
        <v>20</v>
      </c>
      <c r="C441" s="63">
        <v>45776</v>
      </c>
      <c r="D441" s="62" t="s">
        <v>39</v>
      </c>
      <c r="E441" s="62">
        <v>16277</v>
      </c>
      <c r="F441" s="62">
        <v>1109</v>
      </c>
      <c r="G441" s="62">
        <v>375</v>
      </c>
      <c r="H441" s="62">
        <v>2225</v>
      </c>
      <c r="I441" s="62">
        <v>1044</v>
      </c>
      <c r="J441" s="62">
        <v>121889</v>
      </c>
      <c r="K441" s="62" t="s">
        <v>34</v>
      </c>
      <c r="L441" s="64">
        <v>0.14571454356012437</v>
      </c>
      <c r="M441" s="62" t="s">
        <v>44</v>
      </c>
      <c r="N441" s="64">
        <f>Hashtags!$H441/Hashtags!$J441</f>
        <v>1.8254313350671514E-2</v>
      </c>
      <c r="O441" s="66">
        <f>(Hashtags!$L441+Hashtags!$N441)*100</f>
        <v>16.396885691079589</v>
      </c>
    </row>
    <row r="442" spans="1:15" x14ac:dyDescent="0.25">
      <c r="A442" s="59" t="s">
        <v>277</v>
      </c>
      <c r="B442" s="59" t="s">
        <v>20</v>
      </c>
      <c r="C442" s="60">
        <v>45724</v>
      </c>
      <c r="D442" s="59" t="s">
        <v>15</v>
      </c>
      <c r="E442" s="59">
        <v>5812</v>
      </c>
      <c r="F442" s="59">
        <v>934</v>
      </c>
      <c r="G442" s="59">
        <v>302</v>
      </c>
      <c r="H442" s="59">
        <v>2356</v>
      </c>
      <c r="I442" s="59">
        <v>37437</v>
      </c>
      <c r="J442" s="59">
        <v>93551</v>
      </c>
      <c r="K442" s="59" t="s">
        <v>18</v>
      </c>
      <c r="L442" s="61">
        <v>7.5338585370546551E-2</v>
      </c>
      <c r="M442" s="59" t="s">
        <v>16</v>
      </c>
      <c r="N442" s="61">
        <f>Hashtags!$H442/Hashtags!$J442</f>
        <v>2.5184124167566355E-2</v>
      </c>
      <c r="O442" s="65">
        <f>(Hashtags!$L442+Hashtags!$N442)*100</f>
        <v>10.05227095381129</v>
      </c>
    </row>
    <row r="443" spans="1:15" x14ac:dyDescent="0.25">
      <c r="A443" s="62" t="s">
        <v>277</v>
      </c>
      <c r="B443" s="62" t="s">
        <v>20</v>
      </c>
      <c r="C443" s="63">
        <v>45724</v>
      </c>
      <c r="D443" s="62" t="s">
        <v>15</v>
      </c>
      <c r="E443" s="62">
        <v>5812</v>
      </c>
      <c r="F443" s="62">
        <v>934</v>
      </c>
      <c r="G443" s="62">
        <v>302</v>
      </c>
      <c r="H443" s="62">
        <v>2356</v>
      </c>
      <c r="I443" s="62">
        <v>37437</v>
      </c>
      <c r="J443" s="62">
        <v>93551</v>
      </c>
      <c r="K443" s="62" t="s">
        <v>18</v>
      </c>
      <c r="L443" s="64">
        <v>7.5338585370546551E-2</v>
      </c>
      <c r="M443" s="62" t="s">
        <v>17</v>
      </c>
      <c r="N443" s="64">
        <f>Hashtags!$H443/Hashtags!$J443</f>
        <v>2.5184124167566355E-2</v>
      </c>
      <c r="O443" s="66">
        <f>(Hashtags!$L443+Hashtags!$N443)*100</f>
        <v>10.05227095381129</v>
      </c>
    </row>
    <row r="444" spans="1:15" x14ac:dyDescent="0.25">
      <c r="A444" s="59" t="s">
        <v>278</v>
      </c>
      <c r="B444" s="59" t="s">
        <v>20</v>
      </c>
      <c r="C444" s="60">
        <v>45444</v>
      </c>
      <c r="D444" s="59" t="s">
        <v>15</v>
      </c>
      <c r="E444" s="59">
        <v>19844</v>
      </c>
      <c r="F444" s="59">
        <v>1022</v>
      </c>
      <c r="G444" s="59">
        <v>860</v>
      </c>
      <c r="H444" s="59">
        <v>2570</v>
      </c>
      <c r="I444" s="59">
        <v>23719</v>
      </c>
      <c r="J444" s="59">
        <v>182628</v>
      </c>
      <c r="K444" s="59" t="s">
        <v>29</v>
      </c>
      <c r="L444" s="61">
        <v>0.11896313818253498</v>
      </c>
      <c r="M444" s="59" t="s">
        <v>40</v>
      </c>
      <c r="N444" s="61">
        <f>Hashtags!$H444/Hashtags!$J444</f>
        <v>1.4072321878353812E-2</v>
      </c>
      <c r="O444" s="65">
        <f>(Hashtags!$L444+Hashtags!$N444)*100</f>
        <v>13.303546006088879</v>
      </c>
    </row>
    <row r="445" spans="1:15" x14ac:dyDescent="0.25">
      <c r="A445" s="62" t="s">
        <v>278</v>
      </c>
      <c r="B445" s="62" t="s">
        <v>20</v>
      </c>
      <c r="C445" s="63">
        <v>45444</v>
      </c>
      <c r="D445" s="62" t="s">
        <v>15</v>
      </c>
      <c r="E445" s="62">
        <v>19844</v>
      </c>
      <c r="F445" s="62">
        <v>1022</v>
      </c>
      <c r="G445" s="62">
        <v>860</v>
      </c>
      <c r="H445" s="62">
        <v>2570</v>
      </c>
      <c r="I445" s="62">
        <v>23719</v>
      </c>
      <c r="J445" s="62">
        <v>182628</v>
      </c>
      <c r="K445" s="62" t="s">
        <v>29</v>
      </c>
      <c r="L445" s="64">
        <v>0.11896313818253498</v>
      </c>
      <c r="M445" s="62" t="s">
        <v>41</v>
      </c>
      <c r="N445" s="64">
        <f>Hashtags!$H445/Hashtags!$J445</f>
        <v>1.4072321878353812E-2</v>
      </c>
      <c r="O445" s="66">
        <f>(Hashtags!$L445+Hashtags!$N445)*100</f>
        <v>13.303546006088879</v>
      </c>
    </row>
    <row r="446" spans="1:15" x14ac:dyDescent="0.25">
      <c r="A446" s="59" t="s">
        <v>279</v>
      </c>
      <c r="B446" s="59" t="s">
        <v>20</v>
      </c>
      <c r="C446" s="60">
        <v>45648</v>
      </c>
      <c r="D446" s="59" t="s">
        <v>26</v>
      </c>
      <c r="E446" s="59">
        <v>20117</v>
      </c>
      <c r="F446" s="59">
        <v>1143</v>
      </c>
      <c r="G446" s="59">
        <v>713</v>
      </c>
      <c r="H446" s="59">
        <v>1739</v>
      </c>
      <c r="I446" s="59">
        <v>34444</v>
      </c>
      <c r="J446" s="59">
        <v>198670</v>
      </c>
      <c r="K446" s="59" t="s">
        <v>52</v>
      </c>
      <c r="L446" s="61">
        <v>0.11060049328031409</v>
      </c>
      <c r="M446" s="59" t="s">
        <v>32</v>
      </c>
      <c r="N446" s="61">
        <f>Hashtags!$H446/Hashtags!$J446</f>
        <v>8.7532088387778737E-3</v>
      </c>
      <c r="O446" s="65">
        <f>(Hashtags!$L446+Hashtags!$N446)*100</f>
        <v>11.935370211909197</v>
      </c>
    </row>
    <row r="447" spans="1:15" x14ac:dyDescent="0.25">
      <c r="A447" s="62" t="s">
        <v>279</v>
      </c>
      <c r="B447" s="62" t="s">
        <v>20</v>
      </c>
      <c r="C447" s="63">
        <v>45648</v>
      </c>
      <c r="D447" s="62" t="s">
        <v>26</v>
      </c>
      <c r="E447" s="62">
        <v>20117</v>
      </c>
      <c r="F447" s="62">
        <v>1143</v>
      </c>
      <c r="G447" s="62">
        <v>713</v>
      </c>
      <c r="H447" s="62">
        <v>1739</v>
      </c>
      <c r="I447" s="62">
        <v>34444</v>
      </c>
      <c r="J447" s="62">
        <v>198670</v>
      </c>
      <c r="K447" s="62" t="s">
        <v>52</v>
      </c>
      <c r="L447" s="64">
        <v>0.11060049328031409</v>
      </c>
      <c r="M447" s="62" t="s">
        <v>33</v>
      </c>
      <c r="N447" s="64">
        <f>Hashtags!$H447/Hashtags!$J447</f>
        <v>8.7532088387778737E-3</v>
      </c>
      <c r="O447" s="66">
        <f>(Hashtags!$L447+Hashtags!$N447)*100</f>
        <v>11.935370211909197</v>
      </c>
    </row>
    <row r="448" spans="1:15" x14ac:dyDescent="0.25">
      <c r="A448" s="59" t="s">
        <v>280</v>
      </c>
      <c r="B448" s="59" t="s">
        <v>20</v>
      </c>
      <c r="C448" s="60">
        <v>45523</v>
      </c>
      <c r="D448" s="59" t="s">
        <v>31</v>
      </c>
      <c r="E448" s="59">
        <v>3605</v>
      </c>
      <c r="F448" s="59">
        <v>206</v>
      </c>
      <c r="G448" s="59">
        <v>921</v>
      </c>
      <c r="H448" s="59">
        <v>852</v>
      </c>
      <c r="I448" s="59">
        <v>11660</v>
      </c>
      <c r="J448" s="59">
        <v>182635</v>
      </c>
      <c r="K448" s="59" t="s">
        <v>34</v>
      </c>
      <c r="L448" s="61">
        <v>2.590960111698196E-2</v>
      </c>
      <c r="M448" s="59" t="s">
        <v>62</v>
      </c>
      <c r="N448" s="61">
        <f>Hashtags!$H448/Hashtags!$J448</f>
        <v>4.6650422974785777E-3</v>
      </c>
      <c r="O448" s="65">
        <f>(Hashtags!$L448+Hashtags!$N448)*100</f>
        <v>3.0574643414460536</v>
      </c>
    </row>
    <row r="449" spans="1:15" x14ac:dyDescent="0.25">
      <c r="A449" s="62" t="s">
        <v>280</v>
      </c>
      <c r="B449" s="62" t="s">
        <v>20</v>
      </c>
      <c r="C449" s="63">
        <v>45523</v>
      </c>
      <c r="D449" s="62" t="s">
        <v>31</v>
      </c>
      <c r="E449" s="62">
        <v>3605</v>
      </c>
      <c r="F449" s="62">
        <v>206</v>
      </c>
      <c r="G449" s="62">
        <v>921</v>
      </c>
      <c r="H449" s="62">
        <v>852</v>
      </c>
      <c r="I449" s="62">
        <v>11660</v>
      </c>
      <c r="J449" s="62">
        <v>182635</v>
      </c>
      <c r="K449" s="62" t="s">
        <v>34</v>
      </c>
      <c r="L449" s="64">
        <v>2.590960111698196E-2</v>
      </c>
      <c r="M449" s="62" t="s">
        <v>37</v>
      </c>
      <c r="N449" s="64">
        <f>Hashtags!$H449/Hashtags!$J449</f>
        <v>4.6650422974785777E-3</v>
      </c>
      <c r="O449" s="66">
        <f>(Hashtags!$L449+Hashtags!$N449)*100</f>
        <v>3.0574643414460536</v>
      </c>
    </row>
    <row r="450" spans="1:15" x14ac:dyDescent="0.25">
      <c r="A450" s="59" t="s">
        <v>281</v>
      </c>
      <c r="B450" s="59" t="s">
        <v>47</v>
      </c>
      <c r="C450" s="60">
        <v>45587</v>
      </c>
      <c r="D450" s="59" t="s">
        <v>39</v>
      </c>
      <c r="E450" s="59">
        <v>7622</v>
      </c>
      <c r="F450" s="59">
        <v>529</v>
      </c>
      <c r="G450" s="59">
        <v>720</v>
      </c>
      <c r="H450" s="59">
        <v>1015</v>
      </c>
      <c r="I450" s="59">
        <v>71322</v>
      </c>
      <c r="J450" s="59">
        <v>86819</v>
      </c>
      <c r="K450" s="59" t="s">
        <v>52</v>
      </c>
      <c r="L450" s="61">
        <v>0.10217809465669957</v>
      </c>
      <c r="M450" s="59" t="s">
        <v>27</v>
      </c>
      <c r="N450" s="61">
        <f>Hashtags!$H450/Hashtags!$J450</f>
        <v>1.1690989299577282E-2</v>
      </c>
      <c r="O450" s="65">
        <f>(Hashtags!$L450+Hashtags!$N450)*100</f>
        <v>11.386908395627685</v>
      </c>
    </row>
    <row r="451" spans="1:15" x14ac:dyDescent="0.25">
      <c r="A451" s="62" t="s">
        <v>281</v>
      </c>
      <c r="B451" s="62" t="s">
        <v>47</v>
      </c>
      <c r="C451" s="63">
        <v>45587</v>
      </c>
      <c r="D451" s="62" t="s">
        <v>39</v>
      </c>
      <c r="E451" s="62">
        <v>7622</v>
      </c>
      <c r="F451" s="62">
        <v>529</v>
      </c>
      <c r="G451" s="62">
        <v>720</v>
      </c>
      <c r="H451" s="62">
        <v>1015</v>
      </c>
      <c r="I451" s="62">
        <v>71322</v>
      </c>
      <c r="J451" s="62">
        <v>86819</v>
      </c>
      <c r="K451" s="62" t="s">
        <v>52</v>
      </c>
      <c r="L451" s="64">
        <v>0.10217809465669957</v>
      </c>
      <c r="M451" s="62" t="s">
        <v>28</v>
      </c>
      <c r="N451" s="64">
        <f>Hashtags!$H451/Hashtags!$J451</f>
        <v>1.1690989299577282E-2</v>
      </c>
      <c r="O451" s="66">
        <f>(Hashtags!$L451+Hashtags!$N451)*100</f>
        <v>11.386908395627685</v>
      </c>
    </row>
    <row r="452" spans="1:15" x14ac:dyDescent="0.25">
      <c r="A452" s="59" t="s">
        <v>282</v>
      </c>
      <c r="B452" s="59" t="s">
        <v>47</v>
      </c>
      <c r="C452" s="60">
        <v>45489</v>
      </c>
      <c r="D452" s="59" t="s">
        <v>26</v>
      </c>
      <c r="E452" s="59">
        <v>8767</v>
      </c>
      <c r="F452" s="59">
        <v>974</v>
      </c>
      <c r="G452" s="59">
        <v>733</v>
      </c>
      <c r="H452" s="59">
        <v>1587</v>
      </c>
      <c r="I452" s="59">
        <v>74927</v>
      </c>
      <c r="J452" s="59">
        <v>113770</v>
      </c>
      <c r="K452" s="59" t="s">
        <v>18</v>
      </c>
      <c r="L452" s="61">
        <v>9.2062933989628198E-2</v>
      </c>
      <c r="M452" s="59" t="s">
        <v>48</v>
      </c>
      <c r="N452" s="61">
        <f>Hashtags!$H452/Hashtags!$J452</f>
        <v>1.3949195745802936E-2</v>
      </c>
      <c r="O452" s="65">
        <f>(Hashtags!$L452+Hashtags!$N452)*100</f>
        <v>10.601212973543113</v>
      </c>
    </row>
    <row r="453" spans="1:15" x14ac:dyDescent="0.25">
      <c r="A453" s="62" t="s">
        <v>282</v>
      </c>
      <c r="B453" s="62" t="s">
        <v>47</v>
      </c>
      <c r="C453" s="63">
        <v>45489</v>
      </c>
      <c r="D453" s="62" t="s">
        <v>26</v>
      </c>
      <c r="E453" s="62">
        <v>8767</v>
      </c>
      <c r="F453" s="62">
        <v>974</v>
      </c>
      <c r="G453" s="62">
        <v>733</v>
      </c>
      <c r="H453" s="62">
        <v>1587</v>
      </c>
      <c r="I453" s="62">
        <v>74927</v>
      </c>
      <c r="J453" s="62">
        <v>113770</v>
      </c>
      <c r="K453" s="62" t="s">
        <v>18</v>
      </c>
      <c r="L453" s="64">
        <v>9.2062933989628198E-2</v>
      </c>
      <c r="M453" s="62" t="s">
        <v>32</v>
      </c>
      <c r="N453" s="64">
        <f>Hashtags!$H453/Hashtags!$J453</f>
        <v>1.3949195745802936E-2</v>
      </c>
      <c r="O453" s="66">
        <f>(Hashtags!$L453+Hashtags!$N453)*100</f>
        <v>10.601212973543113</v>
      </c>
    </row>
    <row r="454" spans="1:15" x14ac:dyDescent="0.25">
      <c r="A454" s="59" t="s">
        <v>283</v>
      </c>
      <c r="B454" s="59" t="s">
        <v>14</v>
      </c>
      <c r="C454" s="60">
        <v>45910</v>
      </c>
      <c r="D454" s="59" t="s">
        <v>15</v>
      </c>
      <c r="E454" s="59">
        <v>13613</v>
      </c>
      <c r="F454" s="59">
        <v>350</v>
      </c>
      <c r="G454" s="59">
        <v>809</v>
      </c>
      <c r="H454" s="59">
        <v>2013</v>
      </c>
      <c r="I454" s="59">
        <v>20471</v>
      </c>
      <c r="J454" s="59">
        <v>198038</v>
      </c>
      <c r="K454" s="59" t="s">
        <v>23</v>
      </c>
      <c r="L454" s="61">
        <v>7.4591745018632791E-2</v>
      </c>
      <c r="M454" s="59" t="s">
        <v>21</v>
      </c>
      <c r="N454" s="61">
        <f>Hashtags!$H454/Hashtags!$J454</f>
        <v>1.0164715862612226E-2</v>
      </c>
      <c r="O454" s="65">
        <f>(Hashtags!$L454+Hashtags!$N454)*100</f>
        <v>8.4756460881245008</v>
      </c>
    </row>
    <row r="455" spans="1:15" x14ac:dyDescent="0.25">
      <c r="A455" s="62" t="s">
        <v>283</v>
      </c>
      <c r="B455" s="62" t="s">
        <v>14</v>
      </c>
      <c r="C455" s="63">
        <v>45910</v>
      </c>
      <c r="D455" s="62" t="s">
        <v>15</v>
      </c>
      <c r="E455" s="62">
        <v>13613</v>
      </c>
      <c r="F455" s="62">
        <v>350</v>
      </c>
      <c r="G455" s="62">
        <v>809</v>
      </c>
      <c r="H455" s="62">
        <v>2013</v>
      </c>
      <c r="I455" s="62">
        <v>20471</v>
      </c>
      <c r="J455" s="62">
        <v>198038</v>
      </c>
      <c r="K455" s="62" t="s">
        <v>23</v>
      </c>
      <c r="L455" s="64">
        <v>7.4591745018632791E-2</v>
      </c>
      <c r="M455" s="62" t="s">
        <v>22</v>
      </c>
      <c r="N455" s="64">
        <f>Hashtags!$H455/Hashtags!$J455</f>
        <v>1.0164715862612226E-2</v>
      </c>
      <c r="O455" s="66">
        <f>(Hashtags!$L455+Hashtags!$N455)*100</f>
        <v>8.4756460881245008</v>
      </c>
    </row>
    <row r="456" spans="1:15" x14ac:dyDescent="0.25">
      <c r="A456" s="59" t="s">
        <v>284</v>
      </c>
      <c r="B456" s="59" t="s">
        <v>20</v>
      </c>
      <c r="C456" s="60">
        <v>45911</v>
      </c>
      <c r="D456" s="59" t="s">
        <v>31</v>
      </c>
      <c r="E456" s="59">
        <v>21901</v>
      </c>
      <c r="F456" s="59">
        <v>1308</v>
      </c>
      <c r="G456" s="59">
        <v>724</v>
      </c>
      <c r="H456" s="59">
        <v>2183</v>
      </c>
      <c r="I456" s="59">
        <v>15996</v>
      </c>
      <c r="J456" s="59">
        <v>230961</v>
      </c>
      <c r="K456" s="59" t="s">
        <v>23</v>
      </c>
      <c r="L456" s="61">
        <v>0.10362355549205277</v>
      </c>
      <c r="M456" s="59" t="s">
        <v>40</v>
      </c>
      <c r="N456" s="61">
        <f>Hashtags!$H456/Hashtags!$J456</f>
        <v>9.4518122107195585E-3</v>
      </c>
      <c r="O456" s="65">
        <f>(Hashtags!$L456+Hashtags!$N456)*100</f>
        <v>11.307536770277233</v>
      </c>
    </row>
    <row r="457" spans="1:15" x14ac:dyDescent="0.25">
      <c r="A457" s="62" t="s">
        <v>284</v>
      </c>
      <c r="B457" s="62" t="s">
        <v>20</v>
      </c>
      <c r="C457" s="63">
        <v>45911</v>
      </c>
      <c r="D457" s="62" t="s">
        <v>31</v>
      </c>
      <c r="E457" s="62">
        <v>21901</v>
      </c>
      <c r="F457" s="62">
        <v>1308</v>
      </c>
      <c r="G457" s="62">
        <v>724</v>
      </c>
      <c r="H457" s="62">
        <v>2183</v>
      </c>
      <c r="I457" s="62">
        <v>15996</v>
      </c>
      <c r="J457" s="62">
        <v>230961</v>
      </c>
      <c r="K457" s="62" t="s">
        <v>23</v>
      </c>
      <c r="L457" s="64">
        <v>0.10362355549205277</v>
      </c>
      <c r="M457" s="62" t="s">
        <v>41</v>
      </c>
      <c r="N457" s="64">
        <f>Hashtags!$H457/Hashtags!$J457</f>
        <v>9.4518122107195585E-3</v>
      </c>
      <c r="O457" s="66">
        <f>(Hashtags!$L457+Hashtags!$N457)*100</f>
        <v>11.307536770277233</v>
      </c>
    </row>
    <row r="458" spans="1:15" x14ac:dyDescent="0.25">
      <c r="A458" s="59" t="s">
        <v>285</v>
      </c>
      <c r="B458" s="59" t="s">
        <v>47</v>
      </c>
      <c r="C458" s="60">
        <v>45675</v>
      </c>
      <c r="D458" s="59" t="s">
        <v>26</v>
      </c>
      <c r="E458" s="59">
        <v>12589</v>
      </c>
      <c r="F458" s="59">
        <v>346</v>
      </c>
      <c r="G458" s="59">
        <v>459</v>
      </c>
      <c r="H458" s="59">
        <v>1407</v>
      </c>
      <c r="I458" s="59">
        <v>29254</v>
      </c>
      <c r="J458" s="59">
        <v>198059</v>
      </c>
      <c r="K458" s="59" t="s">
        <v>29</v>
      </c>
      <c r="L458" s="61">
        <v>6.7626313371268162E-2</v>
      </c>
      <c r="M458" s="59" t="s">
        <v>62</v>
      </c>
      <c r="N458" s="61">
        <f>Hashtags!$H458/Hashtags!$J458</f>
        <v>7.1039437743298716E-3</v>
      </c>
      <c r="O458" s="65">
        <f>(Hashtags!$L458+Hashtags!$N458)*100</f>
        <v>7.4730257145598031</v>
      </c>
    </row>
    <row r="459" spans="1:15" x14ac:dyDescent="0.25">
      <c r="A459" s="62" t="s">
        <v>285</v>
      </c>
      <c r="B459" s="62" t="s">
        <v>47</v>
      </c>
      <c r="C459" s="63">
        <v>45675</v>
      </c>
      <c r="D459" s="62" t="s">
        <v>26</v>
      </c>
      <c r="E459" s="62">
        <v>12589</v>
      </c>
      <c r="F459" s="62">
        <v>346</v>
      </c>
      <c r="G459" s="62">
        <v>459</v>
      </c>
      <c r="H459" s="62">
        <v>1407</v>
      </c>
      <c r="I459" s="62">
        <v>29254</v>
      </c>
      <c r="J459" s="62">
        <v>198059</v>
      </c>
      <c r="K459" s="62" t="s">
        <v>29</v>
      </c>
      <c r="L459" s="64">
        <v>6.7626313371268162E-2</v>
      </c>
      <c r="M459" s="62" t="s">
        <v>37</v>
      </c>
      <c r="N459" s="64">
        <f>Hashtags!$H459/Hashtags!$J459</f>
        <v>7.1039437743298716E-3</v>
      </c>
      <c r="O459" s="66">
        <f>(Hashtags!$L459+Hashtags!$N459)*100</f>
        <v>7.4730257145598031</v>
      </c>
    </row>
    <row r="460" spans="1:15" x14ac:dyDescent="0.25">
      <c r="A460" s="59" t="s">
        <v>286</v>
      </c>
      <c r="B460" s="59" t="s">
        <v>14</v>
      </c>
      <c r="C460" s="60">
        <v>45912</v>
      </c>
      <c r="D460" s="59" t="s">
        <v>31</v>
      </c>
      <c r="E460" s="59">
        <v>15918</v>
      </c>
      <c r="F460" s="59">
        <v>1114</v>
      </c>
      <c r="G460" s="59">
        <v>392</v>
      </c>
      <c r="H460" s="59">
        <v>1641</v>
      </c>
      <c r="I460" s="59">
        <v>28044</v>
      </c>
      <c r="J460" s="59">
        <v>118714</v>
      </c>
      <c r="K460" s="59" t="s">
        <v>23</v>
      </c>
      <c r="L460" s="61">
        <v>0.14677291642097814</v>
      </c>
      <c r="M460" s="59" t="s">
        <v>40</v>
      </c>
      <c r="N460" s="61">
        <f>Hashtags!$H460/Hashtags!$J460</f>
        <v>1.3823137961824217E-2</v>
      </c>
      <c r="O460" s="65">
        <f>(Hashtags!$L460+Hashtags!$N460)*100</f>
        <v>16.059605438280236</v>
      </c>
    </row>
    <row r="461" spans="1:15" x14ac:dyDescent="0.25">
      <c r="A461" s="62" t="s">
        <v>286</v>
      </c>
      <c r="B461" s="62" t="s">
        <v>14</v>
      </c>
      <c r="C461" s="63">
        <v>45912</v>
      </c>
      <c r="D461" s="62" t="s">
        <v>31</v>
      </c>
      <c r="E461" s="62">
        <v>15918</v>
      </c>
      <c r="F461" s="62">
        <v>1114</v>
      </c>
      <c r="G461" s="62">
        <v>392</v>
      </c>
      <c r="H461" s="62">
        <v>1641</v>
      </c>
      <c r="I461" s="62">
        <v>28044</v>
      </c>
      <c r="J461" s="62">
        <v>118714</v>
      </c>
      <c r="K461" s="62" t="s">
        <v>23</v>
      </c>
      <c r="L461" s="64">
        <v>0.14677291642097814</v>
      </c>
      <c r="M461" s="62" t="s">
        <v>41</v>
      </c>
      <c r="N461" s="64">
        <f>Hashtags!$H461/Hashtags!$J461</f>
        <v>1.3823137961824217E-2</v>
      </c>
      <c r="O461" s="66">
        <f>(Hashtags!$L461+Hashtags!$N461)*100</f>
        <v>16.059605438280236</v>
      </c>
    </row>
    <row r="462" spans="1:15" x14ac:dyDescent="0.25">
      <c r="A462" s="59" t="s">
        <v>287</v>
      </c>
      <c r="B462" s="59" t="s">
        <v>20</v>
      </c>
      <c r="C462" s="60">
        <v>45722</v>
      </c>
      <c r="D462" s="59" t="s">
        <v>26</v>
      </c>
      <c r="E462" s="59">
        <v>22119</v>
      </c>
      <c r="F462" s="59">
        <v>899</v>
      </c>
      <c r="G462" s="59">
        <v>642</v>
      </c>
      <c r="H462" s="59">
        <v>410</v>
      </c>
      <c r="I462" s="59">
        <v>49490</v>
      </c>
      <c r="J462" s="59">
        <v>229420</v>
      </c>
      <c r="K462" s="59" t="s">
        <v>34</v>
      </c>
      <c r="L462" s="61">
        <v>0.10312963124400662</v>
      </c>
      <c r="M462" s="59" t="s">
        <v>48</v>
      </c>
      <c r="N462" s="61">
        <f>Hashtags!$H462/Hashtags!$J462</f>
        <v>1.787115334321332E-3</v>
      </c>
      <c r="O462" s="65">
        <f>(Hashtags!$L462+Hashtags!$N462)*100</f>
        <v>10.491674657832794</v>
      </c>
    </row>
    <row r="463" spans="1:15" x14ac:dyDescent="0.25">
      <c r="A463" s="62" t="s">
        <v>287</v>
      </c>
      <c r="B463" s="62" t="s">
        <v>20</v>
      </c>
      <c r="C463" s="63">
        <v>45722</v>
      </c>
      <c r="D463" s="62" t="s">
        <v>26</v>
      </c>
      <c r="E463" s="62">
        <v>22119</v>
      </c>
      <c r="F463" s="62">
        <v>899</v>
      </c>
      <c r="G463" s="62">
        <v>642</v>
      </c>
      <c r="H463" s="62">
        <v>410</v>
      </c>
      <c r="I463" s="62">
        <v>49490</v>
      </c>
      <c r="J463" s="62">
        <v>229420</v>
      </c>
      <c r="K463" s="62" t="s">
        <v>34</v>
      </c>
      <c r="L463" s="64">
        <v>0.10312963124400662</v>
      </c>
      <c r="M463" s="62" t="s">
        <v>32</v>
      </c>
      <c r="N463" s="64">
        <f>Hashtags!$H463/Hashtags!$J463</f>
        <v>1.787115334321332E-3</v>
      </c>
      <c r="O463" s="66">
        <f>(Hashtags!$L463+Hashtags!$N463)*100</f>
        <v>10.491674657832794</v>
      </c>
    </row>
    <row r="464" spans="1:15" x14ac:dyDescent="0.25">
      <c r="A464" s="59" t="s">
        <v>288</v>
      </c>
      <c r="B464" s="59" t="s">
        <v>25</v>
      </c>
      <c r="C464" s="60">
        <v>45913</v>
      </c>
      <c r="D464" s="59" t="s">
        <v>31</v>
      </c>
      <c r="E464" s="59">
        <v>15046</v>
      </c>
      <c r="F464" s="59">
        <v>281</v>
      </c>
      <c r="G464" s="59">
        <v>515</v>
      </c>
      <c r="H464" s="59">
        <v>550</v>
      </c>
      <c r="I464" s="59">
        <v>22583</v>
      </c>
      <c r="J464" s="59">
        <v>64596</v>
      </c>
      <c r="K464" s="59" t="s">
        <v>23</v>
      </c>
      <c r="L464" s="61">
        <v>0.24524738373893121</v>
      </c>
      <c r="M464" s="59" t="s">
        <v>62</v>
      </c>
      <c r="N464" s="61">
        <f>Hashtags!$H464/Hashtags!$J464</f>
        <v>8.5144590996346515E-3</v>
      </c>
      <c r="O464" s="65">
        <f>(Hashtags!$L464+Hashtags!$N464)*100</f>
        <v>25.376184283856585</v>
      </c>
    </row>
    <row r="465" spans="1:15" x14ac:dyDescent="0.25">
      <c r="A465" s="62" t="s">
        <v>288</v>
      </c>
      <c r="B465" s="62" t="s">
        <v>25</v>
      </c>
      <c r="C465" s="63">
        <v>45913</v>
      </c>
      <c r="D465" s="62" t="s">
        <v>31</v>
      </c>
      <c r="E465" s="62">
        <v>15046</v>
      </c>
      <c r="F465" s="62">
        <v>281</v>
      </c>
      <c r="G465" s="62">
        <v>515</v>
      </c>
      <c r="H465" s="62">
        <v>550</v>
      </c>
      <c r="I465" s="62">
        <v>22583</v>
      </c>
      <c r="J465" s="62">
        <v>64596</v>
      </c>
      <c r="K465" s="62" t="s">
        <v>23</v>
      </c>
      <c r="L465" s="64">
        <v>0.24524738373893121</v>
      </c>
      <c r="M465" s="62" t="s">
        <v>37</v>
      </c>
      <c r="N465" s="64">
        <f>Hashtags!$H465/Hashtags!$J465</f>
        <v>8.5144590996346515E-3</v>
      </c>
      <c r="O465" s="66">
        <f>(Hashtags!$L465+Hashtags!$N465)*100</f>
        <v>25.376184283856585</v>
      </c>
    </row>
    <row r="466" spans="1:15" x14ac:dyDescent="0.25">
      <c r="A466" s="59" t="s">
        <v>289</v>
      </c>
      <c r="B466" s="59" t="s">
        <v>14</v>
      </c>
      <c r="C466" s="60">
        <v>45669</v>
      </c>
      <c r="D466" s="59" t="s">
        <v>15</v>
      </c>
      <c r="E466" s="59">
        <v>4590</v>
      </c>
      <c r="F466" s="59">
        <v>713</v>
      </c>
      <c r="G466" s="59">
        <v>479</v>
      </c>
      <c r="H466" s="59">
        <v>2730</v>
      </c>
      <c r="I466" s="59">
        <v>41050</v>
      </c>
      <c r="J466" s="59">
        <v>204246</v>
      </c>
      <c r="K466" s="59" t="s">
        <v>29</v>
      </c>
      <c r="L466" s="61">
        <v>2.8308999931455206E-2</v>
      </c>
      <c r="M466" s="59" t="s">
        <v>32</v>
      </c>
      <c r="N466" s="61">
        <f>Hashtags!$H466/Hashtags!$J466</f>
        <v>1.3366234834464322E-2</v>
      </c>
      <c r="O466" s="65">
        <f>(Hashtags!$L466+Hashtags!$N466)*100</f>
        <v>4.1675234765919527</v>
      </c>
    </row>
    <row r="467" spans="1:15" x14ac:dyDescent="0.25">
      <c r="A467" s="62" t="s">
        <v>289</v>
      </c>
      <c r="B467" s="62" t="s">
        <v>14</v>
      </c>
      <c r="C467" s="63">
        <v>45669</v>
      </c>
      <c r="D467" s="62" t="s">
        <v>15</v>
      </c>
      <c r="E467" s="62">
        <v>4590</v>
      </c>
      <c r="F467" s="62">
        <v>713</v>
      </c>
      <c r="G467" s="62">
        <v>479</v>
      </c>
      <c r="H467" s="62">
        <v>2730</v>
      </c>
      <c r="I467" s="62">
        <v>41050</v>
      </c>
      <c r="J467" s="62">
        <v>204246</v>
      </c>
      <c r="K467" s="62" t="s">
        <v>29</v>
      </c>
      <c r="L467" s="64">
        <v>2.8308999931455206E-2</v>
      </c>
      <c r="M467" s="62" t="s">
        <v>33</v>
      </c>
      <c r="N467" s="64">
        <f>Hashtags!$H467/Hashtags!$J467</f>
        <v>1.3366234834464322E-2</v>
      </c>
      <c r="O467" s="66">
        <f>(Hashtags!$L467+Hashtags!$N467)*100</f>
        <v>4.1675234765919527</v>
      </c>
    </row>
    <row r="468" spans="1:15" x14ac:dyDescent="0.25">
      <c r="A468" s="59" t="s">
        <v>290</v>
      </c>
      <c r="B468" s="59" t="s">
        <v>47</v>
      </c>
      <c r="C468" s="60">
        <v>45576</v>
      </c>
      <c r="D468" s="59" t="s">
        <v>39</v>
      </c>
      <c r="E468" s="59">
        <v>19447</v>
      </c>
      <c r="F468" s="59">
        <v>1014</v>
      </c>
      <c r="G468" s="59">
        <v>256</v>
      </c>
      <c r="H468" s="59">
        <v>2354</v>
      </c>
      <c r="I468" s="59">
        <v>5472</v>
      </c>
      <c r="J468" s="59">
        <v>104106</v>
      </c>
      <c r="K468" s="59" t="s">
        <v>18</v>
      </c>
      <c r="L468" s="61">
        <v>0.19899909707413599</v>
      </c>
      <c r="M468" s="59" t="s">
        <v>48</v>
      </c>
      <c r="N468" s="61">
        <f>Hashtags!$H468/Hashtags!$J468</f>
        <v>2.2611568977772653E-2</v>
      </c>
      <c r="O468" s="65">
        <f>(Hashtags!$L468+Hashtags!$N468)*100</f>
        <v>22.161066605190864</v>
      </c>
    </row>
    <row r="469" spans="1:15" x14ac:dyDescent="0.25">
      <c r="A469" s="62" t="s">
        <v>290</v>
      </c>
      <c r="B469" s="62" t="s">
        <v>47</v>
      </c>
      <c r="C469" s="63">
        <v>45576</v>
      </c>
      <c r="D469" s="62" t="s">
        <v>39</v>
      </c>
      <c r="E469" s="62">
        <v>19447</v>
      </c>
      <c r="F469" s="62">
        <v>1014</v>
      </c>
      <c r="G469" s="62">
        <v>256</v>
      </c>
      <c r="H469" s="62">
        <v>2354</v>
      </c>
      <c r="I469" s="62">
        <v>5472</v>
      </c>
      <c r="J469" s="62">
        <v>104106</v>
      </c>
      <c r="K469" s="62" t="s">
        <v>18</v>
      </c>
      <c r="L469" s="64">
        <v>0.19899909707413599</v>
      </c>
      <c r="M469" s="62" t="s">
        <v>32</v>
      </c>
      <c r="N469" s="64">
        <f>Hashtags!$H469/Hashtags!$J469</f>
        <v>2.2611568977772653E-2</v>
      </c>
      <c r="O469" s="66">
        <f>(Hashtags!$L469+Hashtags!$N469)*100</f>
        <v>22.161066605190864</v>
      </c>
    </row>
    <row r="470" spans="1:15" x14ac:dyDescent="0.25">
      <c r="A470" s="59" t="s">
        <v>291</v>
      </c>
      <c r="B470" s="59" t="s">
        <v>25</v>
      </c>
      <c r="C470" s="60">
        <v>45531</v>
      </c>
      <c r="D470" s="59" t="s">
        <v>15</v>
      </c>
      <c r="E470" s="59">
        <v>6324</v>
      </c>
      <c r="F470" s="59">
        <v>908</v>
      </c>
      <c r="G470" s="59">
        <v>375</v>
      </c>
      <c r="H470" s="59">
        <v>758</v>
      </c>
      <c r="I470" s="59">
        <v>34850</v>
      </c>
      <c r="J470" s="59">
        <v>241039</v>
      </c>
      <c r="K470" s="59" t="s">
        <v>18</v>
      </c>
      <c r="L470" s="61">
        <v>3.1559208260903839E-2</v>
      </c>
      <c r="M470" s="59" t="s">
        <v>71</v>
      </c>
      <c r="N470" s="61">
        <f>Hashtags!$H470/Hashtags!$J470</f>
        <v>3.1447193192802826E-3</v>
      </c>
      <c r="O470" s="65">
        <f>(Hashtags!$L470+Hashtags!$N470)*100</f>
        <v>3.470392758018412</v>
      </c>
    </row>
    <row r="471" spans="1:15" x14ac:dyDescent="0.25">
      <c r="A471" s="62" t="s">
        <v>292</v>
      </c>
      <c r="B471" s="62" t="s">
        <v>25</v>
      </c>
      <c r="C471" s="63">
        <v>45914</v>
      </c>
      <c r="D471" s="62" t="s">
        <v>39</v>
      </c>
      <c r="E471" s="62">
        <v>12787</v>
      </c>
      <c r="F471" s="62">
        <v>945</v>
      </c>
      <c r="G471" s="62">
        <v>974</v>
      </c>
      <c r="H471" s="62">
        <v>1407</v>
      </c>
      <c r="I471" s="62">
        <v>4037</v>
      </c>
      <c r="J471" s="62">
        <v>99182</v>
      </c>
      <c r="K471" s="62" t="s">
        <v>23</v>
      </c>
      <c r="L471" s="64">
        <v>0.14827287209372669</v>
      </c>
      <c r="M471" s="62" t="s">
        <v>32</v>
      </c>
      <c r="N471" s="64">
        <f>Hashtags!$H471/Hashtags!$J471</f>
        <v>1.4186041822104818E-2</v>
      </c>
      <c r="O471" s="66">
        <f>(Hashtags!$L471+Hashtags!$N471)*100</f>
        <v>16.24589139158315</v>
      </c>
    </row>
    <row r="472" spans="1:15" x14ac:dyDescent="0.25">
      <c r="A472" s="59" t="s">
        <v>292</v>
      </c>
      <c r="B472" s="59" t="s">
        <v>25</v>
      </c>
      <c r="C472" s="60">
        <v>45914</v>
      </c>
      <c r="D472" s="59" t="s">
        <v>39</v>
      </c>
      <c r="E472" s="59">
        <v>12787</v>
      </c>
      <c r="F472" s="59">
        <v>945</v>
      </c>
      <c r="G472" s="59">
        <v>974</v>
      </c>
      <c r="H472" s="59">
        <v>1407</v>
      </c>
      <c r="I472" s="59">
        <v>4037</v>
      </c>
      <c r="J472" s="59">
        <v>99182</v>
      </c>
      <c r="K472" s="59" t="s">
        <v>23</v>
      </c>
      <c r="L472" s="61">
        <v>0.14827287209372669</v>
      </c>
      <c r="M472" s="59" t="s">
        <v>57</v>
      </c>
      <c r="N472" s="61">
        <f>Hashtags!$H472/Hashtags!$J472</f>
        <v>1.4186041822104818E-2</v>
      </c>
      <c r="O472" s="65">
        <f>(Hashtags!$L472+Hashtags!$N472)*100</f>
        <v>16.24589139158315</v>
      </c>
    </row>
    <row r="473" spans="1:15" x14ac:dyDescent="0.25">
      <c r="A473" s="62" t="s">
        <v>293</v>
      </c>
      <c r="B473" s="62" t="s">
        <v>25</v>
      </c>
      <c r="C473" s="63">
        <v>45491</v>
      </c>
      <c r="D473" s="62" t="s">
        <v>31</v>
      </c>
      <c r="E473" s="62">
        <v>11111</v>
      </c>
      <c r="F473" s="62">
        <v>1222</v>
      </c>
      <c r="G473" s="62">
        <v>367</v>
      </c>
      <c r="H473" s="62">
        <v>507</v>
      </c>
      <c r="I473" s="62">
        <v>14129</v>
      </c>
      <c r="J473" s="62">
        <v>127163</v>
      </c>
      <c r="K473" s="62" t="s">
        <v>52</v>
      </c>
      <c r="L473" s="64">
        <v>9.9871818060284834E-2</v>
      </c>
      <c r="M473" s="62" t="s">
        <v>71</v>
      </c>
      <c r="N473" s="64">
        <f>Hashtags!$H473/Hashtags!$J473</f>
        <v>3.9870087997294808E-3</v>
      </c>
      <c r="O473" s="66">
        <f>(Hashtags!$L473+Hashtags!$N473)*100</f>
        <v>10.38588268600143</v>
      </c>
    </row>
    <row r="474" spans="1:15" x14ac:dyDescent="0.25">
      <c r="A474" s="59" t="s">
        <v>294</v>
      </c>
      <c r="B474" s="59" t="s">
        <v>14</v>
      </c>
      <c r="C474" s="60">
        <v>45465</v>
      </c>
      <c r="D474" s="59" t="s">
        <v>26</v>
      </c>
      <c r="E474" s="59">
        <v>7342</v>
      </c>
      <c r="F474" s="59">
        <v>906</v>
      </c>
      <c r="G474" s="59">
        <v>902</v>
      </c>
      <c r="H474" s="59">
        <v>1199</v>
      </c>
      <c r="I474" s="59">
        <v>68488</v>
      </c>
      <c r="J474" s="59">
        <v>79310</v>
      </c>
      <c r="K474" s="59" t="s">
        <v>18</v>
      </c>
      <c r="L474" s="61">
        <v>0.1153700668263775</v>
      </c>
      <c r="M474" s="59" t="s">
        <v>43</v>
      </c>
      <c r="N474" s="61">
        <f>Hashtags!$H474/Hashtags!$J474</f>
        <v>1.5117891816920944E-2</v>
      </c>
      <c r="O474" s="65">
        <f>(Hashtags!$L474+Hashtags!$N474)*100</f>
        <v>13.048795864329845</v>
      </c>
    </row>
    <row r="475" spans="1:15" x14ac:dyDescent="0.25">
      <c r="A475" s="62" t="s">
        <v>294</v>
      </c>
      <c r="B475" s="62" t="s">
        <v>14</v>
      </c>
      <c r="C475" s="63">
        <v>45465</v>
      </c>
      <c r="D475" s="62" t="s">
        <v>26</v>
      </c>
      <c r="E475" s="62">
        <v>7342</v>
      </c>
      <c r="F475" s="62">
        <v>906</v>
      </c>
      <c r="G475" s="62">
        <v>902</v>
      </c>
      <c r="H475" s="62">
        <v>1199</v>
      </c>
      <c r="I475" s="62">
        <v>68488</v>
      </c>
      <c r="J475" s="62">
        <v>79310</v>
      </c>
      <c r="K475" s="62" t="s">
        <v>18</v>
      </c>
      <c r="L475" s="64">
        <v>0.1153700668263775</v>
      </c>
      <c r="M475" s="62" t="s">
        <v>44</v>
      </c>
      <c r="N475" s="64">
        <f>Hashtags!$H475/Hashtags!$J475</f>
        <v>1.5117891816920944E-2</v>
      </c>
      <c r="O475" s="66">
        <f>(Hashtags!$L475+Hashtags!$N475)*100</f>
        <v>13.048795864329845</v>
      </c>
    </row>
    <row r="476" spans="1:15" x14ac:dyDescent="0.25">
      <c r="A476" s="59" t="s">
        <v>295</v>
      </c>
      <c r="B476" s="59" t="s">
        <v>47</v>
      </c>
      <c r="C476" s="60">
        <v>45915</v>
      </c>
      <c r="D476" s="59" t="s">
        <v>15</v>
      </c>
      <c r="E476" s="59">
        <v>18389</v>
      </c>
      <c r="F476" s="59">
        <v>670</v>
      </c>
      <c r="G476" s="59">
        <v>655</v>
      </c>
      <c r="H476" s="59">
        <v>321</v>
      </c>
      <c r="I476" s="59">
        <v>21869</v>
      </c>
      <c r="J476" s="59">
        <v>96088</v>
      </c>
      <c r="K476" s="59" t="s">
        <v>23</v>
      </c>
      <c r="L476" s="61">
        <v>0.2051660977437349</v>
      </c>
      <c r="M476" s="59" t="s">
        <v>40</v>
      </c>
      <c r="N476" s="61">
        <f>Hashtags!$H476/Hashtags!$J476</f>
        <v>3.3406877029389728E-3</v>
      </c>
      <c r="O476" s="65">
        <f>(Hashtags!$L476+Hashtags!$N476)*100</f>
        <v>20.850678544667385</v>
      </c>
    </row>
    <row r="477" spans="1:15" x14ac:dyDescent="0.25">
      <c r="A477" s="62" t="s">
        <v>295</v>
      </c>
      <c r="B477" s="62" t="s">
        <v>47</v>
      </c>
      <c r="C477" s="63">
        <v>45915</v>
      </c>
      <c r="D477" s="62" t="s">
        <v>15</v>
      </c>
      <c r="E477" s="62">
        <v>18389</v>
      </c>
      <c r="F477" s="62">
        <v>670</v>
      </c>
      <c r="G477" s="62">
        <v>655</v>
      </c>
      <c r="H477" s="62">
        <v>321</v>
      </c>
      <c r="I477" s="62">
        <v>21869</v>
      </c>
      <c r="J477" s="62">
        <v>96088</v>
      </c>
      <c r="K477" s="62" t="s">
        <v>23</v>
      </c>
      <c r="L477" s="64">
        <v>0.2051660977437349</v>
      </c>
      <c r="M477" s="62" t="s">
        <v>41</v>
      </c>
      <c r="N477" s="64">
        <f>Hashtags!$H477/Hashtags!$J477</f>
        <v>3.3406877029389728E-3</v>
      </c>
      <c r="O477" s="66">
        <f>(Hashtags!$L477+Hashtags!$N477)*100</f>
        <v>20.850678544667385</v>
      </c>
    </row>
    <row r="478" spans="1:15" x14ac:dyDescent="0.25">
      <c r="A478" s="59" t="s">
        <v>296</v>
      </c>
      <c r="B478" s="59" t="s">
        <v>25</v>
      </c>
      <c r="C478" s="60">
        <v>45775</v>
      </c>
      <c r="D478" s="59" t="s">
        <v>39</v>
      </c>
      <c r="E478" s="59">
        <v>10659</v>
      </c>
      <c r="F478" s="59">
        <v>1342</v>
      </c>
      <c r="G478" s="59">
        <v>408</v>
      </c>
      <c r="H478" s="59">
        <v>709</v>
      </c>
      <c r="I478" s="59">
        <v>16309</v>
      </c>
      <c r="J478" s="59">
        <v>168803</v>
      </c>
      <c r="K478" s="59" t="s">
        <v>29</v>
      </c>
      <c r="L478" s="61">
        <v>7.3511726687321907E-2</v>
      </c>
      <c r="M478" s="59" t="s">
        <v>32</v>
      </c>
      <c r="N478" s="61">
        <f>Hashtags!$H478/Hashtags!$J478</f>
        <v>4.2001623193900581E-3</v>
      </c>
      <c r="O478" s="65">
        <f>(Hashtags!$L478+Hashtags!$N478)*100</f>
        <v>7.7711889006711967</v>
      </c>
    </row>
    <row r="479" spans="1:15" x14ac:dyDescent="0.25">
      <c r="A479" s="62" t="s">
        <v>296</v>
      </c>
      <c r="B479" s="62" t="s">
        <v>25</v>
      </c>
      <c r="C479" s="63">
        <v>45775</v>
      </c>
      <c r="D479" s="62" t="s">
        <v>39</v>
      </c>
      <c r="E479" s="62">
        <v>10659</v>
      </c>
      <c r="F479" s="62">
        <v>1342</v>
      </c>
      <c r="G479" s="62">
        <v>408</v>
      </c>
      <c r="H479" s="62">
        <v>709</v>
      </c>
      <c r="I479" s="62">
        <v>16309</v>
      </c>
      <c r="J479" s="62">
        <v>168803</v>
      </c>
      <c r="K479" s="62" t="s">
        <v>29</v>
      </c>
      <c r="L479" s="64">
        <v>7.3511726687321907E-2</v>
      </c>
      <c r="M479" s="62" t="s">
        <v>57</v>
      </c>
      <c r="N479" s="64">
        <f>Hashtags!$H479/Hashtags!$J479</f>
        <v>4.2001623193900581E-3</v>
      </c>
      <c r="O479" s="66">
        <f>(Hashtags!$L479+Hashtags!$N479)*100</f>
        <v>7.7711889006711967</v>
      </c>
    </row>
    <row r="480" spans="1:15" x14ac:dyDescent="0.25">
      <c r="A480" s="59" t="s">
        <v>297</v>
      </c>
      <c r="B480" s="59" t="s">
        <v>20</v>
      </c>
      <c r="C480" s="60">
        <v>45916</v>
      </c>
      <c r="D480" s="59" t="s">
        <v>15</v>
      </c>
      <c r="E480" s="59">
        <v>16043</v>
      </c>
      <c r="F480" s="59">
        <v>595</v>
      </c>
      <c r="G480" s="59">
        <v>923</v>
      </c>
      <c r="H480" s="59">
        <v>1194</v>
      </c>
      <c r="I480" s="59">
        <v>52613</v>
      </c>
      <c r="J480" s="59">
        <v>179978</v>
      </c>
      <c r="K480" s="59" t="s">
        <v>23</v>
      </c>
      <c r="L480" s="61">
        <v>9.757303670448611E-2</v>
      </c>
      <c r="M480" s="59" t="s">
        <v>71</v>
      </c>
      <c r="N480" s="61">
        <f>Hashtags!$H480/Hashtags!$J480</f>
        <v>6.6341441731767219E-3</v>
      </c>
      <c r="O480" s="65">
        <f>(Hashtags!$L480+Hashtags!$N480)*100</f>
        <v>10.420718087766282</v>
      </c>
    </row>
    <row r="481" spans="1:15" x14ac:dyDescent="0.25">
      <c r="A481" s="62" t="s">
        <v>298</v>
      </c>
      <c r="B481" s="62" t="s">
        <v>25</v>
      </c>
      <c r="C481" s="63">
        <v>45671</v>
      </c>
      <c r="D481" s="62" t="s">
        <v>39</v>
      </c>
      <c r="E481" s="62">
        <v>24350</v>
      </c>
      <c r="F481" s="62">
        <v>460</v>
      </c>
      <c r="G481" s="62">
        <v>666</v>
      </c>
      <c r="H481" s="62">
        <v>814</v>
      </c>
      <c r="I481" s="62">
        <v>21120</v>
      </c>
      <c r="J481" s="62">
        <v>76914</v>
      </c>
      <c r="K481" s="62" t="s">
        <v>18</v>
      </c>
      <c r="L481" s="64">
        <v>0.33122708479600593</v>
      </c>
      <c r="M481" s="62" t="s">
        <v>32</v>
      </c>
      <c r="N481" s="64">
        <f>Hashtags!$H481/Hashtags!$J481</f>
        <v>1.0583248823361157E-2</v>
      </c>
      <c r="O481" s="66">
        <f>(Hashtags!$L481+Hashtags!$N481)*100</f>
        <v>34.181033361936706</v>
      </c>
    </row>
    <row r="482" spans="1:15" x14ac:dyDescent="0.25">
      <c r="A482" s="59" t="s">
        <v>298</v>
      </c>
      <c r="B482" s="59" t="s">
        <v>25</v>
      </c>
      <c r="C482" s="60">
        <v>45671</v>
      </c>
      <c r="D482" s="59" t="s">
        <v>39</v>
      </c>
      <c r="E482" s="59">
        <v>24350</v>
      </c>
      <c r="F482" s="59">
        <v>460</v>
      </c>
      <c r="G482" s="59">
        <v>666</v>
      </c>
      <c r="H482" s="59">
        <v>814</v>
      </c>
      <c r="I482" s="59">
        <v>21120</v>
      </c>
      <c r="J482" s="59">
        <v>76914</v>
      </c>
      <c r="K482" s="59" t="s">
        <v>18</v>
      </c>
      <c r="L482" s="61">
        <v>0.33122708479600593</v>
      </c>
      <c r="M482" s="59" t="s">
        <v>57</v>
      </c>
      <c r="N482" s="61">
        <f>Hashtags!$H482/Hashtags!$J482</f>
        <v>1.0583248823361157E-2</v>
      </c>
      <c r="O482" s="65">
        <f>(Hashtags!$L482+Hashtags!$N482)*100</f>
        <v>34.181033361936706</v>
      </c>
    </row>
    <row r="483" spans="1:15" x14ac:dyDescent="0.25">
      <c r="A483" s="62" t="s">
        <v>299</v>
      </c>
      <c r="B483" s="62" t="s">
        <v>25</v>
      </c>
      <c r="C483" s="63">
        <v>45750</v>
      </c>
      <c r="D483" s="62" t="s">
        <v>15</v>
      </c>
      <c r="E483" s="62">
        <v>10837</v>
      </c>
      <c r="F483" s="62">
        <v>1004</v>
      </c>
      <c r="G483" s="62">
        <v>922</v>
      </c>
      <c r="H483" s="62">
        <v>1108</v>
      </c>
      <c r="I483" s="62">
        <v>36807</v>
      </c>
      <c r="J483" s="62">
        <v>150350</v>
      </c>
      <c r="K483" s="62" t="s">
        <v>29</v>
      </c>
      <c r="L483" s="64">
        <v>8.4888593282341204E-2</v>
      </c>
      <c r="M483" s="62" t="s">
        <v>122</v>
      </c>
      <c r="N483" s="64">
        <f>Hashtags!$H483/Hashtags!$J483</f>
        <v>7.3694712337878283E-3</v>
      </c>
      <c r="O483" s="66">
        <f>(Hashtags!$L483+Hashtags!$N483)*100</f>
        <v>9.2258064516129021</v>
      </c>
    </row>
    <row r="484" spans="1:15" x14ac:dyDescent="0.25">
      <c r="A484" s="59" t="s">
        <v>299</v>
      </c>
      <c r="B484" s="59" t="s">
        <v>25</v>
      </c>
      <c r="C484" s="60">
        <v>45750</v>
      </c>
      <c r="D484" s="59" t="s">
        <v>15</v>
      </c>
      <c r="E484" s="59">
        <v>10837</v>
      </c>
      <c r="F484" s="59">
        <v>1004</v>
      </c>
      <c r="G484" s="59">
        <v>922</v>
      </c>
      <c r="H484" s="59">
        <v>1108</v>
      </c>
      <c r="I484" s="59">
        <v>36807</v>
      </c>
      <c r="J484" s="59">
        <v>150350</v>
      </c>
      <c r="K484" s="59" t="s">
        <v>29</v>
      </c>
      <c r="L484" s="61">
        <v>8.4888593282341204E-2</v>
      </c>
      <c r="M484" s="59" t="s">
        <v>123</v>
      </c>
      <c r="N484" s="61">
        <f>Hashtags!$H484/Hashtags!$J484</f>
        <v>7.3694712337878283E-3</v>
      </c>
      <c r="O484" s="65">
        <f>(Hashtags!$L484+Hashtags!$N484)*100</f>
        <v>9.2258064516129021</v>
      </c>
    </row>
    <row r="485" spans="1:15" x14ac:dyDescent="0.25">
      <c r="A485" s="62" t="s">
        <v>300</v>
      </c>
      <c r="B485" s="62" t="s">
        <v>14</v>
      </c>
      <c r="C485" s="63">
        <v>45917</v>
      </c>
      <c r="D485" s="62" t="s">
        <v>39</v>
      </c>
      <c r="E485" s="62">
        <v>2117</v>
      </c>
      <c r="F485" s="62">
        <v>1133</v>
      </c>
      <c r="G485" s="62">
        <v>203</v>
      </c>
      <c r="H485" s="62">
        <v>1173</v>
      </c>
      <c r="I485" s="62">
        <v>40125</v>
      </c>
      <c r="J485" s="62">
        <v>85379</v>
      </c>
      <c r="K485" s="62" t="s">
        <v>23</v>
      </c>
      <c r="L485" s="64">
        <v>4.0443200318579509E-2</v>
      </c>
      <c r="M485" s="62" t="s">
        <v>40</v>
      </c>
      <c r="N485" s="64">
        <f>Hashtags!$H485/Hashtags!$J485</f>
        <v>1.3738741376685133E-2</v>
      </c>
      <c r="O485" s="66">
        <f>(Hashtags!$L485+Hashtags!$N485)*100</f>
        <v>5.4181941695264646</v>
      </c>
    </row>
    <row r="486" spans="1:15" x14ac:dyDescent="0.25">
      <c r="A486" s="59" t="s">
        <v>300</v>
      </c>
      <c r="B486" s="59" t="s">
        <v>14</v>
      </c>
      <c r="C486" s="60">
        <v>45917</v>
      </c>
      <c r="D486" s="59" t="s">
        <v>39</v>
      </c>
      <c r="E486" s="59">
        <v>2117</v>
      </c>
      <c r="F486" s="59">
        <v>1133</v>
      </c>
      <c r="G486" s="59">
        <v>203</v>
      </c>
      <c r="H486" s="59">
        <v>1173</v>
      </c>
      <c r="I486" s="59">
        <v>40125</v>
      </c>
      <c r="J486" s="59">
        <v>85379</v>
      </c>
      <c r="K486" s="59" t="s">
        <v>23</v>
      </c>
      <c r="L486" s="61">
        <v>4.0443200318579509E-2</v>
      </c>
      <c r="M486" s="59" t="s">
        <v>41</v>
      </c>
      <c r="N486" s="61">
        <f>Hashtags!$H486/Hashtags!$J486</f>
        <v>1.3738741376685133E-2</v>
      </c>
      <c r="O486" s="65">
        <f>(Hashtags!$L486+Hashtags!$N486)*100</f>
        <v>5.4181941695264646</v>
      </c>
    </row>
    <row r="487" spans="1:15" x14ac:dyDescent="0.25">
      <c r="A487" s="62" t="s">
        <v>301</v>
      </c>
      <c r="B487" s="62" t="s">
        <v>14</v>
      </c>
      <c r="C487" s="63">
        <v>45753</v>
      </c>
      <c r="D487" s="62" t="s">
        <v>39</v>
      </c>
      <c r="E487" s="62">
        <v>15917</v>
      </c>
      <c r="F487" s="62">
        <v>1479</v>
      </c>
      <c r="G487" s="62">
        <v>196</v>
      </c>
      <c r="H487" s="62">
        <v>313</v>
      </c>
      <c r="I487" s="62">
        <v>48524</v>
      </c>
      <c r="J487" s="62">
        <v>249684</v>
      </c>
      <c r="K487" s="62" t="s">
        <v>34</v>
      </c>
      <c r="L487" s="64">
        <v>7.0457057720959296E-2</v>
      </c>
      <c r="M487" s="62" t="s">
        <v>32</v>
      </c>
      <c r="N487" s="64">
        <f>Hashtags!$H487/Hashtags!$J487</f>
        <v>1.2535845308469906E-3</v>
      </c>
      <c r="O487" s="66">
        <f>(Hashtags!$L487+Hashtags!$N487)*100</f>
        <v>7.1710642251806291</v>
      </c>
    </row>
    <row r="488" spans="1:15" x14ac:dyDescent="0.25">
      <c r="A488" s="59" t="s">
        <v>301</v>
      </c>
      <c r="B488" s="59" t="s">
        <v>14</v>
      </c>
      <c r="C488" s="60">
        <v>45753</v>
      </c>
      <c r="D488" s="59" t="s">
        <v>39</v>
      </c>
      <c r="E488" s="59">
        <v>15917</v>
      </c>
      <c r="F488" s="59">
        <v>1479</v>
      </c>
      <c r="G488" s="59">
        <v>196</v>
      </c>
      <c r="H488" s="59">
        <v>313</v>
      </c>
      <c r="I488" s="59">
        <v>48524</v>
      </c>
      <c r="J488" s="59">
        <v>249684</v>
      </c>
      <c r="K488" s="59" t="s">
        <v>34</v>
      </c>
      <c r="L488" s="61">
        <v>7.0457057720959296E-2</v>
      </c>
      <c r="M488" s="59" t="s">
        <v>57</v>
      </c>
      <c r="N488" s="61">
        <f>Hashtags!$H488/Hashtags!$J488</f>
        <v>1.2535845308469906E-3</v>
      </c>
      <c r="O488" s="65">
        <f>(Hashtags!$L488+Hashtags!$N488)*100</f>
        <v>7.1710642251806291</v>
      </c>
    </row>
    <row r="489" spans="1:15" x14ac:dyDescent="0.25">
      <c r="A489" s="62" t="s">
        <v>302</v>
      </c>
      <c r="B489" s="62" t="s">
        <v>47</v>
      </c>
      <c r="C489" s="63">
        <v>45509</v>
      </c>
      <c r="D489" s="62" t="s">
        <v>31</v>
      </c>
      <c r="E489" s="62">
        <v>20935</v>
      </c>
      <c r="F489" s="62">
        <v>1104</v>
      </c>
      <c r="G489" s="62">
        <v>876</v>
      </c>
      <c r="H489" s="62">
        <v>1270</v>
      </c>
      <c r="I489" s="62">
        <v>21454</v>
      </c>
      <c r="J489" s="62">
        <v>208722</v>
      </c>
      <c r="K489" s="62" t="s">
        <v>29</v>
      </c>
      <c r="L489" s="64">
        <v>0.10978718103506099</v>
      </c>
      <c r="M489" s="62" t="s">
        <v>16</v>
      </c>
      <c r="N489" s="64">
        <f>Hashtags!$H489/Hashtags!$J489</f>
        <v>6.0846484797960924E-3</v>
      </c>
      <c r="O489" s="66">
        <f>(Hashtags!$L489+Hashtags!$N489)*100</f>
        <v>11.587182951485708</v>
      </c>
    </row>
    <row r="490" spans="1:15" x14ac:dyDescent="0.25">
      <c r="A490" s="59" t="s">
        <v>302</v>
      </c>
      <c r="B490" s="59" t="s">
        <v>47</v>
      </c>
      <c r="C490" s="60">
        <v>45509</v>
      </c>
      <c r="D490" s="59" t="s">
        <v>31</v>
      </c>
      <c r="E490" s="59">
        <v>20935</v>
      </c>
      <c r="F490" s="59">
        <v>1104</v>
      </c>
      <c r="G490" s="59">
        <v>876</v>
      </c>
      <c r="H490" s="59">
        <v>1270</v>
      </c>
      <c r="I490" s="59">
        <v>21454</v>
      </c>
      <c r="J490" s="59">
        <v>208722</v>
      </c>
      <c r="K490" s="59" t="s">
        <v>29</v>
      </c>
      <c r="L490" s="61">
        <v>0.10978718103506099</v>
      </c>
      <c r="M490" s="59" t="s">
        <v>17</v>
      </c>
      <c r="N490" s="61">
        <f>Hashtags!$H490/Hashtags!$J490</f>
        <v>6.0846484797960924E-3</v>
      </c>
      <c r="O490" s="65">
        <f>(Hashtags!$L490+Hashtags!$N490)*100</f>
        <v>11.587182951485708</v>
      </c>
    </row>
    <row r="491" spans="1:15" x14ac:dyDescent="0.25">
      <c r="A491" s="62" t="s">
        <v>303</v>
      </c>
      <c r="B491" s="62" t="s">
        <v>20</v>
      </c>
      <c r="C491" s="63">
        <v>45698</v>
      </c>
      <c r="D491" s="62" t="s">
        <v>39</v>
      </c>
      <c r="E491" s="62">
        <v>16309</v>
      </c>
      <c r="F491" s="62">
        <v>1449</v>
      </c>
      <c r="G491" s="62">
        <v>838</v>
      </c>
      <c r="H491" s="62">
        <v>2434</v>
      </c>
      <c r="I491" s="62">
        <v>2940</v>
      </c>
      <c r="J491" s="62">
        <v>217953</v>
      </c>
      <c r="K491" s="62" t="s">
        <v>34</v>
      </c>
      <c r="L491" s="64">
        <v>8.5321147219813445E-2</v>
      </c>
      <c r="M491" s="62" t="s">
        <v>21</v>
      </c>
      <c r="N491" s="64">
        <f>Hashtags!$H491/Hashtags!$J491</f>
        <v>1.1167545296462999E-2</v>
      </c>
      <c r="O491" s="66">
        <f>(Hashtags!$L491+Hashtags!$N491)*100</f>
        <v>9.6488692516276444</v>
      </c>
    </row>
    <row r="492" spans="1:15" x14ac:dyDescent="0.25">
      <c r="A492" s="59" t="s">
        <v>303</v>
      </c>
      <c r="B492" s="59" t="s">
        <v>20</v>
      </c>
      <c r="C492" s="60">
        <v>45698</v>
      </c>
      <c r="D492" s="59" t="s">
        <v>39</v>
      </c>
      <c r="E492" s="59">
        <v>16309</v>
      </c>
      <c r="F492" s="59">
        <v>1449</v>
      </c>
      <c r="G492" s="59">
        <v>838</v>
      </c>
      <c r="H492" s="59">
        <v>2434</v>
      </c>
      <c r="I492" s="59">
        <v>2940</v>
      </c>
      <c r="J492" s="59">
        <v>217953</v>
      </c>
      <c r="K492" s="59" t="s">
        <v>34</v>
      </c>
      <c r="L492" s="61">
        <v>8.5321147219813445E-2</v>
      </c>
      <c r="M492" s="59" t="s">
        <v>22</v>
      </c>
      <c r="N492" s="61">
        <f>Hashtags!$H492/Hashtags!$J492</f>
        <v>1.1167545296462999E-2</v>
      </c>
      <c r="O492" s="65">
        <f>(Hashtags!$L492+Hashtags!$N492)*100</f>
        <v>9.6488692516276444</v>
      </c>
    </row>
    <row r="493" spans="1:15" x14ac:dyDescent="0.25">
      <c r="A493" s="62" t="s">
        <v>304</v>
      </c>
      <c r="B493" s="62" t="s">
        <v>14</v>
      </c>
      <c r="C493" s="63">
        <v>45700</v>
      </c>
      <c r="D493" s="62" t="s">
        <v>31</v>
      </c>
      <c r="E493" s="62">
        <v>15234</v>
      </c>
      <c r="F493" s="62">
        <v>1276</v>
      </c>
      <c r="G493" s="62">
        <v>670</v>
      </c>
      <c r="H493" s="62">
        <v>1860</v>
      </c>
      <c r="I493" s="62">
        <v>60397</v>
      </c>
      <c r="J493" s="62">
        <v>86413</v>
      </c>
      <c r="K493" s="62" t="s">
        <v>52</v>
      </c>
      <c r="L493" s="64">
        <v>0.19881267864788862</v>
      </c>
      <c r="M493" s="62" t="s">
        <v>21</v>
      </c>
      <c r="N493" s="64">
        <f>Hashtags!$H493/Hashtags!$J493</f>
        <v>2.1524539131843587E-2</v>
      </c>
      <c r="O493" s="66">
        <f>(Hashtags!$L493+Hashtags!$N493)*100</f>
        <v>22.03372177797322</v>
      </c>
    </row>
    <row r="494" spans="1:15" x14ac:dyDescent="0.25">
      <c r="A494" s="59" t="s">
        <v>304</v>
      </c>
      <c r="B494" s="59" t="s">
        <v>14</v>
      </c>
      <c r="C494" s="60">
        <v>45700</v>
      </c>
      <c r="D494" s="59" t="s">
        <v>31</v>
      </c>
      <c r="E494" s="59">
        <v>15234</v>
      </c>
      <c r="F494" s="59">
        <v>1276</v>
      </c>
      <c r="G494" s="59">
        <v>670</v>
      </c>
      <c r="H494" s="59">
        <v>1860</v>
      </c>
      <c r="I494" s="59">
        <v>60397</v>
      </c>
      <c r="J494" s="59">
        <v>86413</v>
      </c>
      <c r="K494" s="59" t="s">
        <v>52</v>
      </c>
      <c r="L494" s="61">
        <v>0.19881267864788862</v>
      </c>
      <c r="M494" s="59" t="s">
        <v>22</v>
      </c>
      <c r="N494" s="61">
        <f>Hashtags!$H494/Hashtags!$J494</f>
        <v>2.1524539131843587E-2</v>
      </c>
      <c r="O494" s="65">
        <f>(Hashtags!$L494+Hashtags!$N494)*100</f>
        <v>22.03372177797322</v>
      </c>
    </row>
    <row r="495" spans="1:15" x14ac:dyDescent="0.25">
      <c r="A495" s="62" t="s">
        <v>305</v>
      </c>
      <c r="B495" s="62" t="s">
        <v>25</v>
      </c>
      <c r="C495" s="63">
        <v>45592</v>
      </c>
      <c r="D495" s="62" t="s">
        <v>39</v>
      </c>
      <c r="E495" s="62">
        <v>7560</v>
      </c>
      <c r="F495" s="62">
        <v>1139</v>
      </c>
      <c r="G495" s="62">
        <v>248</v>
      </c>
      <c r="H495" s="62">
        <v>1624</v>
      </c>
      <c r="I495" s="62">
        <v>72237</v>
      </c>
      <c r="J495" s="62">
        <v>177084</v>
      </c>
      <c r="K495" s="62" t="s">
        <v>29</v>
      </c>
      <c r="L495" s="64">
        <v>5.0524045085947912E-2</v>
      </c>
      <c r="M495" s="62" t="s">
        <v>16</v>
      </c>
      <c r="N495" s="64">
        <f>Hashtags!$H495/Hashtags!$J495</f>
        <v>9.1707890040884556E-3</v>
      </c>
      <c r="O495" s="66">
        <f>(Hashtags!$L495+Hashtags!$N495)*100</f>
        <v>5.9694834090036366</v>
      </c>
    </row>
    <row r="496" spans="1:15" x14ac:dyDescent="0.25">
      <c r="A496" s="59" t="s">
        <v>305</v>
      </c>
      <c r="B496" s="59" t="s">
        <v>25</v>
      </c>
      <c r="C496" s="60">
        <v>45592</v>
      </c>
      <c r="D496" s="59" t="s">
        <v>39</v>
      </c>
      <c r="E496" s="59">
        <v>7560</v>
      </c>
      <c r="F496" s="59">
        <v>1139</v>
      </c>
      <c r="G496" s="59">
        <v>248</v>
      </c>
      <c r="H496" s="59">
        <v>1624</v>
      </c>
      <c r="I496" s="59">
        <v>72237</v>
      </c>
      <c r="J496" s="59">
        <v>177084</v>
      </c>
      <c r="K496" s="59" t="s">
        <v>29</v>
      </c>
      <c r="L496" s="61">
        <v>5.0524045085947912E-2</v>
      </c>
      <c r="M496" s="59" t="s">
        <v>17</v>
      </c>
      <c r="N496" s="61">
        <f>Hashtags!$H496/Hashtags!$J496</f>
        <v>9.1707890040884556E-3</v>
      </c>
      <c r="O496" s="65">
        <f>(Hashtags!$L496+Hashtags!$N496)*100</f>
        <v>5.9694834090036366</v>
      </c>
    </row>
    <row r="497" spans="1:15" x14ac:dyDescent="0.25">
      <c r="A497" s="62" t="s">
        <v>306</v>
      </c>
      <c r="B497" s="62" t="s">
        <v>47</v>
      </c>
      <c r="C497" s="63">
        <v>45675</v>
      </c>
      <c r="D497" s="62" t="s">
        <v>26</v>
      </c>
      <c r="E497" s="62">
        <v>22673</v>
      </c>
      <c r="F497" s="62">
        <v>1053</v>
      </c>
      <c r="G497" s="62">
        <v>169</v>
      </c>
      <c r="H497" s="62">
        <v>1566</v>
      </c>
      <c r="I497" s="62">
        <v>9417</v>
      </c>
      <c r="J497" s="62">
        <v>221187</v>
      </c>
      <c r="K497" s="62" t="s">
        <v>34</v>
      </c>
      <c r="L497" s="64">
        <v>0.10803076130152314</v>
      </c>
      <c r="M497" s="62" t="s">
        <v>62</v>
      </c>
      <c r="N497" s="64">
        <f>Hashtags!$H497/Hashtags!$J497</f>
        <v>7.0799820965969972E-3</v>
      </c>
      <c r="O497" s="66">
        <f>(Hashtags!$L497+Hashtags!$N497)*100</f>
        <v>11.511074339812014</v>
      </c>
    </row>
    <row r="498" spans="1:15" x14ac:dyDescent="0.25">
      <c r="A498" s="59" t="s">
        <v>306</v>
      </c>
      <c r="B498" s="59" t="s">
        <v>47</v>
      </c>
      <c r="C498" s="60">
        <v>45675</v>
      </c>
      <c r="D498" s="59" t="s">
        <v>26</v>
      </c>
      <c r="E498" s="59">
        <v>22673</v>
      </c>
      <c r="F498" s="59">
        <v>1053</v>
      </c>
      <c r="G498" s="59">
        <v>169</v>
      </c>
      <c r="H498" s="59">
        <v>1566</v>
      </c>
      <c r="I498" s="59">
        <v>9417</v>
      </c>
      <c r="J498" s="59">
        <v>221187</v>
      </c>
      <c r="K498" s="59" t="s">
        <v>34</v>
      </c>
      <c r="L498" s="61">
        <v>0.10803076130152314</v>
      </c>
      <c r="M498" s="59" t="s">
        <v>37</v>
      </c>
      <c r="N498" s="61">
        <f>Hashtags!$H498/Hashtags!$J498</f>
        <v>7.0799820965969972E-3</v>
      </c>
      <c r="O498" s="65">
        <f>(Hashtags!$L498+Hashtags!$N498)*100</f>
        <v>11.511074339812014</v>
      </c>
    </row>
    <row r="499" spans="1:15" x14ac:dyDescent="0.25">
      <c r="A499" s="62" t="s">
        <v>307</v>
      </c>
      <c r="B499" s="62" t="s">
        <v>25</v>
      </c>
      <c r="C499" s="63">
        <v>45524</v>
      </c>
      <c r="D499" s="62" t="s">
        <v>26</v>
      </c>
      <c r="E499" s="62">
        <v>2846</v>
      </c>
      <c r="F499" s="62">
        <v>792</v>
      </c>
      <c r="G499" s="62">
        <v>902</v>
      </c>
      <c r="H499" s="62">
        <v>2469</v>
      </c>
      <c r="I499" s="62">
        <v>12130</v>
      </c>
      <c r="J499" s="62">
        <v>47151</v>
      </c>
      <c r="K499" s="62" t="s">
        <v>18</v>
      </c>
      <c r="L499" s="64">
        <v>9.6286399015927546E-2</v>
      </c>
      <c r="M499" s="62" t="s">
        <v>37</v>
      </c>
      <c r="N499" s="64">
        <f>Hashtags!$H499/Hashtags!$J499</f>
        <v>5.2363682636635489E-2</v>
      </c>
      <c r="O499" s="66">
        <f>(Hashtags!$L499+Hashtags!$N499)*100</f>
        <v>14.865008165256304</v>
      </c>
    </row>
    <row r="500" spans="1:15" x14ac:dyDescent="0.25">
      <c r="A500" s="59" t="s">
        <v>308</v>
      </c>
      <c r="B500" s="59" t="s">
        <v>25</v>
      </c>
      <c r="C500" s="60">
        <v>45687</v>
      </c>
      <c r="D500" s="59" t="s">
        <v>26</v>
      </c>
      <c r="E500" s="59">
        <v>12954</v>
      </c>
      <c r="F500" s="59">
        <v>913</v>
      </c>
      <c r="G500" s="59">
        <v>722</v>
      </c>
      <c r="H500" s="59">
        <v>1049</v>
      </c>
      <c r="I500" s="59">
        <v>475</v>
      </c>
      <c r="J500" s="59">
        <v>97716</v>
      </c>
      <c r="K500" s="59" t="s">
        <v>18</v>
      </c>
      <c r="L500" s="61">
        <v>0.14930001228048631</v>
      </c>
      <c r="M500" s="59" t="s">
        <v>62</v>
      </c>
      <c r="N500" s="61">
        <f>Hashtags!$H500/Hashtags!$J500</f>
        <v>1.0735191780261165E-2</v>
      </c>
      <c r="O500" s="65">
        <f>(Hashtags!$L500+Hashtags!$N500)*100</f>
        <v>16.003520406074749</v>
      </c>
    </row>
    <row r="501" spans="1:15" x14ac:dyDescent="0.25">
      <c r="A501" s="62" t="s">
        <v>308</v>
      </c>
      <c r="B501" s="62" t="s">
        <v>25</v>
      </c>
      <c r="C501" s="63">
        <v>45687</v>
      </c>
      <c r="D501" s="62" t="s">
        <v>26</v>
      </c>
      <c r="E501" s="62">
        <v>12954</v>
      </c>
      <c r="F501" s="62">
        <v>913</v>
      </c>
      <c r="G501" s="62">
        <v>722</v>
      </c>
      <c r="H501" s="62">
        <v>1049</v>
      </c>
      <c r="I501" s="62">
        <v>475</v>
      </c>
      <c r="J501" s="62">
        <v>97716</v>
      </c>
      <c r="K501" s="62" t="s">
        <v>18</v>
      </c>
      <c r="L501" s="64">
        <v>0.14930001228048631</v>
      </c>
      <c r="M501" s="62" t="s">
        <v>37</v>
      </c>
      <c r="N501" s="64">
        <f>Hashtags!$H501/Hashtags!$J501</f>
        <v>1.0735191780261165E-2</v>
      </c>
      <c r="O501" s="66">
        <f>(Hashtags!$L501+Hashtags!$N501)*100</f>
        <v>16.003520406074749</v>
      </c>
    </row>
    <row r="502" spans="1:15" x14ac:dyDescent="0.25">
      <c r="A502" s="59" t="s">
        <v>309</v>
      </c>
      <c r="B502" s="59" t="s">
        <v>14</v>
      </c>
      <c r="C502" s="60">
        <v>45708</v>
      </c>
      <c r="D502" s="59" t="s">
        <v>39</v>
      </c>
      <c r="E502" s="59">
        <v>15703</v>
      </c>
      <c r="F502" s="59">
        <v>1381</v>
      </c>
      <c r="G502" s="59">
        <v>639</v>
      </c>
      <c r="H502" s="59">
        <v>984</v>
      </c>
      <c r="I502" s="59">
        <v>10967</v>
      </c>
      <c r="J502" s="59">
        <v>133747</v>
      </c>
      <c r="K502" s="59" t="s">
        <v>52</v>
      </c>
      <c r="L502" s="61">
        <v>0.13251138343289942</v>
      </c>
      <c r="M502" s="59" t="s">
        <v>48</v>
      </c>
      <c r="N502" s="61">
        <f>Hashtags!$H502/Hashtags!$J502</f>
        <v>7.3571743665278473E-3</v>
      </c>
      <c r="O502" s="65">
        <f>(Hashtags!$L502+Hashtags!$N502)*100</f>
        <v>13.986855779942728</v>
      </c>
    </row>
    <row r="503" spans="1:15" x14ac:dyDescent="0.25">
      <c r="A503" s="62" t="s">
        <v>309</v>
      </c>
      <c r="B503" s="62" t="s">
        <v>14</v>
      </c>
      <c r="C503" s="63">
        <v>45708</v>
      </c>
      <c r="D503" s="62" t="s">
        <v>39</v>
      </c>
      <c r="E503" s="62">
        <v>15703</v>
      </c>
      <c r="F503" s="62">
        <v>1381</v>
      </c>
      <c r="G503" s="62">
        <v>639</v>
      </c>
      <c r="H503" s="62">
        <v>984</v>
      </c>
      <c r="I503" s="62">
        <v>10967</v>
      </c>
      <c r="J503" s="62">
        <v>133747</v>
      </c>
      <c r="K503" s="62" t="s">
        <v>52</v>
      </c>
      <c r="L503" s="64">
        <v>0.13251138343289942</v>
      </c>
      <c r="M503" s="62" t="s">
        <v>32</v>
      </c>
      <c r="N503" s="64">
        <f>Hashtags!$H503/Hashtags!$J503</f>
        <v>7.3571743665278473E-3</v>
      </c>
      <c r="O503" s="66">
        <f>(Hashtags!$L503+Hashtags!$N503)*100</f>
        <v>13.986855779942728</v>
      </c>
    </row>
    <row r="504" spans="1:15" x14ac:dyDescent="0.25">
      <c r="A504" s="59" t="s">
        <v>310</v>
      </c>
      <c r="B504" s="59" t="s">
        <v>47</v>
      </c>
      <c r="C504" s="60">
        <v>45621</v>
      </c>
      <c r="D504" s="59" t="s">
        <v>31</v>
      </c>
      <c r="E504" s="59">
        <v>17385</v>
      </c>
      <c r="F504" s="59">
        <v>831</v>
      </c>
      <c r="G504" s="59">
        <v>568</v>
      </c>
      <c r="H504" s="59">
        <v>2227</v>
      </c>
      <c r="I504" s="59">
        <v>49351</v>
      </c>
      <c r="J504" s="59">
        <v>207450</v>
      </c>
      <c r="K504" s="59" t="s">
        <v>29</v>
      </c>
      <c r="L504" s="61">
        <v>9.0547119787900698E-2</v>
      </c>
      <c r="M504" s="59" t="s">
        <v>48</v>
      </c>
      <c r="N504" s="61">
        <f>Hashtags!$H504/Hashtags!$J504</f>
        <v>1.0735116895637503E-2</v>
      </c>
      <c r="O504" s="65">
        <f>(Hashtags!$L504+Hashtags!$N504)*100</f>
        <v>10.128223668353819</v>
      </c>
    </row>
    <row r="505" spans="1:15" x14ac:dyDescent="0.25">
      <c r="A505" s="62" t="s">
        <v>310</v>
      </c>
      <c r="B505" s="62" t="s">
        <v>47</v>
      </c>
      <c r="C505" s="63">
        <v>45621</v>
      </c>
      <c r="D505" s="62" t="s">
        <v>31</v>
      </c>
      <c r="E505" s="62">
        <v>17385</v>
      </c>
      <c r="F505" s="62">
        <v>831</v>
      </c>
      <c r="G505" s="62">
        <v>568</v>
      </c>
      <c r="H505" s="62">
        <v>2227</v>
      </c>
      <c r="I505" s="62">
        <v>49351</v>
      </c>
      <c r="J505" s="62">
        <v>207450</v>
      </c>
      <c r="K505" s="62" t="s">
        <v>29</v>
      </c>
      <c r="L505" s="64">
        <v>9.0547119787900698E-2</v>
      </c>
      <c r="M505" s="62" t="s">
        <v>32</v>
      </c>
      <c r="N505" s="64">
        <f>Hashtags!$H505/Hashtags!$J505</f>
        <v>1.0735116895637503E-2</v>
      </c>
      <c r="O505" s="66">
        <f>(Hashtags!$L505+Hashtags!$N505)*100</f>
        <v>10.128223668353819</v>
      </c>
    </row>
    <row r="506" spans="1:15" x14ac:dyDescent="0.25">
      <c r="A506" s="59" t="s">
        <v>311</v>
      </c>
      <c r="B506" s="59" t="s">
        <v>20</v>
      </c>
      <c r="C506" s="60">
        <v>45569</v>
      </c>
      <c r="D506" s="59" t="s">
        <v>31</v>
      </c>
      <c r="E506" s="59">
        <v>15746</v>
      </c>
      <c r="F506" s="59">
        <v>258</v>
      </c>
      <c r="G506" s="59">
        <v>839</v>
      </c>
      <c r="H506" s="59">
        <v>2656</v>
      </c>
      <c r="I506" s="59">
        <v>66614</v>
      </c>
      <c r="J506" s="59">
        <v>213724</v>
      </c>
      <c r="K506" s="59" t="s">
        <v>29</v>
      </c>
      <c r="L506" s="61">
        <v>7.8807246729426739E-2</v>
      </c>
      <c r="M506" s="59" t="s">
        <v>32</v>
      </c>
      <c r="N506" s="61">
        <f>Hashtags!$H506/Hashtags!$J506</f>
        <v>1.2427242611966836E-2</v>
      </c>
      <c r="O506" s="65">
        <f>(Hashtags!$L506+Hashtags!$N506)*100</f>
        <v>9.1234489341393576</v>
      </c>
    </row>
    <row r="507" spans="1:15" x14ac:dyDescent="0.25">
      <c r="A507" s="62" t="s">
        <v>311</v>
      </c>
      <c r="B507" s="62" t="s">
        <v>20</v>
      </c>
      <c r="C507" s="63">
        <v>45569</v>
      </c>
      <c r="D507" s="62" t="s">
        <v>31</v>
      </c>
      <c r="E507" s="62">
        <v>15746</v>
      </c>
      <c r="F507" s="62">
        <v>258</v>
      </c>
      <c r="G507" s="62">
        <v>839</v>
      </c>
      <c r="H507" s="62">
        <v>2656</v>
      </c>
      <c r="I507" s="62">
        <v>66614</v>
      </c>
      <c r="J507" s="62">
        <v>213724</v>
      </c>
      <c r="K507" s="62" t="s">
        <v>29</v>
      </c>
      <c r="L507" s="64">
        <v>7.8807246729426739E-2</v>
      </c>
      <c r="M507" s="62" t="s">
        <v>57</v>
      </c>
      <c r="N507" s="64">
        <f>Hashtags!$H507/Hashtags!$J507</f>
        <v>1.2427242611966836E-2</v>
      </c>
      <c r="O507" s="66">
        <f>(Hashtags!$L507+Hashtags!$N507)*100</f>
        <v>9.1234489341393576</v>
      </c>
    </row>
    <row r="508" spans="1:15" x14ac:dyDescent="0.25">
      <c r="A508" s="59" t="s">
        <v>312</v>
      </c>
      <c r="B508" s="59" t="s">
        <v>20</v>
      </c>
      <c r="C508" s="60">
        <v>45760</v>
      </c>
      <c r="D508" s="59" t="s">
        <v>39</v>
      </c>
      <c r="E508" s="59">
        <v>24700</v>
      </c>
      <c r="F508" s="59">
        <v>327</v>
      </c>
      <c r="G508" s="59">
        <v>999</v>
      </c>
      <c r="H508" s="59">
        <v>994</v>
      </c>
      <c r="I508" s="59">
        <v>59400</v>
      </c>
      <c r="J508" s="59">
        <v>243502</v>
      </c>
      <c r="K508" s="59" t="s">
        <v>29</v>
      </c>
      <c r="L508" s="61">
        <v>0.10688207899729776</v>
      </c>
      <c r="M508" s="59" t="s">
        <v>71</v>
      </c>
      <c r="N508" s="61">
        <f>Hashtags!$H508/Hashtags!$J508</f>
        <v>4.0821019950554819E-3</v>
      </c>
      <c r="O508" s="65">
        <f>(Hashtags!$L508+Hashtags!$N508)*100</f>
        <v>11.096418099235326</v>
      </c>
    </row>
    <row r="509" spans="1:15" x14ac:dyDescent="0.25">
      <c r="A509" s="62" t="s">
        <v>313</v>
      </c>
      <c r="B509" s="62" t="s">
        <v>14</v>
      </c>
      <c r="C509" s="63">
        <v>45601</v>
      </c>
      <c r="D509" s="62" t="s">
        <v>26</v>
      </c>
      <c r="E509" s="62">
        <v>8469</v>
      </c>
      <c r="F509" s="62">
        <v>935</v>
      </c>
      <c r="G509" s="62">
        <v>211</v>
      </c>
      <c r="H509" s="62">
        <v>2635</v>
      </c>
      <c r="I509" s="62">
        <v>21890</v>
      </c>
      <c r="J509" s="62">
        <v>184539</v>
      </c>
      <c r="K509" s="62" t="s">
        <v>52</v>
      </c>
      <c r="L509" s="64">
        <v>5.2102807536618279E-2</v>
      </c>
      <c r="M509" s="62" t="s">
        <v>71</v>
      </c>
      <c r="N509" s="64">
        <f>Hashtags!$H509/Hashtags!$J509</f>
        <v>1.4278824530316085E-2</v>
      </c>
      <c r="O509" s="66">
        <f>(Hashtags!$L509+Hashtags!$N509)*100</f>
        <v>6.6381632066934371</v>
      </c>
    </row>
    <row r="510" spans="1:15" x14ac:dyDescent="0.25">
      <c r="A510" s="59" t="s">
        <v>314</v>
      </c>
      <c r="B510" s="59" t="s">
        <v>14</v>
      </c>
      <c r="C510" s="60">
        <v>45672</v>
      </c>
      <c r="D510" s="59" t="s">
        <v>26</v>
      </c>
      <c r="E510" s="59">
        <v>11333</v>
      </c>
      <c r="F510" s="59">
        <v>920</v>
      </c>
      <c r="G510" s="59">
        <v>294</v>
      </c>
      <c r="H510" s="59">
        <v>606</v>
      </c>
      <c r="I510" s="59">
        <v>59490</v>
      </c>
      <c r="J510" s="59">
        <v>202082</v>
      </c>
      <c r="K510" s="59" t="s">
        <v>29</v>
      </c>
      <c r="L510" s="61">
        <v>6.2088657079799291E-2</v>
      </c>
      <c r="M510" s="59" t="s">
        <v>21</v>
      </c>
      <c r="N510" s="61">
        <f>Hashtags!$H510/Hashtags!$J510</f>
        <v>2.9987826723805186E-3</v>
      </c>
      <c r="O510" s="65">
        <f>(Hashtags!$L510+Hashtags!$N510)*100</f>
        <v>6.5087439752179819</v>
      </c>
    </row>
    <row r="511" spans="1:15" x14ac:dyDescent="0.25">
      <c r="A511" s="62" t="s">
        <v>314</v>
      </c>
      <c r="B511" s="62" t="s">
        <v>14</v>
      </c>
      <c r="C511" s="63">
        <v>45672</v>
      </c>
      <c r="D511" s="62" t="s">
        <v>26</v>
      </c>
      <c r="E511" s="62">
        <v>11333</v>
      </c>
      <c r="F511" s="62">
        <v>920</v>
      </c>
      <c r="G511" s="62">
        <v>294</v>
      </c>
      <c r="H511" s="62">
        <v>606</v>
      </c>
      <c r="I511" s="62">
        <v>59490</v>
      </c>
      <c r="J511" s="62">
        <v>202082</v>
      </c>
      <c r="K511" s="62" t="s">
        <v>29</v>
      </c>
      <c r="L511" s="64">
        <v>6.2088657079799291E-2</v>
      </c>
      <c r="M511" s="62" t="s">
        <v>22</v>
      </c>
      <c r="N511" s="64">
        <f>Hashtags!$H511/Hashtags!$J511</f>
        <v>2.9987826723805186E-3</v>
      </c>
      <c r="O511" s="66">
        <f>(Hashtags!$L511+Hashtags!$N511)*100</f>
        <v>6.5087439752179819</v>
      </c>
    </row>
    <row r="512" spans="1:15" x14ac:dyDescent="0.25">
      <c r="A512" s="59" t="s">
        <v>315</v>
      </c>
      <c r="B512" s="59" t="s">
        <v>47</v>
      </c>
      <c r="C512" s="60">
        <v>45582</v>
      </c>
      <c r="D512" s="59" t="s">
        <v>31</v>
      </c>
      <c r="E512" s="59">
        <v>18608</v>
      </c>
      <c r="F512" s="59">
        <v>1338</v>
      </c>
      <c r="G512" s="59">
        <v>365</v>
      </c>
      <c r="H512" s="59">
        <v>2289</v>
      </c>
      <c r="I512" s="59">
        <v>20785</v>
      </c>
      <c r="J512" s="59">
        <v>161999</v>
      </c>
      <c r="K512" s="59" t="s">
        <v>18</v>
      </c>
      <c r="L512" s="61">
        <v>0.12537731714393299</v>
      </c>
      <c r="M512" s="59" t="s">
        <v>27</v>
      </c>
      <c r="N512" s="61">
        <f>Hashtags!$H512/Hashtags!$J512</f>
        <v>1.4129716850104014E-2</v>
      </c>
      <c r="O512" s="65">
        <f>(Hashtags!$L512+Hashtags!$N512)*100</f>
        <v>13.9507033994037</v>
      </c>
    </row>
    <row r="513" spans="1:15" x14ac:dyDescent="0.25">
      <c r="A513" s="62" t="s">
        <v>315</v>
      </c>
      <c r="B513" s="62" t="s">
        <v>47</v>
      </c>
      <c r="C513" s="63">
        <v>45582</v>
      </c>
      <c r="D513" s="62" t="s">
        <v>31</v>
      </c>
      <c r="E513" s="62">
        <v>18608</v>
      </c>
      <c r="F513" s="62">
        <v>1338</v>
      </c>
      <c r="G513" s="62">
        <v>365</v>
      </c>
      <c r="H513" s="62">
        <v>2289</v>
      </c>
      <c r="I513" s="62">
        <v>20785</v>
      </c>
      <c r="J513" s="62">
        <v>161999</v>
      </c>
      <c r="K513" s="62" t="s">
        <v>18</v>
      </c>
      <c r="L513" s="64">
        <v>0.12537731714393299</v>
      </c>
      <c r="M513" s="62" t="s">
        <v>28</v>
      </c>
      <c r="N513" s="64">
        <f>Hashtags!$H513/Hashtags!$J513</f>
        <v>1.4129716850104014E-2</v>
      </c>
      <c r="O513" s="66">
        <f>(Hashtags!$L513+Hashtags!$N513)*100</f>
        <v>13.9507033994037</v>
      </c>
    </row>
    <row r="514" spans="1:15" x14ac:dyDescent="0.25">
      <c r="A514" s="59" t="s">
        <v>316</v>
      </c>
      <c r="B514" s="59" t="s">
        <v>20</v>
      </c>
      <c r="C514" s="60">
        <v>45743</v>
      </c>
      <c r="D514" s="59" t="s">
        <v>26</v>
      </c>
      <c r="E514" s="59">
        <v>14819</v>
      </c>
      <c r="F514" s="59">
        <v>1432</v>
      </c>
      <c r="G514" s="59">
        <v>152</v>
      </c>
      <c r="H514" s="59">
        <v>961</v>
      </c>
      <c r="I514" s="59">
        <v>39154</v>
      </c>
      <c r="J514" s="59">
        <v>154793</v>
      </c>
      <c r="K514" s="59" t="s">
        <v>34</v>
      </c>
      <c r="L514" s="61">
        <v>0.10596732410380315</v>
      </c>
      <c r="M514" s="59" t="s">
        <v>62</v>
      </c>
      <c r="N514" s="61">
        <f>Hashtags!$H514/Hashtags!$J514</f>
        <v>6.2082910725937222E-3</v>
      </c>
      <c r="O514" s="65">
        <f>(Hashtags!$L514+Hashtags!$N514)*100</f>
        <v>11.217561517639687</v>
      </c>
    </row>
    <row r="515" spans="1:15" x14ac:dyDescent="0.25">
      <c r="A515" s="62" t="s">
        <v>316</v>
      </c>
      <c r="B515" s="62" t="s">
        <v>20</v>
      </c>
      <c r="C515" s="63">
        <v>45743</v>
      </c>
      <c r="D515" s="62" t="s">
        <v>26</v>
      </c>
      <c r="E515" s="62">
        <v>14819</v>
      </c>
      <c r="F515" s="62">
        <v>1432</v>
      </c>
      <c r="G515" s="62">
        <v>152</v>
      </c>
      <c r="H515" s="62">
        <v>961</v>
      </c>
      <c r="I515" s="62">
        <v>39154</v>
      </c>
      <c r="J515" s="62">
        <v>154793</v>
      </c>
      <c r="K515" s="62" t="s">
        <v>34</v>
      </c>
      <c r="L515" s="64">
        <v>0.10596732410380315</v>
      </c>
      <c r="M515" s="62" t="s">
        <v>37</v>
      </c>
      <c r="N515" s="64">
        <f>Hashtags!$H515/Hashtags!$J515</f>
        <v>6.2082910725937222E-3</v>
      </c>
      <c r="O515" s="66">
        <f>(Hashtags!$L515+Hashtags!$N515)*100</f>
        <v>11.217561517639687</v>
      </c>
    </row>
    <row r="516" spans="1:15" x14ac:dyDescent="0.25">
      <c r="A516" s="59" t="s">
        <v>317</v>
      </c>
      <c r="B516" s="59" t="s">
        <v>20</v>
      </c>
      <c r="C516" s="60">
        <v>45577</v>
      </c>
      <c r="D516" s="59" t="s">
        <v>15</v>
      </c>
      <c r="E516" s="59">
        <v>6208</v>
      </c>
      <c r="F516" s="59">
        <v>725</v>
      </c>
      <c r="G516" s="59">
        <v>309</v>
      </c>
      <c r="H516" s="59">
        <v>848</v>
      </c>
      <c r="I516" s="59">
        <v>39319</v>
      </c>
      <c r="J516" s="59">
        <v>225763</v>
      </c>
      <c r="K516" s="59" t="s">
        <v>18</v>
      </c>
      <c r="L516" s="61">
        <v>3.207788698768177E-2</v>
      </c>
      <c r="M516" s="59" t="s">
        <v>122</v>
      </c>
      <c r="N516" s="61">
        <f>Hashtags!$H516/Hashtags!$J516</f>
        <v>3.7561513622692824E-3</v>
      </c>
      <c r="O516" s="65">
        <f>(Hashtags!$L516+Hashtags!$N516)*100</f>
        <v>3.5834038349951052</v>
      </c>
    </row>
    <row r="517" spans="1:15" x14ac:dyDescent="0.25">
      <c r="A517" s="62" t="s">
        <v>317</v>
      </c>
      <c r="B517" s="62" t="s">
        <v>20</v>
      </c>
      <c r="C517" s="63">
        <v>45577</v>
      </c>
      <c r="D517" s="62" t="s">
        <v>15</v>
      </c>
      <c r="E517" s="62">
        <v>6208</v>
      </c>
      <c r="F517" s="62">
        <v>725</v>
      </c>
      <c r="G517" s="62">
        <v>309</v>
      </c>
      <c r="H517" s="62">
        <v>848</v>
      </c>
      <c r="I517" s="62">
        <v>39319</v>
      </c>
      <c r="J517" s="62">
        <v>225763</v>
      </c>
      <c r="K517" s="62" t="s">
        <v>18</v>
      </c>
      <c r="L517" s="64">
        <v>3.207788698768177E-2</v>
      </c>
      <c r="M517" s="62" t="s">
        <v>123</v>
      </c>
      <c r="N517" s="64">
        <f>Hashtags!$H517/Hashtags!$J517</f>
        <v>3.7561513622692824E-3</v>
      </c>
      <c r="O517" s="66">
        <f>(Hashtags!$L517+Hashtags!$N517)*100</f>
        <v>3.5834038349951052</v>
      </c>
    </row>
    <row r="518" spans="1:15" x14ac:dyDescent="0.25">
      <c r="A518" s="59" t="s">
        <v>318</v>
      </c>
      <c r="B518" s="59" t="s">
        <v>20</v>
      </c>
      <c r="C518" s="60">
        <v>45658</v>
      </c>
      <c r="D518" s="59" t="s">
        <v>31</v>
      </c>
      <c r="E518" s="59">
        <v>8283</v>
      </c>
      <c r="F518" s="59">
        <v>720</v>
      </c>
      <c r="G518" s="59">
        <v>888</v>
      </c>
      <c r="H518" s="59">
        <v>611</v>
      </c>
      <c r="I518" s="59">
        <v>52791</v>
      </c>
      <c r="J518" s="59">
        <v>235229</v>
      </c>
      <c r="K518" s="59" t="s">
        <v>18</v>
      </c>
      <c r="L518" s="61">
        <v>4.2048386891072105E-2</v>
      </c>
      <c r="M518" s="59" t="s">
        <v>40</v>
      </c>
      <c r="N518" s="61">
        <f>Hashtags!$H518/Hashtags!$J518</f>
        <v>2.5974688495041002E-3</v>
      </c>
      <c r="O518" s="65">
        <f>(Hashtags!$L518+Hashtags!$N518)*100</f>
        <v>4.4645855740576206</v>
      </c>
    </row>
    <row r="519" spans="1:15" x14ac:dyDescent="0.25">
      <c r="A519" s="62" t="s">
        <v>318</v>
      </c>
      <c r="B519" s="62" t="s">
        <v>20</v>
      </c>
      <c r="C519" s="63">
        <v>45658</v>
      </c>
      <c r="D519" s="62" t="s">
        <v>31</v>
      </c>
      <c r="E519" s="62">
        <v>8283</v>
      </c>
      <c r="F519" s="62">
        <v>720</v>
      </c>
      <c r="G519" s="62">
        <v>888</v>
      </c>
      <c r="H519" s="62">
        <v>611</v>
      </c>
      <c r="I519" s="62">
        <v>52791</v>
      </c>
      <c r="J519" s="62">
        <v>235229</v>
      </c>
      <c r="K519" s="62" t="s">
        <v>18</v>
      </c>
      <c r="L519" s="64">
        <v>4.2048386891072105E-2</v>
      </c>
      <c r="M519" s="62" t="s">
        <v>41</v>
      </c>
      <c r="N519" s="64">
        <f>Hashtags!$H519/Hashtags!$J519</f>
        <v>2.5974688495041002E-3</v>
      </c>
      <c r="O519" s="66">
        <f>(Hashtags!$L519+Hashtags!$N519)*100</f>
        <v>4.4645855740576206</v>
      </c>
    </row>
    <row r="520" spans="1:15" x14ac:dyDescent="0.25">
      <c r="A520" s="59" t="s">
        <v>319</v>
      </c>
      <c r="B520" s="59" t="s">
        <v>25</v>
      </c>
      <c r="C520" s="60">
        <v>45509</v>
      </c>
      <c r="D520" s="59" t="s">
        <v>26</v>
      </c>
      <c r="E520" s="59">
        <v>4048</v>
      </c>
      <c r="F520" s="59">
        <v>751</v>
      </c>
      <c r="G520" s="59">
        <v>930</v>
      </c>
      <c r="H520" s="59">
        <v>1382</v>
      </c>
      <c r="I520" s="59">
        <v>16844</v>
      </c>
      <c r="J520" s="59">
        <v>148177</v>
      </c>
      <c r="K520" s="59" t="s">
        <v>34</v>
      </c>
      <c r="L520" s="61">
        <v>3.8663220337839206E-2</v>
      </c>
      <c r="M520" s="59" t="s">
        <v>43</v>
      </c>
      <c r="N520" s="61">
        <f>Hashtags!$H520/Hashtags!$J520</f>
        <v>9.3266836283633758E-3</v>
      </c>
      <c r="O520" s="65">
        <f>(Hashtags!$L520+Hashtags!$N520)*100</f>
        <v>4.7989903966202583</v>
      </c>
    </row>
    <row r="521" spans="1:15" x14ac:dyDescent="0.25">
      <c r="A521" s="62" t="s">
        <v>319</v>
      </c>
      <c r="B521" s="62" t="s">
        <v>25</v>
      </c>
      <c r="C521" s="63">
        <v>45509</v>
      </c>
      <c r="D521" s="62" t="s">
        <v>26</v>
      </c>
      <c r="E521" s="62">
        <v>4048</v>
      </c>
      <c r="F521" s="62">
        <v>751</v>
      </c>
      <c r="G521" s="62">
        <v>930</v>
      </c>
      <c r="H521" s="62">
        <v>1382</v>
      </c>
      <c r="I521" s="62">
        <v>16844</v>
      </c>
      <c r="J521" s="62">
        <v>148177</v>
      </c>
      <c r="K521" s="62" t="s">
        <v>34</v>
      </c>
      <c r="L521" s="64">
        <v>3.8663220337839206E-2</v>
      </c>
      <c r="M521" s="62" t="s">
        <v>44</v>
      </c>
      <c r="N521" s="64">
        <f>Hashtags!$H521/Hashtags!$J521</f>
        <v>9.3266836283633758E-3</v>
      </c>
      <c r="O521" s="66">
        <f>(Hashtags!$L521+Hashtags!$N521)*100</f>
        <v>4.7989903966202583</v>
      </c>
    </row>
    <row r="522" spans="1:15" x14ac:dyDescent="0.25">
      <c r="A522" s="59" t="s">
        <v>320</v>
      </c>
      <c r="B522" s="59" t="s">
        <v>20</v>
      </c>
      <c r="C522" s="60">
        <v>45450</v>
      </c>
      <c r="D522" s="59" t="s">
        <v>31</v>
      </c>
      <c r="E522" s="59">
        <v>8233</v>
      </c>
      <c r="F522" s="59">
        <v>436</v>
      </c>
      <c r="G522" s="59">
        <v>269</v>
      </c>
      <c r="H522" s="59">
        <v>2037</v>
      </c>
      <c r="I522" s="59">
        <v>8875</v>
      </c>
      <c r="J522" s="59">
        <v>52289</v>
      </c>
      <c r="K522" s="59" t="s">
        <v>18</v>
      </c>
      <c r="L522" s="61">
        <v>0.17093461339861157</v>
      </c>
      <c r="M522" s="59" t="s">
        <v>32</v>
      </c>
      <c r="N522" s="61">
        <f>Hashtags!$H522/Hashtags!$J522</f>
        <v>3.8956568303084776E-2</v>
      </c>
      <c r="O522" s="65">
        <f>(Hashtags!$L522+Hashtags!$N522)*100</f>
        <v>20.989118170169636</v>
      </c>
    </row>
    <row r="523" spans="1:15" x14ac:dyDescent="0.25">
      <c r="A523" s="62" t="s">
        <v>320</v>
      </c>
      <c r="B523" s="62" t="s">
        <v>20</v>
      </c>
      <c r="C523" s="63">
        <v>45450</v>
      </c>
      <c r="D523" s="62" t="s">
        <v>31</v>
      </c>
      <c r="E523" s="62">
        <v>8233</v>
      </c>
      <c r="F523" s="62">
        <v>436</v>
      </c>
      <c r="G523" s="62">
        <v>269</v>
      </c>
      <c r="H523" s="62">
        <v>2037</v>
      </c>
      <c r="I523" s="62">
        <v>8875</v>
      </c>
      <c r="J523" s="62">
        <v>52289</v>
      </c>
      <c r="K523" s="62" t="s">
        <v>18</v>
      </c>
      <c r="L523" s="64">
        <v>0.17093461339861157</v>
      </c>
      <c r="M523" s="62" t="s">
        <v>33</v>
      </c>
      <c r="N523" s="64">
        <f>Hashtags!$H523/Hashtags!$J523</f>
        <v>3.8956568303084776E-2</v>
      </c>
      <c r="O523" s="66">
        <f>(Hashtags!$L523+Hashtags!$N523)*100</f>
        <v>20.989118170169636</v>
      </c>
    </row>
    <row r="524" spans="1:15" x14ac:dyDescent="0.25">
      <c r="A524" s="59" t="s">
        <v>321</v>
      </c>
      <c r="B524" s="59" t="s">
        <v>25</v>
      </c>
      <c r="C524" s="60">
        <v>45753</v>
      </c>
      <c r="D524" s="59" t="s">
        <v>15</v>
      </c>
      <c r="E524" s="59">
        <v>14941</v>
      </c>
      <c r="F524" s="59">
        <v>1424</v>
      </c>
      <c r="G524" s="59">
        <v>238</v>
      </c>
      <c r="H524" s="59">
        <v>1054</v>
      </c>
      <c r="I524" s="59">
        <v>20516</v>
      </c>
      <c r="J524" s="59">
        <v>216048</v>
      </c>
      <c r="K524" s="59" t="s">
        <v>52</v>
      </c>
      <c r="L524" s="61">
        <v>7.6848663260016298E-2</v>
      </c>
      <c r="M524" s="59" t="s">
        <v>71</v>
      </c>
      <c r="N524" s="61">
        <f>Hashtags!$H524/Hashtags!$J524</f>
        <v>4.8785455084055396E-3</v>
      </c>
      <c r="O524" s="65">
        <f>(Hashtags!$L524+Hashtags!$N524)*100</f>
        <v>8.1727208768421828</v>
      </c>
    </row>
    <row r="525" spans="1:15" x14ac:dyDescent="0.25">
      <c r="A525" s="62" t="s">
        <v>322</v>
      </c>
      <c r="B525" s="62" t="s">
        <v>47</v>
      </c>
      <c r="C525" s="63">
        <v>45622</v>
      </c>
      <c r="D525" s="62" t="s">
        <v>31</v>
      </c>
      <c r="E525" s="62">
        <v>14607</v>
      </c>
      <c r="F525" s="62">
        <v>1458</v>
      </c>
      <c r="G525" s="62">
        <v>478</v>
      </c>
      <c r="H525" s="62">
        <v>334</v>
      </c>
      <c r="I525" s="62">
        <v>49257</v>
      </c>
      <c r="J525" s="62">
        <v>214668</v>
      </c>
      <c r="K525" s="62" t="s">
        <v>34</v>
      </c>
      <c r="L525" s="64">
        <v>7.7063185942944451E-2</v>
      </c>
      <c r="M525" s="62" t="s">
        <v>40</v>
      </c>
      <c r="N525" s="64">
        <f>Hashtags!$H525/Hashtags!$J525</f>
        <v>1.5558909571990237E-3</v>
      </c>
      <c r="O525" s="66">
        <f>(Hashtags!$L525+Hashtags!$N525)*100</f>
        <v>7.8619076900143465</v>
      </c>
    </row>
    <row r="526" spans="1:15" x14ac:dyDescent="0.25">
      <c r="A526" s="59" t="s">
        <v>322</v>
      </c>
      <c r="B526" s="59" t="s">
        <v>47</v>
      </c>
      <c r="C526" s="60">
        <v>45622</v>
      </c>
      <c r="D526" s="59" t="s">
        <v>31</v>
      </c>
      <c r="E526" s="59">
        <v>14607</v>
      </c>
      <c r="F526" s="59">
        <v>1458</v>
      </c>
      <c r="G526" s="59">
        <v>478</v>
      </c>
      <c r="H526" s="59">
        <v>334</v>
      </c>
      <c r="I526" s="59">
        <v>49257</v>
      </c>
      <c r="J526" s="59">
        <v>214668</v>
      </c>
      <c r="K526" s="59" t="s">
        <v>34</v>
      </c>
      <c r="L526" s="61">
        <v>7.7063185942944451E-2</v>
      </c>
      <c r="M526" s="59" t="s">
        <v>41</v>
      </c>
      <c r="N526" s="61">
        <f>Hashtags!$H526/Hashtags!$J526</f>
        <v>1.5558909571990237E-3</v>
      </c>
      <c r="O526" s="65">
        <f>(Hashtags!$L526+Hashtags!$N526)*100</f>
        <v>7.8619076900143465</v>
      </c>
    </row>
    <row r="527" spans="1:15" x14ac:dyDescent="0.25">
      <c r="A527" s="62" t="s">
        <v>323</v>
      </c>
      <c r="B527" s="62" t="s">
        <v>25</v>
      </c>
      <c r="C527" s="63">
        <v>45537</v>
      </c>
      <c r="D527" s="62" t="s">
        <v>31</v>
      </c>
      <c r="E527" s="62">
        <v>11765</v>
      </c>
      <c r="F527" s="62">
        <v>693</v>
      </c>
      <c r="G527" s="62">
        <v>729</v>
      </c>
      <c r="H527" s="62">
        <v>744</v>
      </c>
      <c r="I527" s="62">
        <v>97772</v>
      </c>
      <c r="J527" s="62">
        <v>194243</v>
      </c>
      <c r="K527" s="62" t="s">
        <v>18</v>
      </c>
      <c r="L527" s="64">
        <v>6.7889190344053579E-2</v>
      </c>
      <c r="M527" s="62" t="s">
        <v>32</v>
      </c>
      <c r="N527" s="64">
        <f>Hashtags!$H527/Hashtags!$J527</f>
        <v>3.8302538572818584E-3</v>
      </c>
      <c r="O527" s="66">
        <f>(Hashtags!$L527+Hashtags!$N527)*100</f>
        <v>7.1719444201335438</v>
      </c>
    </row>
    <row r="528" spans="1:15" x14ac:dyDescent="0.25">
      <c r="A528" s="59" t="s">
        <v>323</v>
      </c>
      <c r="B528" s="59" t="s">
        <v>25</v>
      </c>
      <c r="C528" s="60">
        <v>45537</v>
      </c>
      <c r="D528" s="59" t="s">
        <v>31</v>
      </c>
      <c r="E528" s="59">
        <v>11765</v>
      </c>
      <c r="F528" s="59">
        <v>693</v>
      </c>
      <c r="G528" s="59">
        <v>729</v>
      </c>
      <c r="H528" s="59">
        <v>744</v>
      </c>
      <c r="I528" s="59">
        <v>97772</v>
      </c>
      <c r="J528" s="59">
        <v>194243</v>
      </c>
      <c r="K528" s="59" t="s">
        <v>18</v>
      </c>
      <c r="L528" s="61">
        <v>6.7889190344053579E-2</v>
      </c>
      <c r="M528" s="59" t="s">
        <v>33</v>
      </c>
      <c r="N528" s="61">
        <f>Hashtags!$H528/Hashtags!$J528</f>
        <v>3.8302538572818584E-3</v>
      </c>
      <c r="O528" s="65">
        <f>(Hashtags!$L528+Hashtags!$N528)*100</f>
        <v>7.1719444201335438</v>
      </c>
    </row>
    <row r="529" spans="1:15" x14ac:dyDescent="0.25">
      <c r="A529" s="62" t="s">
        <v>324</v>
      </c>
      <c r="B529" s="62" t="s">
        <v>47</v>
      </c>
      <c r="C529" s="63">
        <v>45918</v>
      </c>
      <c r="D529" s="62" t="s">
        <v>31</v>
      </c>
      <c r="E529" s="62">
        <v>3828</v>
      </c>
      <c r="F529" s="62">
        <v>203</v>
      </c>
      <c r="G529" s="62">
        <v>506</v>
      </c>
      <c r="H529" s="62">
        <v>2440</v>
      </c>
      <c r="I529" s="62">
        <v>63650</v>
      </c>
      <c r="J529" s="62">
        <v>126365</v>
      </c>
      <c r="K529" s="62" t="s">
        <v>23</v>
      </c>
      <c r="L529" s="64">
        <v>3.5903929094290347E-2</v>
      </c>
      <c r="M529" s="62" t="s">
        <v>40</v>
      </c>
      <c r="N529" s="64">
        <f>Hashtags!$H529/Hashtags!$J529</f>
        <v>1.9309144145926483E-2</v>
      </c>
      <c r="O529" s="66">
        <f>(Hashtags!$L529+Hashtags!$N529)*100</f>
        <v>5.5213073240216834</v>
      </c>
    </row>
    <row r="530" spans="1:15" x14ac:dyDescent="0.25">
      <c r="A530" s="59" t="s">
        <v>324</v>
      </c>
      <c r="B530" s="59" t="s">
        <v>47</v>
      </c>
      <c r="C530" s="60">
        <v>45918</v>
      </c>
      <c r="D530" s="59" t="s">
        <v>31</v>
      </c>
      <c r="E530" s="59">
        <v>3828</v>
      </c>
      <c r="F530" s="59">
        <v>203</v>
      </c>
      <c r="G530" s="59">
        <v>506</v>
      </c>
      <c r="H530" s="59">
        <v>2440</v>
      </c>
      <c r="I530" s="59">
        <v>63650</v>
      </c>
      <c r="J530" s="59">
        <v>126365</v>
      </c>
      <c r="K530" s="59" t="s">
        <v>23</v>
      </c>
      <c r="L530" s="61">
        <v>3.5903929094290347E-2</v>
      </c>
      <c r="M530" s="59" t="s">
        <v>41</v>
      </c>
      <c r="N530" s="61">
        <f>Hashtags!$H530/Hashtags!$J530</f>
        <v>1.9309144145926483E-2</v>
      </c>
      <c r="O530" s="65">
        <f>(Hashtags!$L530+Hashtags!$N530)*100</f>
        <v>5.5213073240216834</v>
      </c>
    </row>
    <row r="531" spans="1:15" x14ac:dyDescent="0.25">
      <c r="A531" s="62" t="s">
        <v>325</v>
      </c>
      <c r="B531" s="62" t="s">
        <v>20</v>
      </c>
      <c r="C531" s="63">
        <v>45738</v>
      </c>
      <c r="D531" s="62" t="s">
        <v>31</v>
      </c>
      <c r="E531" s="62">
        <v>3917</v>
      </c>
      <c r="F531" s="62">
        <v>865</v>
      </c>
      <c r="G531" s="62">
        <v>759</v>
      </c>
      <c r="H531" s="62">
        <v>2282</v>
      </c>
      <c r="I531" s="62">
        <v>56125</v>
      </c>
      <c r="J531" s="62">
        <v>154014</v>
      </c>
      <c r="K531" s="62" t="s">
        <v>18</v>
      </c>
      <c r="L531" s="64">
        <v>3.5977248821535704E-2</v>
      </c>
      <c r="M531" s="62" t="s">
        <v>32</v>
      </c>
      <c r="N531" s="64">
        <f>Hashtags!$H531/Hashtags!$J531</f>
        <v>1.4816834833196983E-2</v>
      </c>
      <c r="O531" s="66">
        <f>(Hashtags!$L531+Hashtags!$N531)*100</f>
        <v>5.0794083654732685</v>
      </c>
    </row>
    <row r="532" spans="1:15" x14ac:dyDescent="0.25">
      <c r="A532" s="59" t="s">
        <v>325</v>
      </c>
      <c r="B532" s="59" t="s">
        <v>20</v>
      </c>
      <c r="C532" s="60">
        <v>45738</v>
      </c>
      <c r="D532" s="59" t="s">
        <v>31</v>
      </c>
      <c r="E532" s="59">
        <v>3917</v>
      </c>
      <c r="F532" s="59">
        <v>865</v>
      </c>
      <c r="G532" s="59">
        <v>759</v>
      </c>
      <c r="H532" s="59">
        <v>2282</v>
      </c>
      <c r="I532" s="59">
        <v>56125</v>
      </c>
      <c r="J532" s="59">
        <v>154014</v>
      </c>
      <c r="K532" s="59" t="s">
        <v>18</v>
      </c>
      <c r="L532" s="61">
        <v>3.5977248821535704E-2</v>
      </c>
      <c r="M532" s="59" t="s">
        <v>57</v>
      </c>
      <c r="N532" s="61">
        <f>Hashtags!$H532/Hashtags!$J532</f>
        <v>1.4816834833196983E-2</v>
      </c>
      <c r="O532" s="65">
        <f>(Hashtags!$L532+Hashtags!$N532)*100</f>
        <v>5.0794083654732685</v>
      </c>
    </row>
    <row r="533" spans="1:15" x14ac:dyDescent="0.25">
      <c r="A533" s="62" t="s">
        <v>326</v>
      </c>
      <c r="B533" s="62" t="s">
        <v>20</v>
      </c>
      <c r="C533" s="63">
        <v>45568</v>
      </c>
      <c r="D533" s="62" t="s">
        <v>15</v>
      </c>
      <c r="E533" s="62">
        <v>22618</v>
      </c>
      <c r="F533" s="62">
        <v>641</v>
      </c>
      <c r="G533" s="62">
        <v>416</v>
      </c>
      <c r="H533" s="62">
        <v>1530</v>
      </c>
      <c r="I533" s="62">
        <v>18395</v>
      </c>
      <c r="J533" s="62">
        <v>215211</v>
      </c>
      <c r="K533" s="62" t="s">
        <v>52</v>
      </c>
      <c r="L533" s="64">
        <v>0.1100083174187193</v>
      </c>
      <c r="M533" s="62" t="s">
        <v>32</v>
      </c>
      <c r="N533" s="64">
        <f>Hashtags!$H533/Hashtags!$J533</f>
        <v>7.1093020338179741E-3</v>
      </c>
      <c r="O533" s="66">
        <f>(Hashtags!$L533+Hashtags!$N533)*100</f>
        <v>11.711761945253727</v>
      </c>
    </row>
    <row r="534" spans="1:15" x14ac:dyDescent="0.25">
      <c r="A534" s="59" t="s">
        <v>326</v>
      </c>
      <c r="B534" s="59" t="s">
        <v>20</v>
      </c>
      <c r="C534" s="60">
        <v>45568</v>
      </c>
      <c r="D534" s="59" t="s">
        <v>15</v>
      </c>
      <c r="E534" s="59">
        <v>22618</v>
      </c>
      <c r="F534" s="59">
        <v>641</v>
      </c>
      <c r="G534" s="59">
        <v>416</v>
      </c>
      <c r="H534" s="59">
        <v>1530</v>
      </c>
      <c r="I534" s="59">
        <v>18395</v>
      </c>
      <c r="J534" s="59">
        <v>215211</v>
      </c>
      <c r="K534" s="59" t="s">
        <v>52</v>
      </c>
      <c r="L534" s="61">
        <v>0.1100083174187193</v>
      </c>
      <c r="M534" s="59" t="s">
        <v>33</v>
      </c>
      <c r="N534" s="61">
        <f>Hashtags!$H534/Hashtags!$J534</f>
        <v>7.1093020338179741E-3</v>
      </c>
      <c r="O534" s="65">
        <f>(Hashtags!$L534+Hashtags!$N534)*100</f>
        <v>11.711761945253727</v>
      </c>
    </row>
    <row r="535" spans="1:15" x14ac:dyDescent="0.25">
      <c r="A535" s="62" t="s">
        <v>327</v>
      </c>
      <c r="B535" s="62" t="s">
        <v>47</v>
      </c>
      <c r="C535" s="63">
        <v>45786</v>
      </c>
      <c r="D535" s="62" t="s">
        <v>39</v>
      </c>
      <c r="E535" s="62">
        <v>8988</v>
      </c>
      <c r="F535" s="62">
        <v>228</v>
      </c>
      <c r="G535" s="62">
        <v>766</v>
      </c>
      <c r="H535" s="62">
        <v>652</v>
      </c>
      <c r="I535" s="62">
        <v>63789</v>
      </c>
      <c r="J535" s="62">
        <v>219785</v>
      </c>
      <c r="K535" s="62" t="s">
        <v>29</v>
      </c>
      <c r="L535" s="64">
        <v>4.541711217781013E-2</v>
      </c>
      <c r="M535" s="62" t="s">
        <v>43</v>
      </c>
      <c r="N535" s="64">
        <f>Hashtags!$H535/Hashtags!$J535</f>
        <v>2.9665354778533569E-3</v>
      </c>
      <c r="O535" s="66">
        <f>(Hashtags!$L535+Hashtags!$N535)*100</f>
        <v>4.8383647655663484</v>
      </c>
    </row>
    <row r="536" spans="1:15" x14ac:dyDescent="0.25">
      <c r="A536" s="59" t="s">
        <v>327</v>
      </c>
      <c r="B536" s="59" t="s">
        <v>47</v>
      </c>
      <c r="C536" s="60">
        <v>45786</v>
      </c>
      <c r="D536" s="59" t="s">
        <v>39</v>
      </c>
      <c r="E536" s="59">
        <v>8988</v>
      </c>
      <c r="F536" s="59">
        <v>228</v>
      </c>
      <c r="G536" s="59">
        <v>766</v>
      </c>
      <c r="H536" s="59">
        <v>652</v>
      </c>
      <c r="I536" s="59">
        <v>63789</v>
      </c>
      <c r="J536" s="59">
        <v>219785</v>
      </c>
      <c r="K536" s="59" t="s">
        <v>29</v>
      </c>
      <c r="L536" s="61">
        <v>4.541711217781013E-2</v>
      </c>
      <c r="M536" s="59" t="s">
        <v>44</v>
      </c>
      <c r="N536" s="61">
        <f>Hashtags!$H536/Hashtags!$J536</f>
        <v>2.9665354778533569E-3</v>
      </c>
      <c r="O536" s="65">
        <f>(Hashtags!$L536+Hashtags!$N536)*100</f>
        <v>4.8383647655663484</v>
      </c>
    </row>
    <row r="537" spans="1:15" x14ac:dyDescent="0.25">
      <c r="A537" s="62" t="s">
        <v>328</v>
      </c>
      <c r="B537" s="62" t="s">
        <v>14</v>
      </c>
      <c r="C537" s="63">
        <v>45552</v>
      </c>
      <c r="D537" s="62" t="s">
        <v>31</v>
      </c>
      <c r="E537" s="62">
        <v>20410</v>
      </c>
      <c r="F537" s="62">
        <v>1332</v>
      </c>
      <c r="G537" s="62">
        <v>472</v>
      </c>
      <c r="H537" s="62">
        <v>1202</v>
      </c>
      <c r="I537" s="62">
        <v>9418</v>
      </c>
      <c r="J537" s="62">
        <v>200806</v>
      </c>
      <c r="K537" s="62" t="s">
        <v>18</v>
      </c>
      <c r="L537" s="64">
        <v>0.11062418453631864</v>
      </c>
      <c r="M537" s="62" t="s">
        <v>40</v>
      </c>
      <c r="N537" s="64">
        <f>Hashtags!$H537/Hashtags!$J537</f>
        <v>5.9858769160284053E-3</v>
      </c>
      <c r="O537" s="66">
        <f>(Hashtags!$L537+Hashtags!$N537)*100</f>
        <v>11.661006145234705</v>
      </c>
    </row>
    <row r="538" spans="1:15" x14ac:dyDescent="0.25">
      <c r="A538" s="59" t="s">
        <v>328</v>
      </c>
      <c r="B538" s="59" t="s">
        <v>14</v>
      </c>
      <c r="C538" s="60">
        <v>45552</v>
      </c>
      <c r="D538" s="59" t="s">
        <v>31</v>
      </c>
      <c r="E538" s="59">
        <v>20410</v>
      </c>
      <c r="F538" s="59">
        <v>1332</v>
      </c>
      <c r="G538" s="59">
        <v>472</v>
      </c>
      <c r="H538" s="59">
        <v>1202</v>
      </c>
      <c r="I538" s="59">
        <v>9418</v>
      </c>
      <c r="J538" s="59">
        <v>200806</v>
      </c>
      <c r="K538" s="59" t="s">
        <v>18</v>
      </c>
      <c r="L538" s="61">
        <v>0.11062418453631864</v>
      </c>
      <c r="M538" s="59" t="s">
        <v>41</v>
      </c>
      <c r="N538" s="61">
        <f>Hashtags!$H538/Hashtags!$J538</f>
        <v>5.9858769160284053E-3</v>
      </c>
      <c r="O538" s="65">
        <f>(Hashtags!$L538+Hashtags!$N538)*100</f>
        <v>11.661006145234705</v>
      </c>
    </row>
    <row r="539" spans="1:15" x14ac:dyDescent="0.25">
      <c r="A539" s="62" t="s">
        <v>329</v>
      </c>
      <c r="B539" s="62" t="s">
        <v>47</v>
      </c>
      <c r="C539" s="63">
        <v>45491</v>
      </c>
      <c r="D539" s="62" t="s">
        <v>31</v>
      </c>
      <c r="E539" s="62">
        <v>16594</v>
      </c>
      <c r="F539" s="62">
        <v>809</v>
      </c>
      <c r="G539" s="62">
        <v>784</v>
      </c>
      <c r="H539" s="62">
        <v>1655</v>
      </c>
      <c r="I539" s="62">
        <v>35505</v>
      </c>
      <c r="J539" s="62">
        <v>112588</v>
      </c>
      <c r="K539" s="62" t="s">
        <v>29</v>
      </c>
      <c r="L539" s="64">
        <v>0.16153586527871533</v>
      </c>
      <c r="M539" s="62" t="s">
        <v>16</v>
      </c>
      <c r="N539" s="64">
        <f>Hashtags!$H539/Hashtags!$J539</f>
        <v>1.4699612747362064E-2</v>
      </c>
      <c r="O539" s="66">
        <f>(Hashtags!$L539+Hashtags!$N539)*100</f>
        <v>17.623547802607739</v>
      </c>
    </row>
    <row r="540" spans="1:15" x14ac:dyDescent="0.25">
      <c r="A540" s="59" t="s">
        <v>329</v>
      </c>
      <c r="B540" s="59" t="s">
        <v>47</v>
      </c>
      <c r="C540" s="60">
        <v>45491</v>
      </c>
      <c r="D540" s="59" t="s">
        <v>31</v>
      </c>
      <c r="E540" s="59">
        <v>16594</v>
      </c>
      <c r="F540" s="59">
        <v>809</v>
      </c>
      <c r="G540" s="59">
        <v>784</v>
      </c>
      <c r="H540" s="59">
        <v>1655</v>
      </c>
      <c r="I540" s="59">
        <v>35505</v>
      </c>
      <c r="J540" s="59">
        <v>112588</v>
      </c>
      <c r="K540" s="59" t="s">
        <v>29</v>
      </c>
      <c r="L540" s="61">
        <v>0.16153586527871533</v>
      </c>
      <c r="M540" s="59" t="s">
        <v>17</v>
      </c>
      <c r="N540" s="61">
        <f>Hashtags!$H540/Hashtags!$J540</f>
        <v>1.4699612747362064E-2</v>
      </c>
      <c r="O540" s="65">
        <f>(Hashtags!$L540+Hashtags!$N540)*100</f>
        <v>17.623547802607739</v>
      </c>
    </row>
    <row r="541" spans="1:15" x14ac:dyDescent="0.25">
      <c r="A541" s="62" t="s">
        <v>330</v>
      </c>
      <c r="B541" s="62" t="s">
        <v>14</v>
      </c>
      <c r="C541" s="63">
        <v>45919</v>
      </c>
      <c r="D541" s="62" t="s">
        <v>26</v>
      </c>
      <c r="E541" s="62">
        <v>22128</v>
      </c>
      <c r="F541" s="62">
        <v>1004</v>
      </c>
      <c r="G541" s="62">
        <v>690</v>
      </c>
      <c r="H541" s="62">
        <v>2048</v>
      </c>
      <c r="I541" s="62">
        <v>19443</v>
      </c>
      <c r="J541" s="62">
        <v>103646</v>
      </c>
      <c r="K541" s="62" t="s">
        <v>23</v>
      </c>
      <c r="L541" s="64">
        <v>0.22984003241803833</v>
      </c>
      <c r="M541" s="62" t="s">
        <v>43</v>
      </c>
      <c r="N541" s="64">
        <f>Hashtags!$H541/Hashtags!$J541</f>
        <v>1.975956621577292E-2</v>
      </c>
      <c r="O541" s="66">
        <f>(Hashtags!$L541+Hashtags!$N541)*100</f>
        <v>24.959959863381126</v>
      </c>
    </row>
    <row r="542" spans="1:15" x14ac:dyDescent="0.25">
      <c r="A542" s="59" t="s">
        <v>330</v>
      </c>
      <c r="B542" s="59" t="s">
        <v>14</v>
      </c>
      <c r="C542" s="60">
        <v>45919</v>
      </c>
      <c r="D542" s="59" t="s">
        <v>26</v>
      </c>
      <c r="E542" s="59">
        <v>22128</v>
      </c>
      <c r="F542" s="59">
        <v>1004</v>
      </c>
      <c r="G542" s="59">
        <v>690</v>
      </c>
      <c r="H542" s="59">
        <v>2048</v>
      </c>
      <c r="I542" s="59">
        <v>19443</v>
      </c>
      <c r="J542" s="59">
        <v>103646</v>
      </c>
      <c r="K542" s="59" t="s">
        <v>23</v>
      </c>
      <c r="L542" s="61">
        <v>0.22984003241803833</v>
      </c>
      <c r="M542" s="59" t="s">
        <v>44</v>
      </c>
      <c r="N542" s="61">
        <f>Hashtags!$H542/Hashtags!$J542</f>
        <v>1.975956621577292E-2</v>
      </c>
      <c r="O542" s="65">
        <f>(Hashtags!$L542+Hashtags!$N542)*100</f>
        <v>24.959959863381126</v>
      </c>
    </row>
    <row r="543" spans="1:15" x14ac:dyDescent="0.25">
      <c r="A543" s="62" t="s">
        <v>331</v>
      </c>
      <c r="B543" s="62" t="s">
        <v>25</v>
      </c>
      <c r="C543" s="63">
        <v>45519</v>
      </c>
      <c r="D543" s="62" t="s">
        <v>31</v>
      </c>
      <c r="E543" s="62">
        <v>14977</v>
      </c>
      <c r="F543" s="62">
        <v>274</v>
      </c>
      <c r="G543" s="62">
        <v>798</v>
      </c>
      <c r="H543" s="62">
        <v>458</v>
      </c>
      <c r="I543" s="62">
        <v>6636</v>
      </c>
      <c r="J543" s="62">
        <v>43654</v>
      </c>
      <c r="K543" s="62" t="s">
        <v>18</v>
      </c>
      <c r="L543" s="64">
        <v>0.36764099509781462</v>
      </c>
      <c r="M543" s="62" t="s">
        <v>32</v>
      </c>
      <c r="N543" s="64">
        <f>Hashtags!$H543/Hashtags!$J543</f>
        <v>1.049159298117011E-2</v>
      </c>
      <c r="O543" s="66">
        <f>(Hashtags!$L543+Hashtags!$N543)*100</f>
        <v>37.813258807898471</v>
      </c>
    </row>
    <row r="544" spans="1:15" x14ac:dyDescent="0.25">
      <c r="A544" s="59" t="s">
        <v>331</v>
      </c>
      <c r="B544" s="59" t="s">
        <v>25</v>
      </c>
      <c r="C544" s="60">
        <v>45519</v>
      </c>
      <c r="D544" s="59" t="s">
        <v>31</v>
      </c>
      <c r="E544" s="59">
        <v>14977</v>
      </c>
      <c r="F544" s="59">
        <v>274</v>
      </c>
      <c r="G544" s="59">
        <v>798</v>
      </c>
      <c r="H544" s="59">
        <v>458</v>
      </c>
      <c r="I544" s="59">
        <v>6636</v>
      </c>
      <c r="J544" s="59">
        <v>43654</v>
      </c>
      <c r="K544" s="59" t="s">
        <v>18</v>
      </c>
      <c r="L544" s="61">
        <v>0.36764099509781462</v>
      </c>
      <c r="M544" s="59" t="s">
        <v>33</v>
      </c>
      <c r="N544" s="61">
        <f>Hashtags!$H544/Hashtags!$J544</f>
        <v>1.049159298117011E-2</v>
      </c>
      <c r="O544" s="65">
        <f>(Hashtags!$L544+Hashtags!$N544)*100</f>
        <v>37.813258807898471</v>
      </c>
    </row>
    <row r="545" spans="1:15" x14ac:dyDescent="0.25">
      <c r="A545" s="62" t="s">
        <v>332</v>
      </c>
      <c r="B545" s="62" t="s">
        <v>25</v>
      </c>
      <c r="C545" s="63">
        <v>45764</v>
      </c>
      <c r="D545" s="62" t="s">
        <v>26</v>
      </c>
      <c r="E545" s="62">
        <v>2009</v>
      </c>
      <c r="F545" s="62">
        <v>1037</v>
      </c>
      <c r="G545" s="62">
        <v>344</v>
      </c>
      <c r="H545" s="62">
        <v>2277</v>
      </c>
      <c r="I545" s="62">
        <v>85743</v>
      </c>
      <c r="J545" s="62">
        <v>58743</v>
      </c>
      <c r="K545" s="62" t="s">
        <v>34</v>
      </c>
      <c r="L545" s="64">
        <v>5.7709003625963942E-2</v>
      </c>
      <c r="M545" s="62" t="s">
        <v>43</v>
      </c>
      <c r="N545" s="64">
        <f>Hashtags!$H545/Hashtags!$J545</f>
        <v>3.8762065267351001E-2</v>
      </c>
      <c r="O545" s="66">
        <f>(Hashtags!$L545+Hashtags!$N545)*100</f>
        <v>9.6471068893314946</v>
      </c>
    </row>
    <row r="546" spans="1:15" x14ac:dyDescent="0.25">
      <c r="A546" s="59" t="s">
        <v>332</v>
      </c>
      <c r="B546" s="59" t="s">
        <v>25</v>
      </c>
      <c r="C546" s="60">
        <v>45764</v>
      </c>
      <c r="D546" s="59" t="s">
        <v>26</v>
      </c>
      <c r="E546" s="59">
        <v>2009</v>
      </c>
      <c r="F546" s="59">
        <v>1037</v>
      </c>
      <c r="G546" s="59">
        <v>344</v>
      </c>
      <c r="H546" s="59">
        <v>2277</v>
      </c>
      <c r="I546" s="59">
        <v>85743</v>
      </c>
      <c r="J546" s="59">
        <v>58743</v>
      </c>
      <c r="K546" s="59" t="s">
        <v>34</v>
      </c>
      <c r="L546" s="61">
        <v>5.7709003625963942E-2</v>
      </c>
      <c r="M546" s="59" t="s">
        <v>44</v>
      </c>
      <c r="N546" s="61">
        <f>Hashtags!$H546/Hashtags!$J546</f>
        <v>3.8762065267351001E-2</v>
      </c>
      <c r="O546" s="65">
        <f>(Hashtags!$L546+Hashtags!$N546)*100</f>
        <v>9.6471068893314946</v>
      </c>
    </row>
    <row r="547" spans="1:15" x14ac:dyDescent="0.25">
      <c r="A547" s="62" t="s">
        <v>333</v>
      </c>
      <c r="B547" s="62" t="s">
        <v>25</v>
      </c>
      <c r="C547" s="63">
        <v>45624</v>
      </c>
      <c r="D547" s="62" t="s">
        <v>39</v>
      </c>
      <c r="E547" s="62">
        <v>18644</v>
      </c>
      <c r="F547" s="62">
        <v>1369</v>
      </c>
      <c r="G547" s="62">
        <v>887</v>
      </c>
      <c r="H547" s="62">
        <v>1256</v>
      </c>
      <c r="I547" s="62">
        <v>43415</v>
      </c>
      <c r="J547" s="62">
        <v>88368</v>
      </c>
      <c r="K547" s="62" t="s">
        <v>29</v>
      </c>
      <c r="L547" s="64">
        <v>0.23651095419156257</v>
      </c>
      <c r="M547" s="62" t="s">
        <v>40</v>
      </c>
      <c r="N547" s="64">
        <f>Hashtags!$H547/Hashtags!$J547</f>
        <v>1.4213289878689118E-2</v>
      </c>
      <c r="O547" s="66">
        <f>(Hashtags!$L547+Hashtags!$N547)*100</f>
        <v>25.072424407025167</v>
      </c>
    </row>
    <row r="548" spans="1:15" x14ac:dyDescent="0.25">
      <c r="A548" s="59" t="s">
        <v>333</v>
      </c>
      <c r="B548" s="59" t="s">
        <v>25</v>
      </c>
      <c r="C548" s="60">
        <v>45624</v>
      </c>
      <c r="D548" s="59" t="s">
        <v>39</v>
      </c>
      <c r="E548" s="59">
        <v>18644</v>
      </c>
      <c r="F548" s="59">
        <v>1369</v>
      </c>
      <c r="G548" s="59">
        <v>887</v>
      </c>
      <c r="H548" s="59">
        <v>1256</v>
      </c>
      <c r="I548" s="59">
        <v>43415</v>
      </c>
      <c r="J548" s="59">
        <v>88368</v>
      </c>
      <c r="K548" s="59" t="s">
        <v>29</v>
      </c>
      <c r="L548" s="61">
        <v>0.23651095419156257</v>
      </c>
      <c r="M548" s="59" t="s">
        <v>41</v>
      </c>
      <c r="N548" s="61">
        <f>Hashtags!$H548/Hashtags!$J548</f>
        <v>1.4213289878689118E-2</v>
      </c>
      <c r="O548" s="65">
        <f>(Hashtags!$L548+Hashtags!$N548)*100</f>
        <v>25.072424407025167</v>
      </c>
    </row>
    <row r="549" spans="1:15" x14ac:dyDescent="0.25">
      <c r="A549" s="62" t="s">
        <v>334</v>
      </c>
      <c r="B549" s="62" t="s">
        <v>20</v>
      </c>
      <c r="C549" s="63">
        <v>45920</v>
      </c>
      <c r="D549" s="62" t="s">
        <v>15</v>
      </c>
      <c r="E549" s="62">
        <v>24422</v>
      </c>
      <c r="F549" s="62">
        <v>327</v>
      </c>
      <c r="G549" s="62">
        <v>481</v>
      </c>
      <c r="H549" s="62">
        <v>2371</v>
      </c>
      <c r="I549" s="62">
        <v>35340</v>
      </c>
      <c r="J549" s="62">
        <v>245244</v>
      </c>
      <c r="K549" s="62" t="s">
        <v>23</v>
      </c>
      <c r="L549" s="64">
        <v>0.10287713460879777</v>
      </c>
      <c r="M549" s="62" t="s">
        <v>37</v>
      </c>
      <c r="N549" s="64">
        <f>Hashtags!$H549/Hashtags!$J549</f>
        <v>9.6679225587578081E-3</v>
      </c>
      <c r="O549" s="66">
        <f>(Hashtags!$L549+Hashtags!$N549)*100</f>
        <v>11.254505716755558</v>
      </c>
    </row>
    <row r="550" spans="1:15" x14ac:dyDescent="0.25">
      <c r="A550" s="59" t="s">
        <v>335</v>
      </c>
      <c r="B550" s="59" t="s">
        <v>25</v>
      </c>
      <c r="C550" s="60">
        <v>45602</v>
      </c>
      <c r="D550" s="59" t="s">
        <v>15</v>
      </c>
      <c r="E550" s="59">
        <v>11865</v>
      </c>
      <c r="F550" s="59">
        <v>241</v>
      </c>
      <c r="G550" s="59">
        <v>319</v>
      </c>
      <c r="H550" s="59">
        <v>703</v>
      </c>
      <c r="I550" s="59">
        <v>69596</v>
      </c>
      <c r="J550" s="59">
        <v>177513</v>
      </c>
      <c r="K550" s="59" t="s">
        <v>34</v>
      </c>
      <c r="L550" s="61">
        <v>6.999487361489018E-2</v>
      </c>
      <c r="M550" s="59" t="s">
        <v>40</v>
      </c>
      <c r="N550" s="61">
        <f>Hashtags!$H550/Hashtags!$J550</f>
        <v>3.9602733320939871E-3</v>
      </c>
      <c r="O550" s="65">
        <f>(Hashtags!$L550+Hashtags!$N550)*100</f>
        <v>7.3955146946984174</v>
      </c>
    </row>
    <row r="551" spans="1:15" x14ac:dyDescent="0.25">
      <c r="A551" s="62" t="s">
        <v>335</v>
      </c>
      <c r="B551" s="62" t="s">
        <v>25</v>
      </c>
      <c r="C551" s="63">
        <v>45602</v>
      </c>
      <c r="D551" s="62" t="s">
        <v>15</v>
      </c>
      <c r="E551" s="62">
        <v>11865</v>
      </c>
      <c r="F551" s="62">
        <v>241</v>
      </c>
      <c r="G551" s="62">
        <v>319</v>
      </c>
      <c r="H551" s="62">
        <v>703</v>
      </c>
      <c r="I551" s="62">
        <v>69596</v>
      </c>
      <c r="J551" s="62">
        <v>177513</v>
      </c>
      <c r="K551" s="62" t="s">
        <v>34</v>
      </c>
      <c r="L551" s="64">
        <v>6.999487361489018E-2</v>
      </c>
      <c r="M551" s="62" t="s">
        <v>41</v>
      </c>
      <c r="N551" s="64">
        <f>Hashtags!$H551/Hashtags!$J551</f>
        <v>3.9602733320939871E-3</v>
      </c>
      <c r="O551" s="66">
        <f>(Hashtags!$L551+Hashtags!$N551)*100</f>
        <v>7.3955146946984174</v>
      </c>
    </row>
    <row r="552" spans="1:15" x14ac:dyDescent="0.25">
      <c r="A552" s="59" t="s">
        <v>336</v>
      </c>
      <c r="B552" s="59" t="s">
        <v>14</v>
      </c>
      <c r="C552" s="60">
        <v>45613</v>
      </c>
      <c r="D552" s="59" t="s">
        <v>39</v>
      </c>
      <c r="E552" s="59">
        <v>4219</v>
      </c>
      <c r="F552" s="59">
        <v>240</v>
      </c>
      <c r="G552" s="59">
        <v>670</v>
      </c>
      <c r="H552" s="59">
        <v>815</v>
      </c>
      <c r="I552" s="59">
        <v>11978</v>
      </c>
      <c r="J552" s="59">
        <v>159735</v>
      </c>
      <c r="K552" s="59" t="s">
        <v>34</v>
      </c>
      <c r="L552" s="61">
        <v>3.2109431245500357E-2</v>
      </c>
      <c r="M552" s="59" t="s">
        <v>40</v>
      </c>
      <c r="N552" s="61">
        <f>Hashtags!$H552/Hashtags!$J552</f>
        <v>5.1022005196106049E-3</v>
      </c>
      <c r="O552" s="65">
        <f>(Hashtags!$L552+Hashtags!$N552)*100</f>
        <v>3.7211631765110962</v>
      </c>
    </row>
    <row r="553" spans="1:15" x14ac:dyDescent="0.25">
      <c r="A553" s="62" t="s">
        <v>336</v>
      </c>
      <c r="B553" s="62" t="s">
        <v>14</v>
      </c>
      <c r="C553" s="63">
        <v>45613</v>
      </c>
      <c r="D553" s="62" t="s">
        <v>39</v>
      </c>
      <c r="E553" s="62">
        <v>4219</v>
      </c>
      <c r="F553" s="62">
        <v>240</v>
      </c>
      <c r="G553" s="62">
        <v>670</v>
      </c>
      <c r="H553" s="62">
        <v>815</v>
      </c>
      <c r="I553" s="62">
        <v>11978</v>
      </c>
      <c r="J553" s="62">
        <v>159735</v>
      </c>
      <c r="K553" s="62" t="s">
        <v>34</v>
      </c>
      <c r="L553" s="64">
        <v>3.2109431245500357E-2</v>
      </c>
      <c r="M553" s="62" t="s">
        <v>41</v>
      </c>
      <c r="N553" s="64">
        <f>Hashtags!$H553/Hashtags!$J553</f>
        <v>5.1022005196106049E-3</v>
      </c>
      <c r="O553" s="66">
        <f>(Hashtags!$L553+Hashtags!$N553)*100</f>
        <v>3.7211631765110962</v>
      </c>
    </row>
    <row r="554" spans="1:15" x14ac:dyDescent="0.25">
      <c r="A554" s="59" t="s">
        <v>337</v>
      </c>
      <c r="B554" s="59" t="s">
        <v>25</v>
      </c>
      <c r="C554" s="60">
        <v>45791</v>
      </c>
      <c r="D554" s="59" t="s">
        <v>15</v>
      </c>
      <c r="E554" s="59">
        <v>9041</v>
      </c>
      <c r="F554" s="59">
        <v>1133</v>
      </c>
      <c r="G554" s="59">
        <v>612</v>
      </c>
      <c r="H554" s="59">
        <v>1687</v>
      </c>
      <c r="I554" s="59">
        <v>28102</v>
      </c>
      <c r="J554" s="59">
        <v>195683</v>
      </c>
      <c r="K554" s="59" t="s">
        <v>34</v>
      </c>
      <c r="L554" s="61">
        <v>5.5119760020032396E-2</v>
      </c>
      <c r="M554" s="59" t="s">
        <v>32</v>
      </c>
      <c r="N554" s="61">
        <f>Hashtags!$H554/Hashtags!$J554</f>
        <v>8.6210861444274665E-3</v>
      </c>
      <c r="O554" s="65">
        <f>(Hashtags!$L554+Hashtags!$N554)*100</f>
        <v>6.3740846164459866</v>
      </c>
    </row>
    <row r="555" spans="1:15" x14ac:dyDescent="0.25">
      <c r="A555" s="62" t="s">
        <v>337</v>
      </c>
      <c r="B555" s="62" t="s">
        <v>25</v>
      </c>
      <c r="C555" s="63">
        <v>45791</v>
      </c>
      <c r="D555" s="62" t="s">
        <v>15</v>
      </c>
      <c r="E555" s="62">
        <v>9041</v>
      </c>
      <c r="F555" s="62">
        <v>1133</v>
      </c>
      <c r="G555" s="62">
        <v>612</v>
      </c>
      <c r="H555" s="62">
        <v>1687</v>
      </c>
      <c r="I555" s="62">
        <v>28102</v>
      </c>
      <c r="J555" s="62">
        <v>195683</v>
      </c>
      <c r="K555" s="62" t="s">
        <v>34</v>
      </c>
      <c r="L555" s="64">
        <v>5.5119760020032396E-2</v>
      </c>
      <c r="M555" s="62" t="s">
        <v>57</v>
      </c>
      <c r="N555" s="64">
        <f>Hashtags!$H555/Hashtags!$J555</f>
        <v>8.6210861444274665E-3</v>
      </c>
      <c r="O555" s="66">
        <f>(Hashtags!$L555+Hashtags!$N555)*100</f>
        <v>6.3740846164459866</v>
      </c>
    </row>
    <row r="556" spans="1:15" x14ac:dyDescent="0.25">
      <c r="A556" s="59" t="s">
        <v>338</v>
      </c>
      <c r="B556" s="59" t="s">
        <v>47</v>
      </c>
      <c r="C556" s="60">
        <v>45462</v>
      </c>
      <c r="D556" s="59" t="s">
        <v>39</v>
      </c>
      <c r="E556" s="59">
        <v>20444</v>
      </c>
      <c r="F556" s="59">
        <v>233</v>
      </c>
      <c r="G556" s="59">
        <v>189</v>
      </c>
      <c r="H556" s="59">
        <v>2879</v>
      </c>
      <c r="I556" s="59">
        <v>28185</v>
      </c>
      <c r="J556" s="59">
        <v>159891</v>
      </c>
      <c r="K556" s="59" t="s">
        <v>34</v>
      </c>
      <c r="L556" s="61">
        <v>0.13050140408153055</v>
      </c>
      <c r="M556" s="59" t="s">
        <v>62</v>
      </c>
      <c r="N556" s="61">
        <f>Hashtags!$H556/Hashtags!$J556</f>
        <v>1.8006016598807937E-2</v>
      </c>
      <c r="O556" s="65">
        <f>(Hashtags!$L556+Hashtags!$N556)*100</f>
        <v>14.850742068033847</v>
      </c>
    </row>
    <row r="557" spans="1:15" x14ac:dyDescent="0.25">
      <c r="A557" s="62" t="s">
        <v>338</v>
      </c>
      <c r="B557" s="62" t="s">
        <v>47</v>
      </c>
      <c r="C557" s="63">
        <v>45462</v>
      </c>
      <c r="D557" s="62" t="s">
        <v>39</v>
      </c>
      <c r="E557" s="62">
        <v>20444</v>
      </c>
      <c r="F557" s="62">
        <v>233</v>
      </c>
      <c r="G557" s="62">
        <v>189</v>
      </c>
      <c r="H557" s="62">
        <v>2879</v>
      </c>
      <c r="I557" s="62">
        <v>28185</v>
      </c>
      <c r="J557" s="62">
        <v>159891</v>
      </c>
      <c r="K557" s="62" t="s">
        <v>34</v>
      </c>
      <c r="L557" s="64">
        <v>0.13050140408153055</v>
      </c>
      <c r="M557" s="62" t="s">
        <v>37</v>
      </c>
      <c r="N557" s="64">
        <f>Hashtags!$H557/Hashtags!$J557</f>
        <v>1.8006016598807937E-2</v>
      </c>
      <c r="O557" s="66">
        <f>(Hashtags!$L557+Hashtags!$N557)*100</f>
        <v>14.850742068033847</v>
      </c>
    </row>
    <row r="558" spans="1:15" x14ac:dyDescent="0.25">
      <c r="A558" s="59" t="s">
        <v>339</v>
      </c>
      <c r="B558" s="59" t="s">
        <v>47</v>
      </c>
      <c r="C558" s="60">
        <v>45783</v>
      </c>
      <c r="D558" s="59" t="s">
        <v>39</v>
      </c>
      <c r="E558" s="59">
        <v>7287</v>
      </c>
      <c r="F558" s="59">
        <v>1240</v>
      </c>
      <c r="G558" s="59">
        <v>686</v>
      </c>
      <c r="H558" s="59">
        <v>1255</v>
      </c>
      <c r="I558" s="59">
        <v>15403</v>
      </c>
      <c r="J558" s="59">
        <v>147971</v>
      </c>
      <c r="K558" s="59" t="s">
        <v>18</v>
      </c>
      <c r="L558" s="61">
        <v>6.2262200025680704E-2</v>
      </c>
      <c r="M558" s="59" t="s">
        <v>16</v>
      </c>
      <c r="N558" s="61">
        <f>Hashtags!$H558/Hashtags!$J558</f>
        <v>8.48139162403444E-3</v>
      </c>
      <c r="O558" s="65">
        <f>(Hashtags!$L558+Hashtags!$N558)*100</f>
        <v>7.0743591649715141</v>
      </c>
    </row>
    <row r="559" spans="1:15" x14ac:dyDescent="0.25">
      <c r="A559" s="62" t="s">
        <v>339</v>
      </c>
      <c r="B559" s="62" t="s">
        <v>47</v>
      </c>
      <c r="C559" s="63">
        <v>45783</v>
      </c>
      <c r="D559" s="62" t="s">
        <v>39</v>
      </c>
      <c r="E559" s="62">
        <v>7287</v>
      </c>
      <c r="F559" s="62">
        <v>1240</v>
      </c>
      <c r="G559" s="62">
        <v>686</v>
      </c>
      <c r="H559" s="62">
        <v>1255</v>
      </c>
      <c r="I559" s="62">
        <v>15403</v>
      </c>
      <c r="J559" s="62">
        <v>147971</v>
      </c>
      <c r="K559" s="62" t="s">
        <v>18</v>
      </c>
      <c r="L559" s="64">
        <v>6.2262200025680704E-2</v>
      </c>
      <c r="M559" s="62" t="s">
        <v>17</v>
      </c>
      <c r="N559" s="64">
        <f>Hashtags!$H559/Hashtags!$J559</f>
        <v>8.48139162403444E-3</v>
      </c>
      <c r="O559" s="66">
        <f>(Hashtags!$L559+Hashtags!$N559)*100</f>
        <v>7.0743591649715141</v>
      </c>
    </row>
    <row r="560" spans="1:15" x14ac:dyDescent="0.25">
      <c r="A560" s="59" t="s">
        <v>340</v>
      </c>
      <c r="B560" s="59" t="s">
        <v>20</v>
      </c>
      <c r="C560" s="60">
        <v>45699</v>
      </c>
      <c r="D560" s="59" t="s">
        <v>39</v>
      </c>
      <c r="E560" s="59">
        <v>3619</v>
      </c>
      <c r="F560" s="59">
        <v>1376</v>
      </c>
      <c r="G560" s="59">
        <v>410</v>
      </c>
      <c r="H560" s="59">
        <v>2499</v>
      </c>
      <c r="I560" s="59">
        <v>58146</v>
      </c>
      <c r="J560" s="59">
        <v>52149</v>
      </c>
      <c r="K560" s="59" t="s">
        <v>18</v>
      </c>
      <c r="L560" s="61">
        <v>0.10364532397553165</v>
      </c>
      <c r="M560" s="59" t="s">
        <v>122</v>
      </c>
      <c r="N560" s="61">
        <f>Hashtags!$H560/Hashtags!$J560</f>
        <v>4.7920381982396593E-2</v>
      </c>
      <c r="O560" s="65">
        <f>(Hashtags!$L560+Hashtags!$N560)*100</f>
        <v>15.156570595792823</v>
      </c>
    </row>
    <row r="561" spans="1:15" x14ac:dyDescent="0.25">
      <c r="A561" s="62" t="s">
        <v>340</v>
      </c>
      <c r="B561" s="62" t="s">
        <v>20</v>
      </c>
      <c r="C561" s="63">
        <v>45699</v>
      </c>
      <c r="D561" s="62" t="s">
        <v>39</v>
      </c>
      <c r="E561" s="62">
        <v>3619</v>
      </c>
      <c r="F561" s="62">
        <v>1376</v>
      </c>
      <c r="G561" s="62">
        <v>410</v>
      </c>
      <c r="H561" s="62">
        <v>2499</v>
      </c>
      <c r="I561" s="62">
        <v>58146</v>
      </c>
      <c r="J561" s="62">
        <v>52149</v>
      </c>
      <c r="K561" s="62" t="s">
        <v>18</v>
      </c>
      <c r="L561" s="64">
        <v>0.10364532397553165</v>
      </c>
      <c r="M561" s="62" t="s">
        <v>123</v>
      </c>
      <c r="N561" s="64">
        <f>Hashtags!$H561/Hashtags!$J561</f>
        <v>4.7920381982396593E-2</v>
      </c>
      <c r="O561" s="66">
        <f>(Hashtags!$L561+Hashtags!$N561)*100</f>
        <v>15.156570595792823</v>
      </c>
    </row>
    <row r="562" spans="1:15" x14ac:dyDescent="0.25">
      <c r="A562" s="59" t="s">
        <v>341</v>
      </c>
      <c r="B562" s="59" t="s">
        <v>47</v>
      </c>
      <c r="C562" s="60">
        <v>45650</v>
      </c>
      <c r="D562" s="59" t="s">
        <v>15</v>
      </c>
      <c r="E562" s="59">
        <v>10512</v>
      </c>
      <c r="F562" s="59">
        <v>1197</v>
      </c>
      <c r="G562" s="59">
        <v>544</v>
      </c>
      <c r="H562" s="59">
        <v>2012</v>
      </c>
      <c r="I562" s="59">
        <v>10245</v>
      </c>
      <c r="J562" s="59">
        <v>140102</v>
      </c>
      <c r="K562" s="59" t="s">
        <v>18</v>
      </c>
      <c r="L562" s="61">
        <v>8.745770938316369E-2</v>
      </c>
      <c r="M562" s="59" t="s">
        <v>71</v>
      </c>
      <c r="N562" s="61">
        <f>Hashtags!$H562/Hashtags!$J562</f>
        <v>1.4360965582218669E-2</v>
      </c>
      <c r="O562" s="65">
        <f>(Hashtags!$L562+Hashtags!$N562)*100</f>
        <v>10.181867496538235</v>
      </c>
    </row>
    <row r="563" spans="1:15" x14ac:dyDescent="0.25">
      <c r="A563" s="62" t="s">
        <v>342</v>
      </c>
      <c r="B563" s="62" t="s">
        <v>14</v>
      </c>
      <c r="C563" s="63">
        <v>45924</v>
      </c>
      <c r="D563" s="62" t="s">
        <v>26</v>
      </c>
      <c r="E563" s="62">
        <v>3342</v>
      </c>
      <c r="F563" s="62">
        <v>787</v>
      </c>
      <c r="G563" s="62">
        <v>375</v>
      </c>
      <c r="H563" s="62">
        <v>907</v>
      </c>
      <c r="I563" s="62">
        <v>85823</v>
      </c>
      <c r="J563" s="62">
        <v>99189</v>
      </c>
      <c r="K563" s="62" t="s">
        <v>23</v>
      </c>
      <c r="L563" s="64">
        <v>4.5408260996683103E-2</v>
      </c>
      <c r="M563" s="62" t="s">
        <v>48</v>
      </c>
      <c r="N563" s="64">
        <f>Hashtags!$H563/Hashtags!$J563</f>
        <v>9.1441591305487496E-3</v>
      </c>
      <c r="O563" s="66">
        <f>(Hashtags!$L563+Hashtags!$N563)*100</f>
        <v>5.4552420127231853</v>
      </c>
    </row>
    <row r="564" spans="1:15" x14ac:dyDescent="0.25">
      <c r="A564" s="59" t="s">
        <v>342</v>
      </c>
      <c r="B564" s="59" t="s">
        <v>14</v>
      </c>
      <c r="C564" s="60">
        <v>45924</v>
      </c>
      <c r="D564" s="59" t="s">
        <v>26</v>
      </c>
      <c r="E564" s="59">
        <v>3342</v>
      </c>
      <c r="F564" s="59">
        <v>787</v>
      </c>
      <c r="G564" s="59">
        <v>375</v>
      </c>
      <c r="H564" s="59">
        <v>907</v>
      </c>
      <c r="I564" s="59">
        <v>85823</v>
      </c>
      <c r="J564" s="59">
        <v>99189</v>
      </c>
      <c r="K564" s="59" t="s">
        <v>23</v>
      </c>
      <c r="L564" s="61">
        <v>4.5408260996683103E-2</v>
      </c>
      <c r="M564" s="59" t="s">
        <v>32</v>
      </c>
      <c r="N564" s="61">
        <f>Hashtags!$H564/Hashtags!$J564</f>
        <v>9.1441591305487496E-3</v>
      </c>
      <c r="O564" s="65">
        <f>(Hashtags!$L564+Hashtags!$N564)*100</f>
        <v>5.4552420127231853</v>
      </c>
    </row>
    <row r="565" spans="1:15" x14ac:dyDescent="0.25">
      <c r="A565" s="62" t="s">
        <v>343</v>
      </c>
      <c r="B565" s="62" t="s">
        <v>25</v>
      </c>
      <c r="C565" s="63">
        <v>45925</v>
      </c>
      <c r="D565" s="62" t="s">
        <v>39</v>
      </c>
      <c r="E565" s="62">
        <v>12568</v>
      </c>
      <c r="F565" s="62">
        <v>541</v>
      </c>
      <c r="G565" s="62">
        <v>273</v>
      </c>
      <c r="H565" s="62">
        <v>2767</v>
      </c>
      <c r="I565" s="62">
        <v>22331</v>
      </c>
      <c r="J565" s="62">
        <v>192747</v>
      </c>
      <c r="K565" s="62" t="s">
        <v>23</v>
      </c>
      <c r="L565" s="64">
        <v>6.9427799135654514E-2</v>
      </c>
      <c r="M565" s="62" t="s">
        <v>62</v>
      </c>
      <c r="N565" s="64">
        <f>Hashtags!$H565/Hashtags!$J565</f>
        <v>1.4355606053531313E-2</v>
      </c>
      <c r="O565" s="66">
        <f>(Hashtags!$L565+Hashtags!$N565)*100</f>
        <v>8.3783405189185824</v>
      </c>
    </row>
    <row r="566" spans="1:15" x14ac:dyDescent="0.25">
      <c r="A566" s="59" t="s">
        <v>343</v>
      </c>
      <c r="B566" s="59" t="s">
        <v>25</v>
      </c>
      <c r="C566" s="60">
        <v>45925</v>
      </c>
      <c r="D566" s="59" t="s">
        <v>39</v>
      </c>
      <c r="E566" s="59">
        <v>12568</v>
      </c>
      <c r="F566" s="59">
        <v>541</v>
      </c>
      <c r="G566" s="59">
        <v>273</v>
      </c>
      <c r="H566" s="59">
        <v>2767</v>
      </c>
      <c r="I566" s="59">
        <v>22331</v>
      </c>
      <c r="J566" s="59">
        <v>192747</v>
      </c>
      <c r="K566" s="59" t="s">
        <v>23</v>
      </c>
      <c r="L566" s="61">
        <v>6.9427799135654514E-2</v>
      </c>
      <c r="M566" s="59" t="s">
        <v>37</v>
      </c>
      <c r="N566" s="61">
        <f>Hashtags!$H566/Hashtags!$J566</f>
        <v>1.4355606053531313E-2</v>
      </c>
      <c r="O566" s="65">
        <f>(Hashtags!$L566+Hashtags!$N566)*100</f>
        <v>8.3783405189185824</v>
      </c>
    </row>
    <row r="567" spans="1:15" x14ac:dyDescent="0.25">
      <c r="A567" s="62" t="s">
        <v>344</v>
      </c>
      <c r="B567" s="62" t="s">
        <v>20</v>
      </c>
      <c r="C567" s="63">
        <v>45926</v>
      </c>
      <c r="D567" s="62" t="s">
        <v>31</v>
      </c>
      <c r="E567" s="62">
        <v>21216</v>
      </c>
      <c r="F567" s="62">
        <v>226</v>
      </c>
      <c r="G567" s="62">
        <v>187</v>
      </c>
      <c r="H567" s="62">
        <v>1573</v>
      </c>
      <c r="I567" s="62">
        <v>62688</v>
      </c>
      <c r="J567" s="62">
        <v>111031</v>
      </c>
      <c r="K567" s="62" t="s">
        <v>23</v>
      </c>
      <c r="L567" s="64">
        <v>0.19480145184678152</v>
      </c>
      <c r="M567" s="62" t="s">
        <v>48</v>
      </c>
      <c r="N567" s="64">
        <f>Hashtags!$H567/Hashtags!$J567</f>
        <v>1.4167214561698985E-2</v>
      </c>
      <c r="O567" s="66">
        <f>(Hashtags!$L567+Hashtags!$N567)*100</f>
        <v>20.896866640848049</v>
      </c>
    </row>
    <row r="568" spans="1:15" x14ac:dyDescent="0.25">
      <c r="A568" s="59" t="s">
        <v>344</v>
      </c>
      <c r="B568" s="59" t="s">
        <v>20</v>
      </c>
      <c r="C568" s="60">
        <v>45926</v>
      </c>
      <c r="D568" s="59" t="s">
        <v>31</v>
      </c>
      <c r="E568" s="59">
        <v>21216</v>
      </c>
      <c r="F568" s="59">
        <v>226</v>
      </c>
      <c r="G568" s="59">
        <v>187</v>
      </c>
      <c r="H568" s="59">
        <v>1573</v>
      </c>
      <c r="I568" s="59">
        <v>62688</v>
      </c>
      <c r="J568" s="59">
        <v>111031</v>
      </c>
      <c r="K568" s="59" t="s">
        <v>23</v>
      </c>
      <c r="L568" s="61">
        <v>0.19480145184678152</v>
      </c>
      <c r="M568" s="59" t="s">
        <v>32</v>
      </c>
      <c r="N568" s="61">
        <f>Hashtags!$H568/Hashtags!$J568</f>
        <v>1.4167214561698985E-2</v>
      </c>
      <c r="O568" s="65">
        <f>(Hashtags!$L568+Hashtags!$N568)*100</f>
        <v>20.896866640848049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94855-ED76-4A3B-8675-0DC610A7F435}">
  <dimension ref="A1:H6"/>
  <sheetViews>
    <sheetView workbookViewId="0">
      <selection activeCell="H2" sqref="H2:H6"/>
    </sheetView>
  </sheetViews>
  <sheetFormatPr defaultRowHeight="15" x14ac:dyDescent="0.25"/>
  <cols>
    <col min="1" max="1" width="28.85546875" bestFit="1" customWidth="1"/>
    <col min="2" max="2" width="12.5703125" bestFit="1" customWidth="1"/>
    <col min="3" max="3" width="11.7109375" bestFit="1" customWidth="1"/>
    <col min="4" max="4" width="26.140625" bestFit="1" customWidth="1"/>
    <col min="5" max="5" width="12.28515625" bestFit="1" customWidth="1"/>
    <col min="6" max="6" width="14" bestFit="1" customWidth="1"/>
    <col min="7" max="7" width="20.7109375" bestFit="1" customWidth="1"/>
    <col min="8" max="8" width="15.28515625" customWidth="1"/>
  </cols>
  <sheetData>
    <row r="1" spans="1:8" x14ac:dyDescent="0.25">
      <c r="A1" s="37" t="s">
        <v>351</v>
      </c>
      <c r="B1" s="38" t="s">
        <v>352</v>
      </c>
      <c r="C1" s="38" t="s">
        <v>353</v>
      </c>
      <c r="D1" s="38" t="s">
        <v>354</v>
      </c>
      <c r="E1" s="38" t="s">
        <v>350</v>
      </c>
      <c r="F1" s="38" t="s">
        <v>11</v>
      </c>
      <c r="G1" s="56" t="s">
        <v>355</v>
      </c>
      <c r="H1" s="38" t="s">
        <v>454</v>
      </c>
    </row>
    <row r="2" spans="1:8" x14ac:dyDescent="0.25">
      <c r="A2" s="36" t="s">
        <v>34</v>
      </c>
      <c r="B2" s="41">
        <v>45458</v>
      </c>
      <c r="C2" s="41">
        <v>45488</v>
      </c>
      <c r="D2" s="29" t="s">
        <v>356</v>
      </c>
      <c r="E2" s="49">
        <v>85000</v>
      </c>
      <c r="F2" s="29">
        <v>950000</v>
      </c>
      <c r="G2" s="45">
        <v>0.45</v>
      </c>
      <c r="H2">
        <f>SUMIFS( Table8_1[Follower Gain],Table8_1[Week_Start_Date],"&gt;="&amp;Table1[[#This Row],[Start_Date]],Table8_1[Week_Start_Date],"&lt;="&amp;Table1[[#This Row],[End_Date]])</f>
        <v>106800</v>
      </c>
    </row>
    <row r="3" spans="1:8" x14ac:dyDescent="0.25">
      <c r="A3" s="36" t="s">
        <v>52</v>
      </c>
      <c r="B3" s="41">
        <v>45566</v>
      </c>
      <c r="C3" s="41">
        <v>45596</v>
      </c>
      <c r="D3" s="29" t="s">
        <v>357</v>
      </c>
      <c r="E3" s="49">
        <v>60000</v>
      </c>
      <c r="F3" s="29">
        <v>780000</v>
      </c>
      <c r="G3" s="45">
        <v>0.38</v>
      </c>
      <c r="H3">
        <f>SUMIFS( Table8_1[Follower Gain],Table8_1[Week_Start_Date],"&gt;="&amp;Table1[[#This Row],[Start_Date]],Table8_1[Week_Start_Date],"&lt;="&amp;Table1[[#This Row],[End_Date]])</f>
        <v>99093</v>
      </c>
    </row>
    <row r="4" spans="1:8" x14ac:dyDescent="0.25">
      <c r="A4" s="36" t="s">
        <v>18</v>
      </c>
      <c r="B4" s="41">
        <v>45651</v>
      </c>
      <c r="C4" s="41">
        <v>45667</v>
      </c>
      <c r="D4" s="29" t="s">
        <v>358</v>
      </c>
      <c r="E4" s="49">
        <v>55000</v>
      </c>
      <c r="F4" s="29">
        <v>700000</v>
      </c>
      <c r="G4" s="45">
        <v>0.41</v>
      </c>
      <c r="H4">
        <f>SUMIFS( Table8_1[Follower Gain],Table8_1[Week_Start_Date],"&gt;="&amp;Table1[[#This Row],[Start_Date]],Table8_1[Week_Start_Date],"&lt;="&amp;Table1[[#This Row],[End_Date]])</f>
        <v>50927</v>
      </c>
    </row>
    <row r="5" spans="1:8" x14ac:dyDescent="0.25">
      <c r="A5" s="36" t="s">
        <v>29</v>
      </c>
      <c r="B5" s="41">
        <v>45717</v>
      </c>
      <c r="C5" s="41">
        <v>45747</v>
      </c>
      <c r="D5" s="29" t="s">
        <v>359</v>
      </c>
      <c r="E5" s="49">
        <v>40000</v>
      </c>
      <c r="F5" s="29">
        <v>550000</v>
      </c>
      <c r="G5" s="45">
        <v>0.32</v>
      </c>
      <c r="H5">
        <f>SUMIFS( Table8_1[Follower Gain],Table8_1[Week_Start_Date],"&gt;="&amp;Table1[[#This Row],[Start_Date]],Table8_1[Week_Start_Date],"&lt;="&amp;Table1[[#This Row],[End_Date]])</f>
        <v>107259</v>
      </c>
    </row>
    <row r="6" spans="1:8" x14ac:dyDescent="0.25">
      <c r="A6" s="39" t="s">
        <v>23</v>
      </c>
      <c r="B6" s="42">
        <v>45901</v>
      </c>
      <c r="C6" s="42">
        <v>45930</v>
      </c>
      <c r="D6" s="34" t="s">
        <v>360</v>
      </c>
      <c r="E6" s="55">
        <v>75000</v>
      </c>
      <c r="F6" s="34">
        <v>880000</v>
      </c>
      <c r="G6" s="45">
        <v>0.47</v>
      </c>
      <c r="H6">
        <f>SUMIFS( Table8_1[Follower Gain],Table8_1[Week_Start_Date],"&gt;="&amp;Table1[[#This Row],[Start_Date]],Table8_1[Week_Start_Date],"&lt;="&amp;Table1[[#This Row],[End_Date]])</f>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81FFB-631D-4E0E-B46B-4A7AD1CD088A}">
  <dimension ref="A1:I201"/>
  <sheetViews>
    <sheetView topLeftCell="A49" workbookViewId="0">
      <selection activeCell="G81" sqref="G81"/>
    </sheetView>
  </sheetViews>
  <sheetFormatPr defaultRowHeight="15" x14ac:dyDescent="0.25"/>
  <cols>
    <col min="1" max="1" width="21.28515625" customWidth="1"/>
    <col min="2" max="2" width="13.28515625" bestFit="1" customWidth="1"/>
    <col min="3" max="3" width="19.5703125" bestFit="1" customWidth="1"/>
    <col min="4" max="4" width="14.7109375" bestFit="1" customWidth="1"/>
    <col min="5" max="5" width="19.85546875" bestFit="1" customWidth="1"/>
    <col min="6" max="6" width="21.85546875" bestFit="1" customWidth="1"/>
    <col min="7" max="7" width="14.5703125" bestFit="1" customWidth="1"/>
    <col min="8" max="8" width="14.28515625" customWidth="1"/>
    <col min="9" max="9" width="15.5703125" customWidth="1"/>
    <col min="10" max="10" width="19" bestFit="1" customWidth="1"/>
    <col min="11" max="11" width="11" bestFit="1" customWidth="1"/>
    <col min="12" max="12" width="17.28515625" bestFit="1" customWidth="1"/>
    <col min="13" max="13" width="12.42578125" bestFit="1" customWidth="1"/>
    <col min="14" max="14" width="17.5703125" bestFit="1" customWidth="1"/>
    <col min="15" max="15" width="19.5703125" bestFit="1" customWidth="1"/>
    <col min="16" max="16" width="12.28515625" bestFit="1" customWidth="1"/>
    <col min="17" max="17" width="14.42578125" bestFit="1" customWidth="1"/>
    <col min="18" max="18" width="15.85546875" bestFit="1" customWidth="1"/>
  </cols>
  <sheetData>
    <row r="1" spans="1:9" x14ac:dyDescent="0.25">
      <c r="A1" t="s">
        <v>345</v>
      </c>
      <c r="B1" t="s">
        <v>1</v>
      </c>
      <c r="C1" t="s">
        <v>346</v>
      </c>
      <c r="D1" t="s">
        <v>347</v>
      </c>
      <c r="E1" t="s">
        <v>348</v>
      </c>
      <c r="F1" t="s">
        <v>349</v>
      </c>
      <c r="G1" t="s">
        <v>350</v>
      </c>
      <c r="H1" t="s">
        <v>467</v>
      </c>
      <c r="I1" t="s">
        <v>454</v>
      </c>
    </row>
    <row r="2" spans="1:9" x14ac:dyDescent="0.25">
      <c r="A2" s="43">
        <v>45446</v>
      </c>
      <c r="B2" t="s">
        <v>25</v>
      </c>
      <c r="C2">
        <v>4138</v>
      </c>
      <c r="D2">
        <v>361</v>
      </c>
      <c r="E2">
        <v>103777</v>
      </c>
      <c r="F2">
        <v>56.637790647253247</v>
      </c>
      <c r="G2">
        <v>23944</v>
      </c>
      <c r="H2" s="44">
        <v>3.6395347716738774E-2</v>
      </c>
      <c r="I2">
        <v>3777</v>
      </c>
    </row>
    <row r="3" spans="1:9" x14ac:dyDescent="0.25">
      <c r="A3" s="43">
        <v>45446</v>
      </c>
      <c r="B3" t="s">
        <v>47</v>
      </c>
      <c r="C3">
        <v>8693</v>
      </c>
      <c r="D3">
        <v>1261</v>
      </c>
      <c r="E3">
        <v>111209</v>
      </c>
      <c r="F3">
        <v>69.475492091467416</v>
      </c>
      <c r="G3">
        <v>29873</v>
      </c>
      <c r="H3" s="44">
        <v>6.6829123542159363E-2</v>
      </c>
      <c r="I3">
        <v>7432</v>
      </c>
    </row>
    <row r="4" spans="1:9" x14ac:dyDescent="0.25">
      <c r="A4" s="43">
        <v>45446</v>
      </c>
      <c r="B4" t="s">
        <v>14</v>
      </c>
      <c r="C4">
        <v>9264</v>
      </c>
      <c r="D4">
        <v>1141</v>
      </c>
      <c r="E4">
        <v>119332</v>
      </c>
      <c r="F4">
        <v>92.312204605638044</v>
      </c>
      <c r="G4">
        <v>50372</v>
      </c>
      <c r="H4" s="44">
        <v>6.8070592967519189E-2</v>
      </c>
      <c r="I4">
        <v>8123</v>
      </c>
    </row>
    <row r="5" spans="1:9" x14ac:dyDescent="0.25">
      <c r="A5" s="43">
        <v>45446</v>
      </c>
      <c r="B5" t="s">
        <v>14</v>
      </c>
      <c r="C5">
        <v>8842</v>
      </c>
      <c r="D5">
        <v>971</v>
      </c>
      <c r="E5">
        <v>127203</v>
      </c>
      <c r="F5">
        <v>16.351815601833291</v>
      </c>
      <c r="G5">
        <v>33928</v>
      </c>
      <c r="H5" s="44">
        <v>6.1877471443283573E-2</v>
      </c>
      <c r="I5">
        <v>7871</v>
      </c>
    </row>
    <row r="6" spans="1:9" x14ac:dyDescent="0.25">
      <c r="A6" s="43">
        <v>45453</v>
      </c>
      <c r="B6" t="s">
        <v>25</v>
      </c>
      <c r="C6">
        <v>7721</v>
      </c>
      <c r="D6">
        <v>506</v>
      </c>
      <c r="E6">
        <v>134418</v>
      </c>
      <c r="F6">
        <v>35.577824398518047</v>
      </c>
      <c r="G6">
        <v>25379</v>
      </c>
      <c r="H6" s="44">
        <v>5.3675846984778827E-2</v>
      </c>
      <c r="I6">
        <v>7215</v>
      </c>
    </row>
    <row r="7" spans="1:9" x14ac:dyDescent="0.25">
      <c r="A7" s="43">
        <v>45453</v>
      </c>
      <c r="B7" t="s">
        <v>14</v>
      </c>
      <c r="C7">
        <v>8002</v>
      </c>
      <c r="D7">
        <v>524</v>
      </c>
      <c r="E7">
        <v>141896</v>
      </c>
      <c r="F7">
        <v>52.064892597395271</v>
      </c>
      <c r="G7">
        <v>46751</v>
      </c>
      <c r="H7" s="44">
        <v>5.270056943113266E-2</v>
      </c>
      <c r="I7">
        <v>7478</v>
      </c>
    </row>
    <row r="8" spans="1:9" x14ac:dyDescent="0.25">
      <c r="A8" s="43">
        <v>45453</v>
      </c>
      <c r="B8" t="s">
        <v>47</v>
      </c>
      <c r="C8">
        <v>5225</v>
      </c>
      <c r="D8">
        <v>291</v>
      </c>
      <c r="E8">
        <v>146830</v>
      </c>
      <c r="F8">
        <v>19.551862698358651</v>
      </c>
      <c r="G8">
        <v>44546</v>
      </c>
      <c r="H8" s="44">
        <v>3.3603487025812166E-2</v>
      </c>
      <c r="I8">
        <v>4934</v>
      </c>
    </row>
    <row r="9" spans="1:9" x14ac:dyDescent="0.25">
      <c r="A9" s="43">
        <v>45453</v>
      </c>
      <c r="B9" t="s">
        <v>47</v>
      </c>
      <c r="C9">
        <v>3978</v>
      </c>
      <c r="D9">
        <v>543</v>
      </c>
      <c r="E9">
        <v>150265</v>
      </c>
      <c r="F9">
        <v>49.159817655475329</v>
      </c>
      <c r="G9">
        <v>34286</v>
      </c>
      <c r="H9" s="44">
        <v>2.2859614680730708E-2</v>
      </c>
      <c r="I9">
        <v>3435</v>
      </c>
    </row>
    <row r="10" spans="1:9" x14ac:dyDescent="0.25">
      <c r="A10" s="43">
        <v>45460</v>
      </c>
      <c r="B10" t="s">
        <v>25</v>
      </c>
      <c r="C10">
        <v>8373</v>
      </c>
      <c r="D10">
        <v>921</v>
      </c>
      <c r="E10">
        <v>157717</v>
      </c>
      <c r="F10">
        <v>12.2263294381709</v>
      </c>
      <c r="G10">
        <v>15110</v>
      </c>
      <c r="H10" s="44">
        <v>4.7249186834646864E-2</v>
      </c>
      <c r="I10">
        <v>7452</v>
      </c>
    </row>
    <row r="11" spans="1:9" x14ac:dyDescent="0.25">
      <c r="A11" s="43">
        <v>45460</v>
      </c>
      <c r="B11" t="s">
        <v>47</v>
      </c>
      <c r="C11">
        <v>6907</v>
      </c>
      <c r="D11">
        <v>834</v>
      </c>
      <c r="E11">
        <v>163790</v>
      </c>
      <c r="F11">
        <v>54.158984064961238</v>
      </c>
      <c r="G11">
        <v>22087</v>
      </c>
      <c r="H11" s="44">
        <v>3.7077965687770928E-2</v>
      </c>
      <c r="I11">
        <v>6073</v>
      </c>
    </row>
    <row r="12" spans="1:9" x14ac:dyDescent="0.25">
      <c r="A12" s="43">
        <v>45460</v>
      </c>
      <c r="B12" t="s">
        <v>20</v>
      </c>
      <c r="C12">
        <v>7097</v>
      </c>
      <c r="D12">
        <v>369</v>
      </c>
      <c r="E12">
        <v>170518</v>
      </c>
      <c r="F12">
        <v>9.2506362964613711</v>
      </c>
      <c r="G12">
        <v>33762</v>
      </c>
      <c r="H12" s="44">
        <v>3.9456245088495059E-2</v>
      </c>
      <c r="I12">
        <v>6728</v>
      </c>
    </row>
    <row r="13" spans="1:9" x14ac:dyDescent="0.25">
      <c r="A13" s="43">
        <v>45460</v>
      </c>
      <c r="B13" t="s">
        <v>25</v>
      </c>
      <c r="C13">
        <v>6656</v>
      </c>
      <c r="D13">
        <v>978</v>
      </c>
      <c r="E13">
        <v>176196</v>
      </c>
      <c r="F13">
        <v>60.425889350496043</v>
      </c>
      <c r="G13">
        <v>27081</v>
      </c>
      <c r="H13" s="44">
        <v>3.2225476174260484E-2</v>
      </c>
      <c r="I13">
        <v>5678</v>
      </c>
    </row>
    <row r="14" spans="1:9" x14ac:dyDescent="0.25">
      <c r="A14" s="43">
        <v>45467</v>
      </c>
      <c r="B14" t="s">
        <v>47</v>
      </c>
      <c r="C14">
        <v>9984</v>
      </c>
      <c r="D14">
        <v>1330</v>
      </c>
      <c r="E14">
        <v>184850</v>
      </c>
      <c r="F14">
        <v>57.524479307546663</v>
      </c>
      <c r="G14">
        <v>44947</v>
      </c>
      <c r="H14" s="44">
        <v>4.6816337571003515E-2</v>
      </c>
      <c r="I14">
        <v>8654</v>
      </c>
    </row>
    <row r="15" spans="1:9" x14ac:dyDescent="0.25">
      <c r="A15" s="43">
        <v>45467</v>
      </c>
      <c r="B15" t="s">
        <v>25</v>
      </c>
      <c r="C15">
        <v>5259</v>
      </c>
      <c r="D15">
        <v>374</v>
      </c>
      <c r="E15">
        <v>189735</v>
      </c>
      <c r="F15">
        <v>14.827522597306769</v>
      </c>
      <c r="G15">
        <v>19596</v>
      </c>
      <c r="H15" s="44">
        <v>2.5746435818378266E-2</v>
      </c>
      <c r="I15">
        <v>4885</v>
      </c>
    </row>
    <row r="16" spans="1:9" x14ac:dyDescent="0.25">
      <c r="A16" s="43">
        <v>45467</v>
      </c>
      <c r="B16" t="s">
        <v>14</v>
      </c>
      <c r="C16">
        <v>9286</v>
      </c>
      <c r="D16">
        <v>633</v>
      </c>
      <c r="E16">
        <v>198388</v>
      </c>
      <c r="F16">
        <v>5.4343004617214756</v>
      </c>
      <c r="G16">
        <v>48019</v>
      </c>
      <c r="H16" s="44">
        <v>4.3616549388067825E-2</v>
      </c>
      <c r="I16">
        <v>8653</v>
      </c>
    </row>
    <row r="17" spans="1:9" x14ac:dyDescent="0.25">
      <c r="A17" s="43">
        <v>45467</v>
      </c>
      <c r="B17" t="s">
        <v>47</v>
      </c>
      <c r="C17">
        <v>6901</v>
      </c>
      <c r="D17">
        <v>471</v>
      </c>
      <c r="E17">
        <v>204818</v>
      </c>
      <c r="F17">
        <v>60.827661631301943</v>
      </c>
      <c r="G17">
        <v>52003</v>
      </c>
      <c r="H17" s="44">
        <v>3.1393725160874533E-2</v>
      </c>
      <c r="I17">
        <v>6430</v>
      </c>
    </row>
    <row r="18" spans="1:9" x14ac:dyDescent="0.25">
      <c r="A18" s="43">
        <v>45474</v>
      </c>
      <c r="B18" t="s">
        <v>20</v>
      </c>
      <c r="C18">
        <v>5917</v>
      </c>
      <c r="D18">
        <v>475</v>
      </c>
      <c r="E18">
        <v>210260</v>
      </c>
      <c r="F18">
        <v>17.894035955483691</v>
      </c>
      <c r="G18">
        <v>28313</v>
      </c>
      <c r="H18" s="44">
        <v>2.5882241034909159E-2</v>
      </c>
      <c r="I18">
        <v>5442</v>
      </c>
    </row>
    <row r="19" spans="1:9" x14ac:dyDescent="0.25">
      <c r="A19" s="43">
        <v>45474</v>
      </c>
      <c r="B19" t="s">
        <v>47</v>
      </c>
      <c r="C19">
        <v>9429</v>
      </c>
      <c r="D19">
        <v>966</v>
      </c>
      <c r="E19">
        <v>218723</v>
      </c>
      <c r="F19">
        <v>7.6914636320825887</v>
      </c>
      <c r="G19">
        <v>57639</v>
      </c>
      <c r="H19" s="44">
        <v>3.8692775794040866E-2</v>
      </c>
      <c r="I19">
        <v>8463</v>
      </c>
    </row>
    <row r="20" spans="1:9" x14ac:dyDescent="0.25">
      <c r="A20" s="43">
        <v>45474</v>
      </c>
      <c r="B20" t="s">
        <v>25</v>
      </c>
      <c r="C20">
        <v>3530</v>
      </c>
      <c r="D20">
        <v>328</v>
      </c>
      <c r="E20">
        <v>221925</v>
      </c>
      <c r="F20">
        <v>12.8372197814577</v>
      </c>
      <c r="G20">
        <v>11013</v>
      </c>
      <c r="H20" s="44">
        <v>1.4428297848372199E-2</v>
      </c>
      <c r="I20">
        <v>3202</v>
      </c>
    </row>
    <row r="21" spans="1:9" x14ac:dyDescent="0.25">
      <c r="A21" s="43">
        <v>45474</v>
      </c>
      <c r="B21" t="s">
        <v>25</v>
      </c>
      <c r="C21">
        <v>2960</v>
      </c>
      <c r="D21">
        <v>234</v>
      </c>
      <c r="E21">
        <v>224651</v>
      </c>
      <c r="F21">
        <v>17.41278694508371</v>
      </c>
      <c r="G21">
        <v>59378</v>
      </c>
      <c r="H21" s="44">
        <v>1.213437732304775E-2</v>
      </c>
      <c r="I21">
        <v>2726</v>
      </c>
    </row>
    <row r="22" spans="1:9" x14ac:dyDescent="0.25">
      <c r="A22" s="43">
        <v>45481</v>
      </c>
      <c r="B22" t="s">
        <v>47</v>
      </c>
      <c r="C22">
        <v>8045</v>
      </c>
      <c r="D22">
        <v>894</v>
      </c>
      <c r="E22">
        <v>231802</v>
      </c>
      <c r="F22">
        <v>47.634187798207087</v>
      </c>
      <c r="G22">
        <v>33705</v>
      </c>
      <c r="H22" s="44">
        <v>3.084960440375838E-2</v>
      </c>
      <c r="I22">
        <v>7151</v>
      </c>
    </row>
    <row r="23" spans="1:9" x14ac:dyDescent="0.25">
      <c r="A23" s="43">
        <v>45481</v>
      </c>
      <c r="B23" t="s">
        <v>20</v>
      </c>
      <c r="C23">
        <v>2048</v>
      </c>
      <c r="D23">
        <v>130</v>
      </c>
      <c r="E23">
        <v>233720</v>
      </c>
      <c r="F23">
        <v>39.284614068115687</v>
      </c>
      <c r="G23">
        <v>11828</v>
      </c>
      <c r="H23" s="44">
        <v>8.2064008214958063E-3</v>
      </c>
      <c r="I23">
        <v>1918</v>
      </c>
    </row>
    <row r="24" spans="1:9" x14ac:dyDescent="0.25">
      <c r="A24" s="43">
        <v>45481</v>
      </c>
      <c r="B24" t="s">
        <v>20</v>
      </c>
      <c r="C24">
        <v>6772</v>
      </c>
      <c r="D24">
        <v>536</v>
      </c>
      <c r="E24">
        <v>239956</v>
      </c>
      <c r="F24">
        <v>9.8205504342462788</v>
      </c>
      <c r="G24">
        <v>17909</v>
      </c>
      <c r="H24" s="44">
        <v>2.5988097817933289E-2</v>
      </c>
      <c r="I24">
        <v>6236</v>
      </c>
    </row>
    <row r="25" spans="1:9" x14ac:dyDescent="0.25">
      <c r="A25" s="43">
        <v>45481</v>
      </c>
      <c r="B25" t="s">
        <v>20</v>
      </c>
      <c r="C25">
        <v>3529</v>
      </c>
      <c r="D25">
        <v>305</v>
      </c>
      <c r="E25">
        <v>243180</v>
      </c>
      <c r="F25">
        <v>41.606628834608109</v>
      </c>
      <c r="G25">
        <v>48356</v>
      </c>
      <c r="H25" s="44">
        <v>1.3257669216218439E-2</v>
      </c>
      <c r="I25">
        <v>3224</v>
      </c>
    </row>
    <row r="26" spans="1:9" x14ac:dyDescent="0.25">
      <c r="A26" s="43">
        <v>45488</v>
      </c>
      <c r="B26" t="s">
        <v>25</v>
      </c>
      <c r="C26">
        <v>3964</v>
      </c>
      <c r="D26">
        <v>378</v>
      </c>
      <c r="E26">
        <v>246766</v>
      </c>
      <c r="F26">
        <v>13.6355899921383</v>
      </c>
      <c r="G26">
        <v>23109</v>
      </c>
      <c r="H26" s="44">
        <v>1.453198576789347E-2</v>
      </c>
      <c r="I26">
        <v>3586</v>
      </c>
    </row>
    <row r="27" spans="1:9" x14ac:dyDescent="0.25">
      <c r="A27" s="43">
        <v>45488</v>
      </c>
      <c r="B27" t="s">
        <v>47</v>
      </c>
      <c r="C27">
        <v>8137</v>
      </c>
      <c r="D27">
        <v>1045</v>
      </c>
      <c r="E27">
        <v>253858</v>
      </c>
      <c r="F27">
        <v>20.47246886054408</v>
      </c>
      <c r="G27">
        <v>12023</v>
      </c>
      <c r="H27" s="44">
        <v>2.7936878097203948E-2</v>
      </c>
      <c r="I27">
        <v>7092</v>
      </c>
    </row>
    <row r="28" spans="1:9" x14ac:dyDescent="0.25">
      <c r="A28" s="43">
        <v>45488</v>
      </c>
      <c r="B28" t="s">
        <v>14</v>
      </c>
      <c r="C28">
        <v>1963</v>
      </c>
      <c r="D28">
        <v>137</v>
      </c>
      <c r="E28">
        <v>255684</v>
      </c>
      <c r="F28">
        <v>11.2083665774941</v>
      </c>
      <c r="G28">
        <v>24537</v>
      </c>
      <c r="H28" s="44">
        <v>7.1416279469970747E-3</v>
      </c>
      <c r="I28">
        <v>1826</v>
      </c>
    </row>
    <row r="29" spans="1:9" x14ac:dyDescent="0.25">
      <c r="A29" s="43">
        <v>45488</v>
      </c>
      <c r="B29" t="s">
        <v>25</v>
      </c>
      <c r="C29">
        <v>1536</v>
      </c>
      <c r="D29">
        <v>155</v>
      </c>
      <c r="E29">
        <v>257065</v>
      </c>
      <c r="F29">
        <v>12.15762550327738</v>
      </c>
      <c r="G29">
        <v>36661</v>
      </c>
      <c r="H29" s="44">
        <v>5.3721821329235798E-3</v>
      </c>
      <c r="I29">
        <v>1381</v>
      </c>
    </row>
    <row r="30" spans="1:9" x14ac:dyDescent="0.25">
      <c r="A30" s="43">
        <v>45495</v>
      </c>
      <c r="B30" t="s">
        <v>20</v>
      </c>
      <c r="C30">
        <v>8340</v>
      </c>
      <c r="D30">
        <v>911</v>
      </c>
      <c r="E30">
        <v>264494</v>
      </c>
      <c r="F30">
        <v>37.302925586213682</v>
      </c>
      <c r="G30">
        <v>48659</v>
      </c>
      <c r="H30" s="44">
        <v>2.8087593669421613E-2</v>
      </c>
      <c r="I30">
        <v>7429</v>
      </c>
    </row>
    <row r="31" spans="1:9" x14ac:dyDescent="0.25">
      <c r="A31" s="43">
        <v>45495</v>
      </c>
      <c r="B31" t="s">
        <v>47</v>
      </c>
      <c r="C31">
        <v>8179</v>
      </c>
      <c r="D31">
        <v>446</v>
      </c>
      <c r="E31">
        <v>272227</v>
      </c>
      <c r="F31">
        <v>41.82171496581897</v>
      </c>
      <c r="G31">
        <v>43848</v>
      </c>
      <c r="H31" s="44">
        <v>2.8406440213498294E-2</v>
      </c>
      <c r="I31">
        <v>7733</v>
      </c>
    </row>
    <row r="32" spans="1:9" x14ac:dyDescent="0.25">
      <c r="A32" s="43">
        <v>45495</v>
      </c>
      <c r="B32" t="s">
        <v>20</v>
      </c>
      <c r="C32">
        <v>8967</v>
      </c>
      <c r="D32">
        <v>993</v>
      </c>
      <c r="E32">
        <v>280201</v>
      </c>
      <c r="F32">
        <v>52.792102811910027</v>
      </c>
      <c r="G32">
        <v>47804</v>
      </c>
      <c r="H32" s="44">
        <v>2.8458142547671136E-2</v>
      </c>
      <c r="I32">
        <v>7974</v>
      </c>
    </row>
    <row r="33" spans="1:9" x14ac:dyDescent="0.25">
      <c r="A33" s="43">
        <v>45495</v>
      </c>
      <c r="B33" t="s">
        <v>14</v>
      </c>
      <c r="C33">
        <v>9734</v>
      </c>
      <c r="D33">
        <v>652</v>
      </c>
      <c r="E33">
        <v>289283</v>
      </c>
      <c r="F33">
        <v>49.647922622483861</v>
      </c>
      <c r="G33">
        <v>25379</v>
      </c>
      <c r="H33" s="44">
        <v>3.1394862470314533E-2</v>
      </c>
      <c r="I33">
        <v>9082</v>
      </c>
    </row>
    <row r="34" spans="1:9" x14ac:dyDescent="0.25">
      <c r="A34" s="43">
        <v>45502</v>
      </c>
      <c r="B34" t="s">
        <v>20</v>
      </c>
      <c r="C34">
        <v>1845</v>
      </c>
      <c r="D34">
        <v>104</v>
      </c>
      <c r="E34">
        <v>291024</v>
      </c>
      <c r="F34">
        <v>28.158158777282971</v>
      </c>
      <c r="G34">
        <v>37766</v>
      </c>
      <c r="H34" s="44">
        <v>5.9823244818296775E-3</v>
      </c>
      <c r="I34">
        <v>1741</v>
      </c>
    </row>
    <row r="35" spans="1:9" x14ac:dyDescent="0.25">
      <c r="A35" s="43">
        <v>45502</v>
      </c>
      <c r="B35" t="s">
        <v>20</v>
      </c>
      <c r="C35">
        <v>6777</v>
      </c>
      <c r="D35">
        <v>981</v>
      </c>
      <c r="E35">
        <v>296820</v>
      </c>
      <c r="F35">
        <v>23.920557913887201</v>
      </c>
      <c r="G35">
        <v>53590</v>
      </c>
      <c r="H35" s="44">
        <v>1.952698605215282E-2</v>
      </c>
      <c r="I35">
        <v>5796</v>
      </c>
    </row>
    <row r="36" spans="1:9" x14ac:dyDescent="0.25">
      <c r="A36" s="43">
        <v>45502</v>
      </c>
      <c r="B36" t="s">
        <v>14</v>
      </c>
      <c r="C36">
        <v>4036</v>
      </c>
      <c r="D36">
        <v>591</v>
      </c>
      <c r="E36">
        <v>300265</v>
      </c>
      <c r="F36">
        <v>44.219272975538267</v>
      </c>
      <c r="G36">
        <v>12563</v>
      </c>
      <c r="H36" s="44">
        <v>1.1473198674504187E-2</v>
      </c>
      <c r="I36">
        <v>3445</v>
      </c>
    </row>
    <row r="37" spans="1:9" x14ac:dyDescent="0.25">
      <c r="A37" s="43">
        <v>45502</v>
      </c>
      <c r="B37" t="s">
        <v>47</v>
      </c>
      <c r="C37">
        <v>6947</v>
      </c>
      <c r="D37">
        <v>908</v>
      </c>
      <c r="E37">
        <v>306304</v>
      </c>
      <c r="F37">
        <v>14.117673944839121</v>
      </c>
      <c r="G37">
        <v>46060</v>
      </c>
      <c r="H37" s="44">
        <v>1.9715707271207691E-2</v>
      </c>
      <c r="I37">
        <v>6039</v>
      </c>
    </row>
    <row r="38" spans="1:9" x14ac:dyDescent="0.25">
      <c r="A38" s="43">
        <v>45509</v>
      </c>
      <c r="B38" t="s">
        <v>25</v>
      </c>
      <c r="C38">
        <v>3494</v>
      </c>
      <c r="D38">
        <v>281</v>
      </c>
      <c r="E38">
        <v>309517</v>
      </c>
      <c r="F38">
        <v>27.765518533715429</v>
      </c>
      <c r="G38">
        <v>39197</v>
      </c>
      <c r="H38" s="44">
        <v>1.0380689913639638E-2</v>
      </c>
      <c r="I38">
        <v>3213</v>
      </c>
    </row>
    <row r="39" spans="1:9" x14ac:dyDescent="0.25">
      <c r="A39" s="43">
        <v>45509</v>
      </c>
      <c r="B39" t="s">
        <v>47</v>
      </c>
      <c r="C39">
        <v>3719</v>
      </c>
      <c r="D39">
        <v>222</v>
      </c>
      <c r="E39">
        <v>313014</v>
      </c>
      <c r="F39">
        <v>21.669318305251519</v>
      </c>
      <c r="G39">
        <v>13586</v>
      </c>
      <c r="H39" s="44">
        <v>1.1172024254506188E-2</v>
      </c>
      <c r="I39">
        <v>3497</v>
      </c>
    </row>
    <row r="40" spans="1:9" x14ac:dyDescent="0.25">
      <c r="A40" s="43">
        <v>45509</v>
      </c>
      <c r="B40" t="s">
        <v>14</v>
      </c>
      <c r="C40">
        <v>2884</v>
      </c>
      <c r="D40">
        <v>341</v>
      </c>
      <c r="E40">
        <v>315557</v>
      </c>
      <c r="F40">
        <v>46.999749649033298</v>
      </c>
      <c r="G40">
        <v>26087</v>
      </c>
      <c r="H40" s="44">
        <v>8.058765928184131E-3</v>
      </c>
      <c r="I40">
        <v>2543</v>
      </c>
    </row>
    <row r="41" spans="1:9" x14ac:dyDescent="0.25">
      <c r="A41" s="43">
        <v>45509</v>
      </c>
      <c r="B41" t="s">
        <v>20</v>
      </c>
      <c r="C41">
        <v>5349</v>
      </c>
      <c r="D41">
        <v>502</v>
      </c>
      <c r="E41">
        <v>320404</v>
      </c>
      <c r="F41">
        <v>5.2152906954969351</v>
      </c>
      <c r="G41">
        <v>58868</v>
      </c>
      <c r="H41" s="44">
        <v>1.5127776182569505E-2</v>
      </c>
      <c r="I41">
        <v>4847</v>
      </c>
    </row>
    <row r="42" spans="1:9" x14ac:dyDescent="0.25">
      <c r="A42" s="43">
        <v>45516</v>
      </c>
      <c r="B42" t="s">
        <v>47</v>
      </c>
      <c r="C42">
        <v>6179</v>
      </c>
      <c r="D42">
        <v>384</v>
      </c>
      <c r="E42">
        <v>326199</v>
      </c>
      <c r="F42">
        <v>14.71218489327067</v>
      </c>
      <c r="G42">
        <v>33225</v>
      </c>
      <c r="H42" s="44">
        <v>1.7765229200580015E-2</v>
      </c>
      <c r="I42">
        <v>5795</v>
      </c>
    </row>
    <row r="43" spans="1:9" x14ac:dyDescent="0.25">
      <c r="A43" s="43">
        <v>45516</v>
      </c>
      <c r="B43" t="s">
        <v>25</v>
      </c>
      <c r="C43">
        <v>7610</v>
      </c>
      <c r="D43">
        <v>757</v>
      </c>
      <c r="E43">
        <v>333052</v>
      </c>
      <c r="F43">
        <v>44.450416151231643</v>
      </c>
      <c r="G43">
        <v>39750</v>
      </c>
      <c r="H43" s="44">
        <v>2.0576366453286574E-2</v>
      </c>
      <c r="I43">
        <v>6853</v>
      </c>
    </row>
    <row r="44" spans="1:9" x14ac:dyDescent="0.25">
      <c r="A44" s="43">
        <v>45516</v>
      </c>
      <c r="B44" t="s">
        <v>14</v>
      </c>
      <c r="C44">
        <v>7430</v>
      </c>
      <c r="D44">
        <v>397</v>
      </c>
      <c r="E44">
        <v>340085</v>
      </c>
      <c r="F44">
        <v>28.065042562888689</v>
      </c>
      <c r="G44">
        <v>16643</v>
      </c>
      <c r="H44" s="44">
        <v>2.0680124086625402E-2</v>
      </c>
      <c r="I44">
        <v>7033</v>
      </c>
    </row>
    <row r="45" spans="1:9" x14ac:dyDescent="0.25">
      <c r="A45" s="43">
        <v>45516</v>
      </c>
      <c r="B45" t="s">
        <v>47</v>
      </c>
      <c r="C45">
        <v>8154</v>
      </c>
      <c r="D45">
        <v>1149</v>
      </c>
      <c r="E45">
        <v>347090</v>
      </c>
      <c r="F45">
        <v>26.003918292085629</v>
      </c>
      <c r="G45">
        <v>37523</v>
      </c>
      <c r="H45" s="44">
        <v>2.0182085338096747E-2</v>
      </c>
      <c r="I45">
        <v>7005</v>
      </c>
    </row>
    <row r="46" spans="1:9" x14ac:dyDescent="0.25">
      <c r="A46" s="43">
        <v>45523</v>
      </c>
      <c r="B46" t="s">
        <v>25</v>
      </c>
      <c r="C46">
        <v>7488</v>
      </c>
      <c r="D46">
        <v>568</v>
      </c>
      <c r="E46">
        <v>354010</v>
      </c>
      <c r="F46">
        <v>13.47730290104799</v>
      </c>
      <c r="G46">
        <v>46727</v>
      </c>
      <c r="H46" s="44">
        <v>1.9547470410440384E-2</v>
      </c>
      <c r="I46">
        <v>6920</v>
      </c>
    </row>
    <row r="47" spans="1:9" x14ac:dyDescent="0.25">
      <c r="A47" s="43">
        <v>45523</v>
      </c>
      <c r="B47" t="s">
        <v>14</v>
      </c>
      <c r="C47">
        <v>5737</v>
      </c>
      <c r="D47">
        <v>666</v>
      </c>
      <c r="E47">
        <v>359081</v>
      </c>
      <c r="F47">
        <v>4.6034181702735593</v>
      </c>
      <c r="G47">
        <v>21005</v>
      </c>
      <c r="H47" s="44">
        <v>1.4122161852061233E-2</v>
      </c>
      <c r="I47">
        <v>5071</v>
      </c>
    </row>
    <row r="48" spans="1:9" x14ac:dyDescent="0.25">
      <c r="A48" s="43">
        <v>45523</v>
      </c>
      <c r="B48" t="s">
        <v>25</v>
      </c>
      <c r="C48">
        <v>7525</v>
      </c>
      <c r="D48">
        <v>610</v>
      </c>
      <c r="E48">
        <v>365996</v>
      </c>
      <c r="F48">
        <v>5.7694619613329108</v>
      </c>
      <c r="G48">
        <v>53543</v>
      </c>
      <c r="H48" s="44">
        <v>1.8893649110919244E-2</v>
      </c>
      <c r="I48">
        <v>6915</v>
      </c>
    </row>
    <row r="49" spans="1:9" x14ac:dyDescent="0.25">
      <c r="A49" s="43">
        <v>45523</v>
      </c>
      <c r="B49" t="s">
        <v>14</v>
      </c>
      <c r="C49">
        <v>4850</v>
      </c>
      <c r="D49">
        <v>494</v>
      </c>
      <c r="E49">
        <v>370352</v>
      </c>
      <c r="F49">
        <v>20.46539508359615</v>
      </c>
      <c r="G49">
        <v>10161</v>
      </c>
      <c r="H49" s="44">
        <v>1.176178338445587E-2</v>
      </c>
      <c r="I49">
        <v>4356</v>
      </c>
    </row>
    <row r="50" spans="1:9" x14ac:dyDescent="0.25">
      <c r="A50" s="43">
        <v>45530</v>
      </c>
      <c r="B50" t="s">
        <v>20</v>
      </c>
      <c r="C50">
        <v>1689</v>
      </c>
      <c r="D50">
        <v>176</v>
      </c>
      <c r="E50">
        <v>371865</v>
      </c>
      <c r="F50">
        <v>38.012181840183942</v>
      </c>
      <c r="G50">
        <v>26029</v>
      </c>
      <c r="H50" s="44">
        <v>4.068680838476329E-3</v>
      </c>
      <c r="I50">
        <v>1513</v>
      </c>
    </row>
    <row r="51" spans="1:9" x14ac:dyDescent="0.25">
      <c r="A51" s="43">
        <v>45530</v>
      </c>
      <c r="B51" t="s">
        <v>47</v>
      </c>
      <c r="C51">
        <v>6175</v>
      </c>
      <c r="D51">
        <v>422</v>
      </c>
      <c r="E51">
        <v>377618</v>
      </c>
      <c r="F51">
        <v>37.86101298137271</v>
      </c>
      <c r="G51">
        <v>59745</v>
      </c>
      <c r="H51" s="44">
        <v>1.523497290913039E-2</v>
      </c>
      <c r="I51">
        <v>5753</v>
      </c>
    </row>
    <row r="52" spans="1:9" x14ac:dyDescent="0.25">
      <c r="A52" s="43">
        <v>45530</v>
      </c>
      <c r="B52" t="s">
        <v>25</v>
      </c>
      <c r="C52">
        <v>9648</v>
      </c>
      <c r="D52">
        <v>1417</v>
      </c>
      <c r="E52">
        <v>385849</v>
      </c>
      <c r="F52">
        <v>3.6633501706626168</v>
      </c>
      <c r="G52">
        <v>24226</v>
      </c>
      <c r="H52" s="44">
        <v>2.1332179168534842E-2</v>
      </c>
      <c r="I52">
        <v>8231</v>
      </c>
    </row>
    <row r="53" spans="1:9" x14ac:dyDescent="0.25">
      <c r="A53" s="43">
        <v>45530</v>
      </c>
      <c r="B53" t="s">
        <v>14</v>
      </c>
      <c r="C53">
        <v>6078</v>
      </c>
      <c r="D53">
        <v>775</v>
      </c>
      <c r="E53">
        <v>391152</v>
      </c>
      <c r="F53">
        <v>37.760512537325639</v>
      </c>
      <c r="G53">
        <v>38731</v>
      </c>
      <c r="H53" s="44">
        <v>1.3557389454738823E-2</v>
      </c>
      <c r="I53">
        <v>5303</v>
      </c>
    </row>
    <row r="54" spans="1:9" x14ac:dyDescent="0.25">
      <c r="A54" s="43">
        <v>45537</v>
      </c>
      <c r="B54" t="s">
        <v>25</v>
      </c>
      <c r="C54">
        <v>6448</v>
      </c>
      <c r="D54">
        <v>928</v>
      </c>
      <c r="E54">
        <v>396672</v>
      </c>
      <c r="F54">
        <v>30.118586640851881</v>
      </c>
      <c r="G54">
        <v>53922</v>
      </c>
      <c r="H54" s="44">
        <v>1.3915779283639884E-2</v>
      </c>
      <c r="I54">
        <v>5520</v>
      </c>
    </row>
    <row r="55" spans="1:9" x14ac:dyDescent="0.25">
      <c r="A55" s="43">
        <v>45537</v>
      </c>
      <c r="B55" t="s">
        <v>25</v>
      </c>
      <c r="C55">
        <v>2179</v>
      </c>
      <c r="D55">
        <v>303</v>
      </c>
      <c r="E55">
        <v>398548</v>
      </c>
      <c r="F55">
        <v>33.909842729106657</v>
      </c>
      <c r="G55">
        <v>54848</v>
      </c>
      <c r="H55" s="44">
        <v>4.7070867248110645E-3</v>
      </c>
      <c r="I55">
        <v>1876</v>
      </c>
    </row>
    <row r="56" spans="1:9" x14ac:dyDescent="0.25">
      <c r="A56" s="43">
        <v>45537</v>
      </c>
      <c r="B56" t="s">
        <v>47</v>
      </c>
      <c r="C56">
        <v>7406</v>
      </c>
      <c r="D56">
        <v>813</v>
      </c>
      <c r="E56">
        <v>405141</v>
      </c>
      <c r="F56">
        <v>24.457411123534769</v>
      </c>
      <c r="G56">
        <v>13390</v>
      </c>
      <c r="H56" s="44">
        <v>1.6273346810122897E-2</v>
      </c>
      <c r="I56">
        <v>6593</v>
      </c>
    </row>
    <row r="57" spans="1:9" x14ac:dyDescent="0.25">
      <c r="A57" s="43">
        <v>45537</v>
      </c>
      <c r="B57" t="s">
        <v>20</v>
      </c>
      <c r="C57">
        <v>9591</v>
      </c>
      <c r="D57">
        <v>1363</v>
      </c>
      <c r="E57">
        <v>413369</v>
      </c>
      <c r="F57">
        <v>10.494255737609739</v>
      </c>
      <c r="G57">
        <v>15997</v>
      </c>
      <c r="H57" s="44">
        <v>1.9904734026983156E-2</v>
      </c>
      <c r="I57">
        <v>8228</v>
      </c>
    </row>
    <row r="58" spans="1:9" x14ac:dyDescent="0.25">
      <c r="A58" s="43">
        <v>45544</v>
      </c>
      <c r="B58" t="s">
        <v>25</v>
      </c>
      <c r="C58">
        <v>7907</v>
      </c>
      <c r="D58">
        <v>465</v>
      </c>
      <c r="E58">
        <v>420811</v>
      </c>
      <c r="F58">
        <v>33.257448118038738</v>
      </c>
      <c r="G58">
        <v>22693</v>
      </c>
      <c r="H58" s="44">
        <v>1.76848989213685E-2</v>
      </c>
      <c r="I58">
        <v>7442</v>
      </c>
    </row>
    <row r="59" spans="1:9" x14ac:dyDescent="0.25">
      <c r="A59" s="43">
        <v>45544</v>
      </c>
      <c r="B59" t="s">
        <v>14</v>
      </c>
      <c r="C59">
        <v>9800</v>
      </c>
      <c r="D59">
        <v>682</v>
      </c>
      <c r="E59">
        <v>429929</v>
      </c>
      <c r="F59">
        <v>6.2966210699906267</v>
      </c>
      <c r="G59">
        <v>59815</v>
      </c>
      <c r="H59" s="44">
        <v>2.1208152974095722E-2</v>
      </c>
      <c r="I59">
        <v>9118</v>
      </c>
    </row>
    <row r="60" spans="1:9" x14ac:dyDescent="0.25">
      <c r="A60" s="43">
        <v>45544</v>
      </c>
      <c r="B60" t="s">
        <v>14</v>
      </c>
      <c r="C60">
        <v>2638</v>
      </c>
      <c r="D60">
        <v>143</v>
      </c>
      <c r="E60">
        <v>432424</v>
      </c>
      <c r="F60">
        <v>6.9547481175882924</v>
      </c>
      <c r="G60">
        <v>52092</v>
      </c>
      <c r="H60" s="44">
        <v>5.7698000111002165E-3</v>
      </c>
      <c r="I60">
        <v>2495</v>
      </c>
    </row>
    <row r="61" spans="1:9" x14ac:dyDescent="0.25">
      <c r="A61" s="43">
        <v>45544</v>
      </c>
      <c r="B61" t="s">
        <v>20</v>
      </c>
      <c r="C61">
        <v>6671</v>
      </c>
      <c r="D61">
        <v>550</v>
      </c>
      <c r="E61">
        <v>438545</v>
      </c>
      <c r="F61">
        <v>17.750287883797562</v>
      </c>
      <c r="G61">
        <v>10541</v>
      </c>
      <c r="H61" s="44">
        <v>1.3957518612685129E-2</v>
      </c>
      <c r="I61">
        <v>6121</v>
      </c>
    </row>
    <row r="62" spans="1:9" x14ac:dyDescent="0.25">
      <c r="A62" s="43">
        <v>45551</v>
      </c>
      <c r="B62" t="s">
        <v>14</v>
      </c>
      <c r="C62">
        <v>7928</v>
      </c>
      <c r="D62">
        <v>704</v>
      </c>
      <c r="E62">
        <v>445769</v>
      </c>
      <c r="F62">
        <v>11.194362999670229</v>
      </c>
      <c r="G62">
        <v>31817</v>
      </c>
      <c r="H62" s="44">
        <v>1.6205702953772022E-2</v>
      </c>
      <c r="I62">
        <v>7224</v>
      </c>
    </row>
    <row r="63" spans="1:9" x14ac:dyDescent="0.25">
      <c r="A63" s="43">
        <v>45551</v>
      </c>
      <c r="B63" t="s">
        <v>20</v>
      </c>
      <c r="C63">
        <v>2382</v>
      </c>
      <c r="D63">
        <v>183</v>
      </c>
      <c r="E63">
        <v>447968</v>
      </c>
      <c r="F63">
        <v>4.7335970426459033</v>
      </c>
      <c r="G63">
        <v>47861</v>
      </c>
      <c r="H63" s="44">
        <v>4.9088327737695546E-3</v>
      </c>
      <c r="I63">
        <v>2199</v>
      </c>
    </row>
    <row r="64" spans="1:9" x14ac:dyDescent="0.25">
      <c r="A64" s="43">
        <v>45551</v>
      </c>
      <c r="B64" t="s">
        <v>14</v>
      </c>
      <c r="C64">
        <v>2403</v>
      </c>
      <c r="D64">
        <v>319</v>
      </c>
      <c r="E64">
        <v>450052</v>
      </c>
      <c r="F64">
        <v>29.92120910472568</v>
      </c>
      <c r="G64">
        <v>23428</v>
      </c>
      <c r="H64" s="44">
        <v>4.6305760223263092E-3</v>
      </c>
      <c r="I64">
        <v>2084</v>
      </c>
    </row>
    <row r="65" spans="1:9" x14ac:dyDescent="0.25">
      <c r="A65" s="43">
        <v>45551</v>
      </c>
      <c r="B65" t="s">
        <v>47</v>
      </c>
      <c r="C65">
        <v>4292</v>
      </c>
      <c r="D65">
        <v>367</v>
      </c>
      <c r="E65">
        <v>453977</v>
      </c>
      <c r="F65">
        <v>3.5037017293827661</v>
      </c>
      <c r="G65">
        <v>53934</v>
      </c>
      <c r="H65" s="44">
        <v>8.6458124530537899E-3</v>
      </c>
      <c r="I65">
        <v>3925</v>
      </c>
    </row>
    <row r="66" spans="1:9" x14ac:dyDescent="0.25">
      <c r="A66" s="43">
        <v>45558</v>
      </c>
      <c r="B66" t="s">
        <v>25</v>
      </c>
      <c r="C66">
        <v>1419</v>
      </c>
      <c r="D66">
        <v>110</v>
      </c>
      <c r="E66">
        <v>455286</v>
      </c>
      <c r="F66">
        <v>31.554451487636339</v>
      </c>
      <c r="G66">
        <v>58831</v>
      </c>
      <c r="H66" s="44">
        <v>2.8751158612388694E-3</v>
      </c>
      <c r="I66">
        <v>1309</v>
      </c>
    </row>
    <row r="67" spans="1:9" x14ac:dyDescent="0.25">
      <c r="A67" s="43">
        <v>45558</v>
      </c>
      <c r="B67" t="s">
        <v>47</v>
      </c>
      <c r="C67">
        <v>5517</v>
      </c>
      <c r="D67">
        <v>575</v>
      </c>
      <c r="E67">
        <v>460228</v>
      </c>
      <c r="F67">
        <v>29.45844233727631</v>
      </c>
      <c r="G67">
        <v>20258</v>
      </c>
      <c r="H67" s="44">
        <v>1.07381558705685E-2</v>
      </c>
      <c r="I67">
        <v>4942</v>
      </c>
    </row>
    <row r="68" spans="1:9" x14ac:dyDescent="0.25">
      <c r="A68" s="43">
        <v>45558</v>
      </c>
      <c r="B68" t="s">
        <v>25</v>
      </c>
      <c r="C68">
        <v>4302</v>
      </c>
      <c r="D68">
        <v>275</v>
      </c>
      <c r="E68">
        <v>464255</v>
      </c>
      <c r="F68">
        <v>15.72131694865968</v>
      </c>
      <c r="G68">
        <v>26044</v>
      </c>
      <c r="H68" s="44">
        <v>8.6741122874282456E-3</v>
      </c>
      <c r="I68">
        <v>4027</v>
      </c>
    </row>
    <row r="69" spans="1:9" x14ac:dyDescent="0.25">
      <c r="A69" s="43">
        <v>45558</v>
      </c>
      <c r="B69" t="s">
        <v>25</v>
      </c>
      <c r="C69">
        <v>8857</v>
      </c>
      <c r="D69">
        <v>1153</v>
      </c>
      <c r="E69">
        <v>471959</v>
      </c>
      <c r="F69">
        <v>19.214592793018038</v>
      </c>
      <c r="G69">
        <v>39411</v>
      </c>
      <c r="H69" s="44">
        <v>1.6323451825264481E-2</v>
      </c>
      <c r="I69">
        <v>7704</v>
      </c>
    </row>
    <row r="70" spans="1:9" x14ac:dyDescent="0.25">
      <c r="A70" s="43">
        <v>45565</v>
      </c>
      <c r="B70" t="s">
        <v>25</v>
      </c>
      <c r="C70">
        <v>8870</v>
      </c>
      <c r="D70">
        <v>509</v>
      </c>
      <c r="E70">
        <v>480320</v>
      </c>
      <c r="F70">
        <v>25.077864756828781</v>
      </c>
      <c r="G70">
        <v>15469</v>
      </c>
      <c r="H70" s="44">
        <v>1.7407145236508995E-2</v>
      </c>
      <c r="I70">
        <v>8361</v>
      </c>
    </row>
    <row r="71" spans="1:9" x14ac:dyDescent="0.25">
      <c r="A71" s="43">
        <v>45565</v>
      </c>
      <c r="B71" t="s">
        <v>47</v>
      </c>
      <c r="C71">
        <v>6693</v>
      </c>
      <c r="D71">
        <v>995</v>
      </c>
      <c r="E71">
        <v>486018</v>
      </c>
      <c r="F71">
        <v>23.761877132122681</v>
      </c>
      <c r="G71">
        <v>38854</v>
      </c>
      <c r="H71" s="44">
        <v>1.1723845618886543E-2</v>
      </c>
      <c r="I71">
        <v>5698</v>
      </c>
    </row>
    <row r="72" spans="1:9" x14ac:dyDescent="0.25">
      <c r="A72" s="43">
        <v>45565</v>
      </c>
      <c r="B72" t="s">
        <v>25</v>
      </c>
      <c r="C72">
        <v>1767</v>
      </c>
      <c r="D72">
        <v>224</v>
      </c>
      <c r="E72">
        <v>487561</v>
      </c>
      <c r="F72">
        <v>13.208603641390511</v>
      </c>
      <c r="G72">
        <v>16256</v>
      </c>
      <c r="H72" s="44">
        <v>3.1647322078673231E-3</v>
      </c>
      <c r="I72">
        <v>1543</v>
      </c>
    </row>
    <row r="73" spans="1:9" x14ac:dyDescent="0.25">
      <c r="A73" s="43">
        <v>45565</v>
      </c>
      <c r="B73" t="s">
        <v>47</v>
      </c>
      <c r="C73">
        <v>3044</v>
      </c>
      <c r="D73">
        <v>212</v>
      </c>
      <c r="E73">
        <v>490393</v>
      </c>
      <c r="F73">
        <v>8.5343795690395261</v>
      </c>
      <c r="G73">
        <v>20720</v>
      </c>
      <c r="H73" s="44">
        <v>5.7749600830354431E-3</v>
      </c>
      <c r="I73">
        <v>2832</v>
      </c>
    </row>
    <row r="74" spans="1:9" x14ac:dyDescent="0.25">
      <c r="A74" s="43">
        <v>45572</v>
      </c>
      <c r="B74" t="s">
        <v>20</v>
      </c>
      <c r="C74">
        <v>2549</v>
      </c>
      <c r="D74">
        <v>128</v>
      </c>
      <c r="E74">
        <v>492814</v>
      </c>
      <c r="F74">
        <v>12.734216154573531</v>
      </c>
      <c r="G74">
        <v>43937</v>
      </c>
      <c r="H74" s="44">
        <v>4.9126039438814641E-3</v>
      </c>
      <c r="I74">
        <v>2421</v>
      </c>
    </row>
    <row r="75" spans="1:9" x14ac:dyDescent="0.25">
      <c r="A75" s="43">
        <v>45572</v>
      </c>
      <c r="B75" t="s">
        <v>14</v>
      </c>
      <c r="C75">
        <v>7140</v>
      </c>
      <c r="D75">
        <v>939</v>
      </c>
      <c r="E75">
        <v>499015</v>
      </c>
      <c r="F75">
        <v>25.120888149654821</v>
      </c>
      <c r="G75">
        <v>43598</v>
      </c>
      <c r="H75" s="44">
        <v>1.2426480165926877E-2</v>
      </c>
      <c r="I75">
        <v>6201</v>
      </c>
    </row>
    <row r="76" spans="1:9" x14ac:dyDescent="0.25">
      <c r="A76" s="43">
        <v>45572</v>
      </c>
      <c r="B76" t="s">
        <v>14</v>
      </c>
      <c r="C76">
        <v>4716</v>
      </c>
      <c r="D76">
        <v>569</v>
      </c>
      <c r="E76">
        <v>503162</v>
      </c>
      <c r="F76">
        <v>25.64820077827817</v>
      </c>
      <c r="G76">
        <v>11651</v>
      </c>
      <c r="H76" s="44">
        <v>8.2418783612434963E-3</v>
      </c>
      <c r="I76">
        <v>4147</v>
      </c>
    </row>
    <row r="77" spans="1:9" x14ac:dyDescent="0.25">
      <c r="A77" s="43">
        <v>45572</v>
      </c>
      <c r="B77" t="s">
        <v>25</v>
      </c>
      <c r="C77">
        <v>5481</v>
      </c>
      <c r="D77">
        <v>673</v>
      </c>
      <c r="E77">
        <v>507970</v>
      </c>
      <c r="F77">
        <v>13.08758391243577</v>
      </c>
      <c r="G77">
        <v>29194</v>
      </c>
      <c r="H77" s="44">
        <v>9.4651258932614123E-3</v>
      </c>
      <c r="I77">
        <v>4808</v>
      </c>
    </row>
    <row r="78" spans="1:9" x14ac:dyDescent="0.25">
      <c r="A78" s="43">
        <v>45579</v>
      </c>
      <c r="B78" t="s">
        <v>47</v>
      </c>
      <c r="C78">
        <v>8898</v>
      </c>
      <c r="D78">
        <v>1131</v>
      </c>
      <c r="E78">
        <v>515737</v>
      </c>
      <c r="F78">
        <v>2.1877429775253669</v>
      </c>
      <c r="G78">
        <v>35051</v>
      </c>
      <c r="H78" s="44">
        <v>1.5060001512398761E-2</v>
      </c>
      <c r="I78">
        <v>7767</v>
      </c>
    </row>
    <row r="79" spans="1:9" x14ac:dyDescent="0.25">
      <c r="A79" s="43">
        <v>45579</v>
      </c>
      <c r="B79" t="s">
        <v>14</v>
      </c>
      <c r="C79">
        <v>7548</v>
      </c>
      <c r="D79">
        <v>433</v>
      </c>
      <c r="E79">
        <v>522852</v>
      </c>
      <c r="F79">
        <v>8.3562843787534522</v>
      </c>
      <c r="G79">
        <v>37386</v>
      </c>
      <c r="H79" s="44">
        <v>1.3608057347012157E-2</v>
      </c>
      <c r="I79">
        <v>7115</v>
      </c>
    </row>
    <row r="80" spans="1:9" x14ac:dyDescent="0.25">
      <c r="A80" s="43">
        <v>45579</v>
      </c>
      <c r="B80" t="s">
        <v>47</v>
      </c>
      <c r="C80">
        <v>3293</v>
      </c>
      <c r="D80">
        <v>282</v>
      </c>
      <c r="E80">
        <v>525863</v>
      </c>
      <c r="F80">
        <v>27.040693108281051</v>
      </c>
      <c r="G80">
        <v>19518</v>
      </c>
      <c r="H80" s="44">
        <v>5.7258259280458983E-3</v>
      </c>
      <c r="I80">
        <v>3011</v>
      </c>
    </row>
    <row r="81" spans="1:9" x14ac:dyDescent="0.25">
      <c r="A81" s="43">
        <v>45579</v>
      </c>
      <c r="B81" t="s">
        <v>47</v>
      </c>
      <c r="C81">
        <v>5837</v>
      </c>
      <c r="D81">
        <v>359</v>
      </c>
      <c r="E81">
        <v>531341</v>
      </c>
      <c r="F81">
        <v>6.8073045370110723</v>
      </c>
      <c r="G81">
        <v>56026</v>
      </c>
      <c r="H81" s="44">
        <v>1.0309763409938251E-2</v>
      </c>
      <c r="I81">
        <v>5478</v>
      </c>
    </row>
    <row r="82" spans="1:9" x14ac:dyDescent="0.25">
      <c r="A82" s="43">
        <v>45586</v>
      </c>
      <c r="B82" t="s">
        <v>25</v>
      </c>
      <c r="C82">
        <v>8758</v>
      </c>
      <c r="D82">
        <v>1193</v>
      </c>
      <c r="E82">
        <v>538906</v>
      </c>
      <c r="F82">
        <v>3.4213758985797149</v>
      </c>
      <c r="G82">
        <v>26184</v>
      </c>
      <c r="H82" s="44">
        <v>1.4037698596786824E-2</v>
      </c>
      <c r="I82">
        <v>7565</v>
      </c>
    </row>
    <row r="83" spans="1:9" x14ac:dyDescent="0.25">
      <c r="A83" s="43">
        <v>45586</v>
      </c>
      <c r="B83" t="s">
        <v>14</v>
      </c>
      <c r="C83">
        <v>7793</v>
      </c>
      <c r="D83">
        <v>875</v>
      </c>
      <c r="E83">
        <v>545824</v>
      </c>
      <c r="F83">
        <v>5.5136820660139527</v>
      </c>
      <c r="G83">
        <v>43787</v>
      </c>
      <c r="H83" s="44">
        <v>1.267441519610717E-2</v>
      </c>
      <c r="I83">
        <v>6918</v>
      </c>
    </row>
    <row r="84" spans="1:9" x14ac:dyDescent="0.25">
      <c r="A84" s="43">
        <v>45586</v>
      </c>
      <c r="B84" t="s">
        <v>25</v>
      </c>
      <c r="C84">
        <v>8638</v>
      </c>
      <c r="D84">
        <v>717</v>
      </c>
      <c r="E84">
        <v>553745</v>
      </c>
      <c r="F84">
        <v>26.921416897669499</v>
      </c>
      <c r="G84">
        <v>31621</v>
      </c>
      <c r="H84" s="44">
        <v>1.4304418098583283E-2</v>
      </c>
      <c r="I84">
        <v>7921</v>
      </c>
    </row>
    <row r="85" spans="1:9" x14ac:dyDescent="0.25">
      <c r="A85" s="43">
        <v>45586</v>
      </c>
      <c r="B85" t="s">
        <v>25</v>
      </c>
      <c r="C85">
        <v>8993</v>
      </c>
      <c r="D85">
        <v>506</v>
      </c>
      <c r="E85">
        <v>562232</v>
      </c>
      <c r="F85">
        <v>3.5131404829323132</v>
      </c>
      <c r="G85">
        <v>20028</v>
      </c>
      <c r="H85" s="44">
        <v>1.509519202037593E-2</v>
      </c>
      <c r="I85">
        <v>8487</v>
      </c>
    </row>
    <row r="86" spans="1:9" x14ac:dyDescent="0.25">
      <c r="A86" s="43">
        <v>45593</v>
      </c>
      <c r="B86" t="s">
        <v>14</v>
      </c>
      <c r="C86">
        <v>7007</v>
      </c>
      <c r="D86">
        <v>568</v>
      </c>
      <c r="E86">
        <v>568671</v>
      </c>
      <c r="F86">
        <v>11.50507059442103</v>
      </c>
      <c r="G86">
        <v>22448</v>
      </c>
      <c r="H86" s="44">
        <v>1.1322891443382905E-2</v>
      </c>
      <c r="I86">
        <v>6439</v>
      </c>
    </row>
    <row r="87" spans="1:9" x14ac:dyDescent="0.25">
      <c r="A87" s="43">
        <v>45593</v>
      </c>
      <c r="B87" t="s">
        <v>14</v>
      </c>
      <c r="C87">
        <v>6542</v>
      </c>
      <c r="D87">
        <v>539</v>
      </c>
      <c r="E87">
        <v>574674</v>
      </c>
      <c r="F87">
        <v>6.4069368024305948</v>
      </c>
      <c r="G87">
        <v>55253</v>
      </c>
      <c r="H87" s="44">
        <v>1.0445922383821088E-2</v>
      </c>
      <c r="I87">
        <v>6003</v>
      </c>
    </row>
    <row r="88" spans="1:9" x14ac:dyDescent="0.25">
      <c r="A88" s="43">
        <v>45593</v>
      </c>
      <c r="B88" t="s">
        <v>20</v>
      </c>
      <c r="C88">
        <v>7356</v>
      </c>
      <c r="D88">
        <v>904</v>
      </c>
      <c r="E88">
        <v>581126</v>
      </c>
      <c r="F88">
        <v>17.560907617280929</v>
      </c>
      <c r="G88">
        <v>44051</v>
      </c>
      <c r="H88" s="44">
        <v>1.1102583604932494E-2</v>
      </c>
      <c r="I88">
        <v>6452</v>
      </c>
    </row>
    <row r="89" spans="1:9" x14ac:dyDescent="0.25">
      <c r="A89" s="43">
        <v>45593</v>
      </c>
      <c r="B89" t="s">
        <v>20</v>
      </c>
      <c r="C89">
        <v>9433</v>
      </c>
      <c r="D89">
        <v>1073</v>
      </c>
      <c r="E89">
        <v>589486</v>
      </c>
      <c r="F89">
        <v>7.2934726185185053</v>
      </c>
      <c r="G89">
        <v>59811</v>
      </c>
      <c r="H89" s="44">
        <v>1.4181846557848703E-2</v>
      </c>
      <c r="I89">
        <v>8360</v>
      </c>
    </row>
    <row r="90" spans="1:9" x14ac:dyDescent="0.25">
      <c r="A90" s="43">
        <v>45600</v>
      </c>
      <c r="B90" t="s">
        <v>47</v>
      </c>
      <c r="C90">
        <v>8380</v>
      </c>
      <c r="D90">
        <v>1162</v>
      </c>
      <c r="E90">
        <v>596704</v>
      </c>
      <c r="F90">
        <v>18.05853488496809</v>
      </c>
      <c r="G90">
        <v>40447</v>
      </c>
      <c r="H90" s="44">
        <v>1.2096449831072022E-2</v>
      </c>
      <c r="I90">
        <v>7218</v>
      </c>
    </row>
    <row r="91" spans="1:9" x14ac:dyDescent="0.25">
      <c r="A91" s="43">
        <v>45600</v>
      </c>
      <c r="B91" t="s">
        <v>14</v>
      </c>
      <c r="C91">
        <v>3385</v>
      </c>
      <c r="D91">
        <v>329</v>
      </c>
      <c r="E91">
        <v>599760</v>
      </c>
      <c r="F91">
        <v>17.61788048552755</v>
      </c>
      <c r="G91">
        <v>28394</v>
      </c>
      <c r="H91" s="44">
        <v>5.0953714819261036E-3</v>
      </c>
      <c r="I91">
        <v>3056</v>
      </c>
    </row>
    <row r="92" spans="1:9" x14ac:dyDescent="0.25">
      <c r="A92" s="43">
        <v>45600</v>
      </c>
      <c r="B92" t="s">
        <v>20</v>
      </c>
      <c r="C92">
        <v>5268</v>
      </c>
      <c r="D92">
        <v>326</v>
      </c>
      <c r="E92">
        <v>604702</v>
      </c>
      <c r="F92">
        <v>23.435841125050029</v>
      </c>
      <c r="G92">
        <v>44501</v>
      </c>
      <c r="H92" s="44">
        <v>8.1726205635172366E-3</v>
      </c>
      <c r="I92">
        <v>4942</v>
      </c>
    </row>
    <row r="93" spans="1:9" x14ac:dyDescent="0.25">
      <c r="A93" s="43">
        <v>45600</v>
      </c>
      <c r="B93" t="s">
        <v>47</v>
      </c>
      <c r="C93">
        <v>1671</v>
      </c>
      <c r="D93">
        <v>202</v>
      </c>
      <c r="E93">
        <v>606171</v>
      </c>
      <c r="F93">
        <v>15.150015424690389</v>
      </c>
      <c r="G93">
        <v>40254</v>
      </c>
      <c r="H93" s="44">
        <v>2.4234085761278583E-3</v>
      </c>
      <c r="I93">
        <v>1469</v>
      </c>
    </row>
    <row r="94" spans="1:9" x14ac:dyDescent="0.25">
      <c r="A94" s="43">
        <v>45607</v>
      </c>
      <c r="B94" t="s">
        <v>47</v>
      </c>
      <c r="C94">
        <v>1163</v>
      </c>
      <c r="D94">
        <v>146</v>
      </c>
      <c r="E94">
        <v>607188</v>
      </c>
      <c r="F94">
        <v>21.77776899411715</v>
      </c>
      <c r="G94">
        <v>28509</v>
      </c>
      <c r="H94" s="44">
        <v>1.6749342872388782E-3</v>
      </c>
      <c r="I94">
        <v>1017</v>
      </c>
    </row>
    <row r="95" spans="1:9" x14ac:dyDescent="0.25">
      <c r="A95" s="43">
        <v>45607</v>
      </c>
      <c r="B95" t="s">
        <v>47</v>
      </c>
      <c r="C95">
        <v>9656</v>
      </c>
      <c r="D95">
        <v>1024</v>
      </c>
      <c r="E95">
        <v>615820</v>
      </c>
      <c r="F95">
        <v>8.7252768666168681</v>
      </c>
      <c r="G95">
        <v>58998</v>
      </c>
      <c r="H95" s="44">
        <v>1.401708291383846E-2</v>
      </c>
      <c r="I95">
        <v>8632</v>
      </c>
    </row>
    <row r="96" spans="1:9" x14ac:dyDescent="0.25">
      <c r="A96" s="43">
        <v>45607</v>
      </c>
      <c r="B96" t="s">
        <v>20</v>
      </c>
      <c r="C96">
        <v>5592</v>
      </c>
      <c r="D96">
        <v>710</v>
      </c>
      <c r="E96">
        <v>620702</v>
      </c>
      <c r="F96">
        <v>9.07118069540617</v>
      </c>
      <c r="G96">
        <v>24472</v>
      </c>
      <c r="H96" s="44">
        <v>7.8652880126050834E-3</v>
      </c>
      <c r="I96">
        <v>4882</v>
      </c>
    </row>
    <row r="97" spans="1:9" x14ac:dyDescent="0.25">
      <c r="A97" s="43">
        <v>45607</v>
      </c>
      <c r="B97" t="s">
        <v>14</v>
      </c>
      <c r="C97">
        <v>5795</v>
      </c>
      <c r="D97">
        <v>575</v>
      </c>
      <c r="E97">
        <v>625922</v>
      </c>
      <c r="F97">
        <v>3.0908004511744269</v>
      </c>
      <c r="G97">
        <v>55657</v>
      </c>
      <c r="H97" s="44">
        <v>8.3396972785746461E-3</v>
      </c>
      <c r="I97">
        <v>5220</v>
      </c>
    </row>
    <row r="98" spans="1:9" x14ac:dyDescent="0.25">
      <c r="A98" s="43">
        <v>45614</v>
      </c>
      <c r="B98" t="s">
        <v>25</v>
      </c>
      <c r="C98">
        <v>5798</v>
      </c>
      <c r="D98">
        <v>592</v>
      </c>
      <c r="E98">
        <v>631128</v>
      </c>
      <c r="F98">
        <v>1.6774727155188811</v>
      </c>
      <c r="G98">
        <v>13471</v>
      </c>
      <c r="H98" s="44">
        <v>8.2487229214992831E-3</v>
      </c>
      <c r="I98">
        <v>5206</v>
      </c>
    </row>
    <row r="99" spans="1:9" x14ac:dyDescent="0.25">
      <c r="A99" s="43">
        <v>45614</v>
      </c>
      <c r="B99" t="s">
        <v>47</v>
      </c>
      <c r="C99">
        <v>7036</v>
      </c>
      <c r="D99">
        <v>652</v>
      </c>
      <c r="E99">
        <v>637512</v>
      </c>
      <c r="F99">
        <v>3.5705994553828009</v>
      </c>
      <c r="G99">
        <v>51796</v>
      </c>
      <c r="H99" s="44">
        <v>1.0013929149568949E-2</v>
      </c>
      <c r="I99">
        <v>6384</v>
      </c>
    </row>
    <row r="100" spans="1:9" x14ac:dyDescent="0.25">
      <c r="A100" s="43">
        <v>45614</v>
      </c>
      <c r="B100" t="s">
        <v>20</v>
      </c>
      <c r="C100">
        <v>3355</v>
      </c>
      <c r="D100">
        <v>176</v>
      </c>
      <c r="E100">
        <v>640691</v>
      </c>
      <c r="F100">
        <v>12.426427091999111</v>
      </c>
      <c r="G100">
        <v>40268</v>
      </c>
      <c r="H100" s="44">
        <v>4.9618302738761748E-3</v>
      </c>
      <c r="I100">
        <v>3179</v>
      </c>
    </row>
    <row r="101" spans="1:9" x14ac:dyDescent="0.25">
      <c r="A101" s="43">
        <v>45614</v>
      </c>
      <c r="B101" t="s">
        <v>20</v>
      </c>
      <c r="C101">
        <v>6887</v>
      </c>
      <c r="D101">
        <v>418</v>
      </c>
      <c r="E101">
        <v>647160</v>
      </c>
      <c r="F101">
        <v>20.240280610668151</v>
      </c>
      <c r="G101">
        <v>18329</v>
      </c>
      <c r="H101" s="44">
        <v>9.9959824463811114E-3</v>
      </c>
      <c r="I101">
        <v>6469</v>
      </c>
    </row>
    <row r="102" spans="1:9" x14ac:dyDescent="0.25">
      <c r="A102" s="43">
        <v>45621</v>
      </c>
      <c r="B102" t="s">
        <v>25</v>
      </c>
      <c r="C102">
        <v>8961</v>
      </c>
      <c r="D102">
        <v>476</v>
      </c>
      <c r="E102">
        <v>655645</v>
      </c>
      <c r="F102">
        <v>15.458517947974901</v>
      </c>
      <c r="G102">
        <v>44865</v>
      </c>
      <c r="H102" s="44">
        <v>1.2941454598143812E-2</v>
      </c>
      <c r="I102">
        <v>8485</v>
      </c>
    </row>
    <row r="103" spans="1:9" x14ac:dyDescent="0.25">
      <c r="A103" s="43">
        <v>45621</v>
      </c>
      <c r="B103" t="s">
        <v>25</v>
      </c>
      <c r="C103">
        <v>6827</v>
      </c>
      <c r="D103">
        <v>775</v>
      </c>
      <c r="E103">
        <v>661697</v>
      </c>
      <c r="F103">
        <v>15.96622018839439</v>
      </c>
      <c r="G103">
        <v>56850</v>
      </c>
      <c r="H103" s="44">
        <v>9.1461802003031598E-3</v>
      </c>
      <c r="I103">
        <v>6052</v>
      </c>
    </row>
    <row r="104" spans="1:9" x14ac:dyDescent="0.25">
      <c r="A104" s="43">
        <v>45621</v>
      </c>
      <c r="B104" t="s">
        <v>20</v>
      </c>
      <c r="C104">
        <v>9737</v>
      </c>
      <c r="D104">
        <v>792</v>
      </c>
      <c r="E104">
        <v>670642</v>
      </c>
      <c r="F104">
        <v>5.301785453341723</v>
      </c>
      <c r="G104">
        <v>56698</v>
      </c>
      <c r="H104" s="44">
        <v>1.3337965710468476E-2</v>
      </c>
      <c r="I104">
        <v>8945</v>
      </c>
    </row>
    <row r="105" spans="1:9" x14ac:dyDescent="0.25">
      <c r="A105" s="43">
        <v>45621</v>
      </c>
      <c r="B105" t="s">
        <v>14</v>
      </c>
      <c r="C105">
        <v>5719</v>
      </c>
      <c r="D105">
        <v>576</v>
      </c>
      <c r="E105">
        <v>675785</v>
      </c>
      <c r="F105">
        <v>10.21656296011305</v>
      </c>
      <c r="G105">
        <v>38272</v>
      </c>
      <c r="H105" s="44">
        <v>7.6104086358827145E-3</v>
      </c>
      <c r="I105">
        <v>5143</v>
      </c>
    </row>
    <row r="106" spans="1:9" x14ac:dyDescent="0.25">
      <c r="A106" s="43">
        <v>45628</v>
      </c>
      <c r="B106" t="s">
        <v>25</v>
      </c>
      <c r="C106">
        <v>1593</v>
      </c>
      <c r="D106">
        <v>224</v>
      </c>
      <c r="E106">
        <v>677154</v>
      </c>
      <c r="F106">
        <v>4.1495730660972248</v>
      </c>
      <c r="G106">
        <v>52845</v>
      </c>
      <c r="H106" s="44">
        <v>2.0216966893793729E-3</v>
      </c>
      <c r="I106">
        <v>1369</v>
      </c>
    </row>
    <row r="107" spans="1:9" x14ac:dyDescent="0.25">
      <c r="A107" s="43">
        <v>45628</v>
      </c>
      <c r="B107" t="s">
        <v>20</v>
      </c>
      <c r="C107">
        <v>5839</v>
      </c>
      <c r="D107">
        <v>437</v>
      </c>
      <c r="E107">
        <v>682556</v>
      </c>
      <c r="F107">
        <v>17.44750613869045</v>
      </c>
      <c r="G107">
        <v>16397</v>
      </c>
      <c r="H107" s="44">
        <v>7.9143689309009082E-3</v>
      </c>
      <c r="I107">
        <v>5402</v>
      </c>
    </row>
    <row r="108" spans="1:9" x14ac:dyDescent="0.25">
      <c r="A108" s="43">
        <v>45628</v>
      </c>
      <c r="B108" t="s">
        <v>25</v>
      </c>
      <c r="C108">
        <v>8394</v>
      </c>
      <c r="D108">
        <v>764</v>
      </c>
      <c r="E108">
        <v>690186</v>
      </c>
      <c r="F108">
        <v>6.3556780346167558</v>
      </c>
      <c r="G108">
        <v>42373</v>
      </c>
      <c r="H108" s="44">
        <v>1.1054990973447738E-2</v>
      </c>
      <c r="I108">
        <v>7630</v>
      </c>
    </row>
    <row r="109" spans="1:9" x14ac:dyDescent="0.25">
      <c r="A109" s="43">
        <v>45628</v>
      </c>
      <c r="B109" t="s">
        <v>14</v>
      </c>
      <c r="C109">
        <v>4493</v>
      </c>
      <c r="D109">
        <v>564</v>
      </c>
      <c r="E109">
        <v>694115</v>
      </c>
      <c r="F109">
        <v>16.625487131094989</v>
      </c>
      <c r="G109">
        <v>45525</v>
      </c>
      <c r="H109" s="44">
        <v>5.660445315257558E-3</v>
      </c>
      <c r="I109">
        <v>3929</v>
      </c>
    </row>
    <row r="110" spans="1:9" x14ac:dyDescent="0.25">
      <c r="A110" s="43">
        <v>45635</v>
      </c>
      <c r="B110" t="s">
        <v>47</v>
      </c>
      <c r="C110">
        <v>7164</v>
      </c>
      <c r="D110">
        <v>522</v>
      </c>
      <c r="E110">
        <v>700757</v>
      </c>
      <c r="F110">
        <v>13.449169969047761</v>
      </c>
      <c r="G110">
        <v>34570</v>
      </c>
      <c r="H110" s="44">
        <v>9.4783213011072308E-3</v>
      </c>
      <c r="I110">
        <v>6642</v>
      </c>
    </row>
    <row r="111" spans="1:9" x14ac:dyDescent="0.25">
      <c r="A111" s="43">
        <v>45635</v>
      </c>
      <c r="B111" t="s">
        <v>25</v>
      </c>
      <c r="C111">
        <v>3672</v>
      </c>
      <c r="D111">
        <v>211</v>
      </c>
      <c r="E111">
        <v>704218</v>
      </c>
      <c r="F111">
        <v>12.35057894004413</v>
      </c>
      <c r="G111">
        <v>28284</v>
      </c>
      <c r="H111" s="44">
        <v>4.9146713091684675E-3</v>
      </c>
      <c r="I111">
        <v>3461</v>
      </c>
    </row>
    <row r="112" spans="1:9" x14ac:dyDescent="0.25">
      <c r="A112" s="43">
        <v>45635</v>
      </c>
      <c r="B112" t="s">
        <v>14</v>
      </c>
      <c r="C112">
        <v>5200</v>
      </c>
      <c r="D112">
        <v>410</v>
      </c>
      <c r="E112">
        <v>709008</v>
      </c>
      <c r="F112">
        <v>12.913394489201821</v>
      </c>
      <c r="G112">
        <v>28994</v>
      </c>
      <c r="H112" s="44">
        <v>6.7559181278631555E-3</v>
      </c>
      <c r="I112">
        <v>4790</v>
      </c>
    </row>
    <row r="113" spans="1:9" x14ac:dyDescent="0.25">
      <c r="A113" s="43">
        <v>45635</v>
      </c>
      <c r="B113" t="s">
        <v>20</v>
      </c>
      <c r="C113">
        <v>1016</v>
      </c>
      <c r="D113">
        <v>67</v>
      </c>
      <c r="E113">
        <v>709957</v>
      </c>
      <c r="F113">
        <v>20.774215903216671</v>
      </c>
      <c r="G113">
        <v>33284</v>
      </c>
      <c r="H113" s="44">
        <v>1.3367006734210664E-3</v>
      </c>
      <c r="I113">
        <v>949</v>
      </c>
    </row>
    <row r="114" spans="1:9" x14ac:dyDescent="0.25">
      <c r="A114" s="43">
        <v>45642</v>
      </c>
      <c r="B114" t="s">
        <v>25</v>
      </c>
      <c r="C114">
        <v>4191</v>
      </c>
      <c r="D114">
        <v>599</v>
      </c>
      <c r="E114">
        <v>713549</v>
      </c>
      <c r="F114">
        <v>11.56416728213479</v>
      </c>
      <c r="G114">
        <v>27833</v>
      </c>
      <c r="H114" s="44">
        <v>5.033992059410076E-3</v>
      </c>
      <c r="I114">
        <v>3592</v>
      </c>
    </row>
    <row r="115" spans="1:9" x14ac:dyDescent="0.25">
      <c r="A115" s="43">
        <v>45642</v>
      </c>
      <c r="B115" t="s">
        <v>25</v>
      </c>
      <c r="C115">
        <v>1392</v>
      </c>
      <c r="D115">
        <v>182</v>
      </c>
      <c r="E115">
        <v>714759</v>
      </c>
      <c r="F115">
        <v>5.9603306848881932</v>
      </c>
      <c r="G115">
        <v>35122</v>
      </c>
      <c r="H115" s="44">
        <v>1.6928782988391892E-3</v>
      </c>
      <c r="I115">
        <v>1210</v>
      </c>
    </row>
    <row r="116" spans="1:9" x14ac:dyDescent="0.25">
      <c r="A116" s="43">
        <v>45642</v>
      </c>
      <c r="B116" t="s">
        <v>20</v>
      </c>
      <c r="C116">
        <v>9616</v>
      </c>
      <c r="D116">
        <v>1089</v>
      </c>
      <c r="E116">
        <v>723286</v>
      </c>
      <c r="F116">
        <v>19.25863351426683</v>
      </c>
      <c r="G116">
        <v>15017</v>
      </c>
      <c r="H116" s="44">
        <v>1.178925072516266E-2</v>
      </c>
      <c r="I116">
        <v>8527</v>
      </c>
    </row>
    <row r="117" spans="1:9" x14ac:dyDescent="0.25">
      <c r="A117" s="43">
        <v>45642</v>
      </c>
      <c r="B117" t="s">
        <v>47</v>
      </c>
      <c r="C117">
        <v>7272</v>
      </c>
      <c r="D117">
        <v>997</v>
      </c>
      <c r="E117">
        <v>729561</v>
      </c>
      <c r="F117">
        <v>13.428486445958599</v>
      </c>
      <c r="G117">
        <v>26370</v>
      </c>
      <c r="H117" s="44">
        <v>8.6010628309353167E-3</v>
      </c>
      <c r="I117">
        <v>6275</v>
      </c>
    </row>
    <row r="118" spans="1:9" x14ac:dyDescent="0.25">
      <c r="A118" s="43">
        <v>45649</v>
      </c>
      <c r="B118" t="s">
        <v>20</v>
      </c>
      <c r="C118">
        <v>1571</v>
      </c>
      <c r="D118">
        <v>204</v>
      </c>
      <c r="E118">
        <v>730928</v>
      </c>
      <c r="F118">
        <v>19.449384891535139</v>
      </c>
      <c r="G118">
        <v>39252</v>
      </c>
      <c r="H118" s="44">
        <v>1.8702252479040344E-3</v>
      </c>
      <c r="I118">
        <v>1367</v>
      </c>
    </row>
    <row r="119" spans="1:9" x14ac:dyDescent="0.25">
      <c r="A119" s="43">
        <v>45649</v>
      </c>
      <c r="B119" t="s">
        <v>25</v>
      </c>
      <c r="C119">
        <v>4631</v>
      </c>
      <c r="D119">
        <v>317</v>
      </c>
      <c r="E119">
        <v>735242</v>
      </c>
      <c r="F119">
        <v>1.381177897889402</v>
      </c>
      <c r="G119">
        <v>17999</v>
      </c>
      <c r="H119" s="44">
        <v>5.8674558852731479E-3</v>
      </c>
      <c r="I119">
        <v>4314</v>
      </c>
    </row>
    <row r="120" spans="1:9" x14ac:dyDescent="0.25">
      <c r="A120" s="43">
        <v>45649</v>
      </c>
      <c r="B120" t="s">
        <v>20</v>
      </c>
      <c r="C120">
        <v>7172</v>
      </c>
      <c r="D120">
        <v>998</v>
      </c>
      <c r="E120">
        <v>741416</v>
      </c>
      <c r="F120">
        <v>18.0667803230575</v>
      </c>
      <c r="G120">
        <v>32436</v>
      </c>
      <c r="H120" s="44">
        <v>8.32730882527488E-3</v>
      </c>
      <c r="I120">
        <v>6174</v>
      </c>
    </row>
    <row r="121" spans="1:9" x14ac:dyDescent="0.25">
      <c r="A121" s="43">
        <v>45649</v>
      </c>
      <c r="B121" t="s">
        <v>14</v>
      </c>
      <c r="C121">
        <v>8177</v>
      </c>
      <c r="D121">
        <v>849</v>
      </c>
      <c r="E121">
        <v>748744</v>
      </c>
      <c r="F121">
        <v>10.34986590877523</v>
      </c>
      <c r="G121">
        <v>52963</v>
      </c>
      <c r="H121" s="44">
        <v>9.7870567243276748E-3</v>
      </c>
      <c r="I121">
        <v>7328</v>
      </c>
    </row>
    <row r="122" spans="1:9" x14ac:dyDescent="0.25">
      <c r="A122" s="43">
        <v>45656</v>
      </c>
      <c r="B122" t="s">
        <v>20</v>
      </c>
      <c r="C122">
        <v>9433</v>
      </c>
      <c r="D122">
        <v>1233</v>
      </c>
      <c r="E122">
        <v>756944</v>
      </c>
      <c r="F122">
        <v>11.391727789638329</v>
      </c>
      <c r="G122">
        <v>12096</v>
      </c>
      <c r="H122" s="44">
        <v>1.0833033883616226E-2</v>
      </c>
      <c r="I122">
        <v>8200</v>
      </c>
    </row>
    <row r="123" spans="1:9" x14ac:dyDescent="0.25">
      <c r="A123" s="43">
        <v>45656</v>
      </c>
      <c r="B123" t="s">
        <v>25</v>
      </c>
      <c r="C123">
        <v>4897</v>
      </c>
      <c r="D123">
        <v>683</v>
      </c>
      <c r="E123">
        <v>761158</v>
      </c>
      <c r="F123">
        <v>15.06231294947961</v>
      </c>
      <c r="G123">
        <v>58201</v>
      </c>
      <c r="H123" s="44">
        <v>5.5363012672795921E-3</v>
      </c>
      <c r="I123">
        <v>4214</v>
      </c>
    </row>
    <row r="124" spans="1:9" x14ac:dyDescent="0.25">
      <c r="A124" s="43">
        <v>45656</v>
      </c>
      <c r="B124" t="s">
        <v>20</v>
      </c>
      <c r="C124">
        <v>9123</v>
      </c>
      <c r="D124">
        <v>746</v>
      </c>
      <c r="E124">
        <v>769535</v>
      </c>
      <c r="F124">
        <v>6.3086149427901264</v>
      </c>
      <c r="G124">
        <v>35279</v>
      </c>
      <c r="H124" s="44">
        <v>1.0885794668208723E-2</v>
      </c>
      <c r="I124">
        <v>8377</v>
      </c>
    </row>
    <row r="125" spans="1:9" x14ac:dyDescent="0.25">
      <c r="A125" s="43">
        <v>45656</v>
      </c>
      <c r="B125" t="s">
        <v>47</v>
      </c>
      <c r="C125">
        <v>3279</v>
      </c>
      <c r="D125">
        <v>200</v>
      </c>
      <c r="E125">
        <v>772614</v>
      </c>
      <c r="F125">
        <v>5.0212654702089274</v>
      </c>
      <c r="G125">
        <v>53363</v>
      </c>
      <c r="H125" s="44">
        <v>3.9851724146857288E-3</v>
      </c>
      <c r="I125">
        <v>3079</v>
      </c>
    </row>
    <row r="126" spans="1:9" x14ac:dyDescent="0.25">
      <c r="A126" s="43">
        <v>45663</v>
      </c>
      <c r="B126" t="s">
        <v>20</v>
      </c>
      <c r="C126">
        <v>9980</v>
      </c>
      <c r="D126">
        <v>726</v>
      </c>
      <c r="E126">
        <v>781868</v>
      </c>
      <c r="F126">
        <v>4.0220344099003924</v>
      </c>
      <c r="G126">
        <v>58709</v>
      </c>
      <c r="H126" s="44">
        <v>1.1835757442432739E-2</v>
      </c>
      <c r="I126">
        <v>9254</v>
      </c>
    </row>
    <row r="127" spans="1:9" x14ac:dyDescent="0.25">
      <c r="A127" s="43">
        <v>45663</v>
      </c>
      <c r="B127" t="s">
        <v>47</v>
      </c>
      <c r="C127">
        <v>8451</v>
      </c>
      <c r="D127">
        <v>783</v>
      </c>
      <c r="E127">
        <v>789536</v>
      </c>
      <c r="F127">
        <v>12.407287318121019</v>
      </c>
      <c r="G127">
        <v>36201</v>
      </c>
      <c r="H127" s="44">
        <v>9.7120333968305442E-3</v>
      </c>
      <c r="I127">
        <v>7668</v>
      </c>
    </row>
    <row r="128" spans="1:9" x14ac:dyDescent="0.25">
      <c r="A128" s="43">
        <v>45663</v>
      </c>
      <c r="B128" t="s">
        <v>14</v>
      </c>
      <c r="C128">
        <v>9906</v>
      </c>
      <c r="D128">
        <v>1305</v>
      </c>
      <c r="E128">
        <v>798137</v>
      </c>
      <c r="F128">
        <v>9.1811305577864442</v>
      </c>
      <c r="G128">
        <v>29715</v>
      </c>
      <c r="H128" s="44">
        <v>1.0776345414383746E-2</v>
      </c>
      <c r="I128">
        <v>8601</v>
      </c>
    </row>
    <row r="129" spans="1:9" x14ac:dyDescent="0.25">
      <c r="A129" s="43">
        <v>45663</v>
      </c>
      <c r="B129" t="s">
        <v>47</v>
      </c>
      <c r="C129">
        <v>1775</v>
      </c>
      <c r="D129">
        <v>241</v>
      </c>
      <c r="E129">
        <v>799671</v>
      </c>
      <c r="F129">
        <v>8.1379717408784362</v>
      </c>
      <c r="G129">
        <v>39309</v>
      </c>
      <c r="H129" s="44">
        <v>1.918288896308607E-3</v>
      </c>
      <c r="I129">
        <v>1534</v>
      </c>
    </row>
    <row r="130" spans="1:9" x14ac:dyDescent="0.25">
      <c r="A130" s="43">
        <v>45670</v>
      </c>
      <c r="B130" t="s">
        <v>20</v>
      </c>
      <c r="C130">
        <v>7869</v>
      </c>
      <c r="D130">
        <v>398</v>
      </c>
      <c r="E130">
        <v>807142</v>
      </c>
      <c r="F130">
        <v>15.211945357818079</v>
      </c>
      <c r="G130">
        <v>25078</v>
      </c>
      <c r="H130" s="44">
        <v>9.2561160241940079E-3</v>
      </c>
      <c r="I130">
        <v>7471</v>
      </c>
    </row>
    <row r="131" spans="1:9" x14ac:dyDescent="0.25">
      <c r="A131" s="43">
        <v>45670</v>
      </c>
      <c r="B131" t="s">
        <v>25</v>
      </c>
      <c r="C131">
        <v>3247</v>
      </c>
      <c r="D131">
        <v>328</v>
      </c>
      <c r="E131">
        <v>810061</v>
      </c>
      <c r="F131">
        <v>13.941172331466399</v>
      </c>
      <c r="G131">
        <v>15105</v>
      </c>
      <c r="H131" s="44">
        <v>3.6034323341081723E-3</v>
      </c>
      <c r="I131">
        <v>2919</v>
      </c>
    </row>
    <row r="132" spans="1:9" x14ac:dyDescent="0.25">
      <c r="A132" s="43">
        <v>45670</v>
      </c>
      <c r="B132" t="s">
        <v>47</v>
      </c>
      <c r="C132">
        <v>8088</v>
      </c>
      <c r="D132">
        <v>742</v>
      </c>
      <c r="E132">
        <v>817407</v>
      </c>
      <c r="F132">
        <v>14.664542877660701</v>
      </c>
      <c r="G132">
        <v>39312</v>
      </c>
      <c r="H132" s="44">
        <v>8.9869550909155421E-3</v>
      </c>
      <c r="I132">
        <v>7346</v>
      </c>
    </row>
    <row r="133" spans="1:9" x14ac:dyDescent="0.25">
      <c r="A133" s="43">
        <v>45670</v>
      </c>
      <c r="B133" t="s">
        <v>14</v>
      </c>
      <c r="C133">
        <v>1078</v>
      </c>
      <c r="D133">
        <v>77</v>
      </c>
      <c r="E133">
        <v>818408</v>
      </c>
      <c r="F133">
        <v>18.236747441373989</v>
      </c>
      <c r="G133">
        <v>12839</v>
      </c>
      <c r="H133" s="44">
        <v>1.2231063234963489E-3</v>
      </c>
      <c r="I133">
        <v>1001</v>
      </c>
    </row>
    <row r="134" spans="1:9" x14ac:dyDescent="0.25">
      <c r="A134" s="43">
        <v>45677</v>
      </c>
      <c r="B134" t="s">
        <v>47</v>
      </c>
      <c r="C134">
        <v>9080</v>
      </c>
      <c r="D134">
        <v>562</v>
      </c>
      <c r="E134">
        <v>826926</v>
      </c>
      <c r="F134">
        <v>7.1083748727213809</v>
      </c>
      <c r="G134">
        <v>13384</v>
      </c>
      <c r="H134" s="44">
        <v>1.0300800797169276E-2</v>
      </c>
      <c r="I134">
        <v>8518</v>
      </c>
    </row>
    <row r="135" spans="1:9" x14ac:dyDescent="0.25">
      <c r="A135" s="43">
        <v>45677</v>
      </c>
      <c r="B135" t="s">
        <v>47</v>
      </c>
      <c r="C135">
        <v>8099</v>
      </c>
      <c r="D135">
        <v>678</v>
      </c>
      <c r="E135">
        <v>834347</v>
      </c>
      <c r="F135">
        <v>7.6464588474579518</v>
      </c>
      <c r="G135">
        <v>53619</v>
      </c>
      <c r="H135" s="44">
        <v>8.8943808751035247E-3</v>
      </c>
      <c r="I135">
        <v>7421</v>
      </c>
    </row>
    <row r="136" spans="1:9" x14ac:dyDescent="0.25">
      <c r="A136" s="43">
        <v>45677</v>
      </c>
      <c r="B136" t="s">
        <v>47</v>
      </c>
      <c r="C136">
        <v>4926</v>
      </c>
      <c r="D136">
        <v>710</v>
      </c>
      <c r="E136">
        <v>838563</v>
      </c>
      <c r="F136">
        <v>12.96217457722318</v>
      </c>
      <c r="G136">
        <v>52821</v>
      </c>
      <c r="H136" s="44">
        <v>5.0276484891415433E-3</v>
      </c>
      <c r="I136">
        <v>4216</v>
      </c>
    </row>
    <row r="137" spans="1:9" x14ac:dyDescent="0.25">
      <c r="A137" s="43">
        <v>45677</v>
      </c>
      <c r="B137" t="s">
        <v>14</v>
      </c>
      <c r="C137">
        <v>8340</v>
      </c>
      <c r="D137">
        <v>686</v>
      </c>
      <c r="E137">
        <v>846217</v>
      </c>
      <c r="F137">
        <v>7.201344336027284</v>
      </c>
      <c r="G137">
        <v>23493</v>
      </c>
      <c r="H137" s="44">
        <v>9.0449612806171465E-3</v>
      </c>
      <c r="I137">
        <v>7654</v>
      </c>
    </row>
    <row r="138" spans="1:9" x14ac:dyDescent="0.25">
      <c r="A138" s="43">
        <v>45684</v>
      </c>
      <c r="B138" t="s">
        <v>20</v>
      </c>
      <c r="C138">
        <v>8083</v>
      </c>
      <c r="D138">
        <v>823</v>
      </c>
      <c r="E138">
        <v>853477</v>
      </c>
      <c r="F138">
        <v>4.6300017457998282</v>
      </c>
      <c r="G138">
        <v>27069</v>
      </c>
      <c r="H138" s="44">
        <v>8.5063803711172073E-3</v>
      </c>
      <c r="I138">
        <v>7260</v>
      </c>
    </row>
    <row r="139" spans="1:9" x14ac:dyDescent="0.25">
      <c r="A139" s="43">
        <v>45684</v>
      </c>
      <c r="B139" t="s">
        <v>47</v>
      </c>
      <c r="C139">
        <v>7230</v>
      </c>
      <c r="D139">
        <v>869</v>
      </c>
      <c r="E139">
        <v>859838</v>
      </c>
      <c r="F139">
        <v>7.0117859410726204</v>
      </c>
      <c r="G139">
        <v>56907</v>
      </c>
      <c r="H139" s="44">
        <v>7.397905186791E-3</v>
      </c>
      <c r="I139">
        <v>6361</v>
      </c>
    </row>
    <row r="140" spans="1:9" x14ac:dyDescent="0.25">
      <c r="A140" s="43">
        <v>45684</v>
      </c>
      <c r="B140" t="s">
        <v>47</v>
      </c>
      <c r="C140">
        <v>5940</v>
      </c>
      <c r="D140">
        <v>512</v>
      </c>
      <c r="E140">
        <v>865266</v>
      </c>
      <c r="F140">
        <v>15.7972230504839</v>
      </c>
      <c r="G140">
        <v>17531</v>
      </c>
      <c r="H140" s="44">
        <v>6.2732154042803023E-3</v>
      </c>
      <c r="I140">
        <v>5428</v>
      </c>
    </row>
    <row r="141" spans="1:9" x14ac:dyDescent="0.25">
      <c r="A141" s="43">
        <v>45684</v>
      </c>
      <c r="B141" t="s">
        <v>25</v>
      </c>
      <c r="C141">
        <v>4271</v>
      </c>
      <c r="D141">
        <v>628</v>
      </c>
      <c r="E141">
        <v>868909</v>
      </c>
      <c r="F141">
        <v>11.124410036033691</v>
      </c>
      <c r="G141">
        <v>47051</v>
      </c>
      <c r="H141" s="44">
        <v>4.1926139561219876E-3</v>
      </c>
      <c r="I141">
        <v>3643</v>
      </c>
    </row>
    <row r="142" spans="1:9" x14ac:dyDescent="0.25">
      <c r="A142" s="43">
        <v>45691</v>
      </c>
      <c r="B142" t="s">
        <v>14</v>
      </c>
      <c r="C142">
        <v>4456</v>
      </c>
      <c r="D142">
        <v>651</v>
      </c>
      <c r="E142">
        <v>872714</v>
      </c>
      <c r="F142">
        <v>9.5052903929580594</v>
      </c>
      <c r="G142">
        <v>17736</v>
      </c>
      <c r="H142" s="44">
        <v>4.3599621410908961E-3</v>
      </c>
      <c r="I142">
        <v>3805</v>
      </c>
    </row>
    <row r="143" spans="1:9" x14ac:dyDescent="0.25">
      <c r="A143" s="43">
        <v>45691</v>
      </c>
      <c r="B143" t="s">
        <v>47</v>
      </c>
      <c r="C143">
        <v>8788</v>
      </c>
      <c r="D143">
        <v>660</v>
      </c>
      <c r="E143">
        <v>880842</v>
      </c>
      <c r="F143">
        <v>3.7175793161543158</v>
      </c>
      <c r="G143">
        <v>17710</v>
      </c>
      <c r="H143" s="44">
        <v>9.2275345635199051E-3</v>
      </c>
      <c r="I143">
        <v>8128</v>
      </c>
    </row>
    <row r="144" spans="1:9" x14ac:dyDescent="0.25">
      <c r="A144" s="43">
        <v>45691</v>
      </c>
      <c r="B144" t="s">
        <v>14</v>
      </c>
      <c r="C144">
        <v>9599</v>
      </c>
      <c r="D144">
        <v>957</v>
      </c>
      <c r="E144">
        <v>889484</v>
      </c>
      <c r="F144">
        <v>8.768004820772493</v>
      </c>
      <c r="G144">
        <v>11619</v>
      </c>
      <c r="H144" s="44">
        <v>9.7157453085159485E-3</v>
      </c>
      <c r="I144">
        <v>8642</v>
      </c>
    </row>
    <row r="145" spans="1:9" x14ac:dyDescent="0.25">
      <c r="A145" s="43">
        <v>45691</v>
      </c>
      <c r="B145" t="s">
        <v>47</v>
      </c>
      <c r="C145">
        <v>8650</v>
      </c>
      <c r="D145">
        <v>692</v>
      </c>
      <c r="E145">
        <v>897442</v>
      </c>
      <c r="F145">
        <v>7.6673478620345374</v>
      </c>
      <c r="G145">
        <v>23975</v>
      </c>
      <c r="H145" s="44">
        <v>8.8674254157928862E-3</v>
      </c>
      <c r="I145">
        <v>7958</v>
      </c>
    </row>
    <row r="146" spans="1:9" x14ac:dyDescent="0.25">
      <c r="A146" s="43">
        <v>45698</v>
      </c>
      <c r="B146" t="s">
        <v>20</v>
      </c>
      <c r="C146">
        <v>3711</v>
      </c>
      <c r="D146">
        <v>291</v>
      </c>
      <c r="E146">
        <v>900862</v>
      </c>
      <c r="F146">
        <v>14.24879726306582</v>
      </c>
      <c r="G146">
        <v>55603</v>
      </c>
      <c r="H146" s="44">
        <v>3.7963639269943676E-3</v>
      </c>
      <c r="I146">
        <v>3420</v>
      </c>
    </row>
    <row r="147" spans="1:9" x14ac:dyDescent="0.25">
      <c r="A147" s="43">
        <v>45698</v>
      </c>
      <c r="B147" t="s">
        <v>20</v>
      </c>
      <c r="C147">
        <v>2668</v>
      </c>
      <c r="D147">
        <v>143</v>
      </c>
      <c r="E147">
        <v>903387</v>
      </c>
      <c r="F147">
        <v>15.903372530266649</v>
      </c>
      <c r="G147">
        <v>33252</v>
      </c>
      <c r="H147" s="44">
        <v>2.795036900021807E-3</v>
      </c>
      <c r="I147">
        <v>2525</v>
      </c>
    </row>
    <row r="148" spans="1:9" x14ac:dyDescent="0.25">
      <c r="A148" s="43">
        <v>45698</v>
      </c>
      <c r="B148" t="s">
        <v>47</v>
      </c>
      <c r="C148">
        <v>1147</v>
      </c>
      <c r="D148">
        <v>127</v>
      </c>
      <c r="E148">
        <v>904407</v>
      </c>
      <c r="F148">
        <v>1.3997016829812241</v>
      </c>
      <c r="G148">
        <v>25261</v>
      </c>
      <c r="H148" s="44">
        <v>1.1278108196862695E-3</v>
      </c>
      <c r="I148">
        <v>1020</v>
      </c>
    </row>
    <row r="149" spans="1:9" x14ac:dyDescent="0.25">
      <c r="A149" s="43">
        <v>45698</v>
      </c>
      <c r="B149" t="s">
        <v>20</v>
      </c>
      <c r="C149">
        <v>7420</v>
      </c>
      <c r="D149">
        <v>743</v>
      </c>
      <c r="E149">
        <v>911084</v>
      </c>
      <c r="F149">
        <v>10.593534734448189</v>
      </c>
      <c r="G149">
        <v>11431</v>
      </c>
      <c r="H149" s="44">
        <v>7.3286327056561193E-3</v>
      </c>
      <c r="I149">
        <v>6677</v>
      </c>
    </row>
    <row r="150" spans="1:9" x14ac:dyDescent="0.25">
      <c r="A150" s="43">
        <v>45705</v>
      </c>
      <c r="B150" t="s">
        <v>47</v>
      </c>
      <c r="C150">
        <v>1365</v>
      </c>
      <c r="D150">
        <v>75</v>
      </c>
      <c r="E150">
        <v>912374</v>
      </c>
      <c r="F150">
        <v>9.2688963078737441</v>
      </c>
      <c r="G150">
        <v>19067</v>
      </c>
      <c r="H150" s="44">
        <v>1.4138938637006315E-3</v>
      </c>
      <c r="I150">
        <v>1290</v>
      </c>
    </row>
    <row r="151" spans="1:9" x14ac:dyDescent="0.25">
      <c r="A151" s="43">
        <v>45705</v>
      </c>
      <c r="B151" t="s">
        <v>20</v>
      </c>
      <c r="C151">
        <v>5531</v>
      </c>
      <c r="D151">
        <v>430</v>
      </c>
      <c r="E151">
        <v>917475</v>
      </c>
      <c r="F151">
        <v>2.7289026948963189</v>
      </c>
      <c r="G151">
        <v>47481</v>
      </c>
      <c r="H151" s="44">
        <v>5.5598245183792472E-3</v>
      </c>
      <c r="I151">
        <v>5101</v>
      </c>
    </row>
    <row r="152" spans="1:9" x14ac:dyDescent="0.25">
      <c r="A152" s="43">
        <v>45705</v>
      </c>
      <c r="B152" t="s">
        <v>25</v>
      </c>
      <c r="C152">
        <v>6330</v>
      </c>
      <c r="D152">
        <v>891</v>
      </c>
      <c r="E152">
        <v>922914</v>
      </c>
      <c r="F152">
        <v>14.789893749580139</v>
      </c>
      <c r="G152">
        <v>37037</v>
      </c>
      <c r="H152" s="44">
        <v>5.8932901657142486E-3</v>
      </c>
      <c r="I152">
        <v>5439</v>
      </c>
    </row>
    <row r="153" spans="1:9" x14ac:dyDescent="0.25">
      <c r="A153" s="43">
        <v>45705</v>
      </c>
      <c r="B153" t="s">
        <v>25</v>
      </c>
      <c r="C153">
        <v>6510</v>
      </c>
      <c r="D153">
        <v>481</v>
      </c>
      <c r="E153">
        <v>928943</v>
      </c>
      <c r="F153">
        <v>2.3800168578696428</v>
      </c>
      <c r="G153">
        <v>19557</v>
      </c>
      <c r="H153" s="44">
        <v>6.4901721634158397E-3</v>
      </c>
      <c r="I153">
        <v>6029</v>
      </c>
    </row>
    <row r="154" spans="1:9" x14ac:dyDescent="0.25">
      <c r="A154" s="43">
        <v>45712</v>
      </c>
      <c r="B154" t="s">
        <v>25</v>
      </c>
      <c r="C154">
        <v>9754</v>
      </c>
      <c r="D154">
        <v>629</v>
      </c>
      <c r="E154">
        <v>938068</v>
      </c>
      <c r="F154">
        <v>3.4123325814333292</v>
      </c>
      <c r="G154">
        <v>19435</v>
      </c>
      <c r="H154" s="44">
        <v>9.7274398018054129E-3</v>
      </c>
      <c r="I154">
        <v>9125</v>
      </c>
    </row>
    <row r="155" spans="1:9" x14ac:dyDescent="0.25">
      <c r="A155" s="43">
        <v>45712</v>
      </c>
      <c r="B155" t="s">
        <v>14</v>
      </c>
      <c r="C155">
        <v>9964</v>
      </c>
      <c r="D155">
        <v>985</v>
      </c>
      <c r="E155">
        <v>947047</v>
      </c>
      <c r="F155">
        <v>1.9837452629066989</v>
      </c>
      <c r="G155">
        <v>47766</v>
      </c>
      <c r="H155" s="44">
        <v>9.4810500429228957E-3</v>
      </c>
      <c r="I155">
        <v>8979</v>
      </c>
    </row>
    <row r="156" spans="1:9" x14ac:dyDescent="0.25">
      <c r="A156" s="43">
        <v>45712</v>
      </c>
      <c r="B156" t="s">
        <v>14</v>
      </c>
      <c r="C156">
        <v>7493</v>
      </c>
      <c r="D156">
        <v>1113</v>
      </c>
      <c r="E156">
        <v>953427</v>
      </c>
      <c r="F156">
        <v>15.684892498324469</v>
      </c>
      <c r="G156">
        <v>10162</v>
      </c>
      <c r="H156" s="44">
        <v>6.6916502259743013E-3</v>
      </c>
      <c r="I156">
        <v>6380</v>
      </c>
    </row>
    <row r="157" spans="1:9" x14ac:dyDescent="0.25">
      <c r="A157" s="43">
        <v>45712</v>
      </c>
      <c r="B157" t="s">
        <v>25</v>
      </c>
      <c r="C157">
        <v>6439</v>
      </c>
      <c r="D157">
        <v>477</v>
      </c>
      <c r="E157">
        <v>959389</v>
      </c>
      <c r="F157">
        <v>7.4744446725989153</v>
      </c>
      <c r="G157">
        <v>44742</v>
      </c>
      <c r="H157" s="44">
        <v>6.2143718554204808E-3</v>
      </c>
      <c r="I157">
        <v>5962</v>
      </c>
    </row>
    <row r="158" spans="1:9" x14ac:dyDescent="0.25">
      <c r="A158" s="43">
        <v>45719</v>
      </c>
      <c r="B158" t="s">
        <v>14</v>
      </c>
      <c r="C158">
        <v>7511</v>
      </c>
      <c r="D158">
        <v>880</v>
      </c>
      <c r="E158">
        <v>966020</v>
      </c>
      <c r="F158">
        <v>4.6083932009689246</v>
      </c>
      <c r="G158">
        <v>29675</v>
      </c>
      <c r="H158" s="44">
        <v>6.8642471170369144E-3</v>
      </c>
      <c r="I158">
        <v>6631</v>
      </c>
    </row>
    <row r="159" spans="1:9" x14ac:dyDescent="0.25">
      <c r="A159" s="43">
        <v>45719</v>
      </c>
      <c r="B159" t="s">
        <v>20</v>
      </c>
      <c r="C159">
        <v>8504</v>
      </c>
      <c r="D159">
        <v>1072</v>
      </c>
      <c r="E159">
        <v>973452</v>
      </c>
      <c r="F159">
        <v>6.5651927367759271</v>
      </c>
      <c r="G159">
        <v>18461</v>
      </c>
      <c r="H159" s="44">
        <v>7.6346856342171983E-3</v>
      </c>
      <c r="I159">
        <v>7432</v>
      </c>
    </row>
    <row r="160" spans="1:9" x14ac:dyDescent="0.25">
      <c r="A160" s="43">
        <v>45719</v>
      </c>
      <c r="B160" t="s">
        <v>47</v>
      </c>
      <c r="C160">
        <v>2246</v>
      </c>
      <c r="D160">
        <v>165</v>
      </c>
      <c r="E160">
        <v>975533</v>
      </c>
      <c r="F160">
        <v>2.9062061457685191</v>
      </c>
      <c r="G160">
        <v>27015</v>
      </c>
      <c r="H160" s="44">
        <v>2.1331928289458173E-3</v>
      </c>
      <c r="I160">
        <v>2081</v>
      </c>
    </row>
    <row r="161" spans="1:9" x14ac:dyDescent="0.25">
      <c r="A161" s="43">
        <v>45719</v>
      </c>
      <c r="B161" t="s">
        <v>47</v>
      </c>
      <c r="C161">
        <v>4839</v>
      </c>
      <c r="D161">
        <v>594</v>
      </c>
      <c r="E161">
        <v>979778</v>
      </c>
      <c r="F161">
        <v>2.5803804535313102</v>
      </c>
      <c r="G161">
        <v>42591</v>
      </c>
      <c r="H161" s="44">
        <v>4.3326141227910814E-3</v>
      </c>
      <c r="I161">
        <v>4245</v>
      </c>
    </row>
    <row r="162" spans="1:9" x14ac:dyDescent="0.25">
      <c r="A162" s="43">
        <v>45726</v>
      </c>
      <c r="B162" t="s">
        <v>47</v>
      </c>
      <c r="C162">
        <v>9551</v>
      </c>
      <c r="D162">
        <v>828</v>
      </c>
      <c r="E162">
        <v>988501</v>
      </c>
      <c r="F162">
        <v>1.525036393488727</v>
      </c>
      <c r="G162">
        <v>38047</v>
      </c>
      <c r="H162" s="44">
        <v>8.8244726105487E-3</v>
      </c>
      <c r="I162">
        <v>8723</v>
      </c>
    </row>
    <row r="163" spans="1:9" x14ac:dyDescent="0.25">
      <c r="A163" s="43">
        <v>45726</v>
      </c>
      <c r="B163" t="s">
        <v>25</v>
      </c>
      <c r="C163">
        <v>3376</v>
      </c>
      <c r="D163">
        <v>382</v>
      </c>
      <c r="E163">
        <v>991495</v>
      </c>
      <c r="F163">
        <v>3.8694093263203548</v>
      </c>
      <c r="G163">
        <v>44782</v>
      </c>
      <c r="H163" s="44">
        <v>3.0196823988018094E-3</v>
      </c>
      <c r="I163">
        <v>2994</v>
      </c>
    </row>
    <row r="164" spans="1:9" x14ac:dyDescent="0.25">
      <c r="A164" s="43">
        <v>45726</v>
      </c>
      <c r="B164" t="s">
        <v>14</v>
      </c>
      <c r="C164">
        <v>4009</v>
      </c>
      <c r="D164">
        <v>454</v>
      </c>
      <c r="E164">
        <v>995050</v>
      </c>
      <c r="F164">
        <v>2.1106477061454201</v>
      </c>
      <c r="G164">
        <v>19833</v>
      </c>
      <c r="H164" s="44">
        <v>3.5726847897090599E-3</v>
      </c>
      <c r="I164">
        <v>3555</v>
      </c>
    </row>
    <row r="165" spans="1:9" x14ac:dyDescent="0.25">
      <c r="A165" s="43">
        <v>45726</v>
      </c>
      <c r="B165" t="s">
        <v>20</v>
      </c>
      <c r="C165">
        <v>2827</v>
      </c>
      <c r="D165">
        <v>292</v>
      </c>
      <c r="E165">
        <v>997585</v>
      </c>
      <c r="F165">
        <v>2.4004972007397871</v>
      </c>
      <c r="G165">
        <v>17896</v>
      </c>
      <c r="H165" s="44">
        <v>2.5411368454818384E-3</v>
      </c>
      <c r="I165">
        <v>2535</v>
      </c>
    </row>
    <row r="166" spans="1:9" x14ac:dyDescent="0.25">
      <c r="A166" s="43">
        <v>45733</v>
      </c>
      <c r="B166" t="s">
        <v>20</v>
      </c>
      <c r="C166">
        <v>7979</v>
      </c>
      <c r="D166">
        <v>470</v>
      </c>
      <c r="E166">
        <v>1005094</v>
      </c>
      <c r="F166">
        <v>10.43086517280971</v>
      </c>
      <c r="G166">
        <v>42972</v>
      </c>
      <c r="H166" s="44">
        <v>7.4709430162750948E-3</v>
      </c>
      <c r="I166">
        <v>7509</v>
      </c>
    </row>
    <row r="167" spans="1:9" x14ac:dyDescent="0.25">
      <c r="A167" s="43">
        <v>45733</v>
      </c>
      <c r="B167" t="s">
        <v>25</v>
      </c>
      <c r="C167">
        <v>9569</v>
      </c>
      <c r="D167">
        <v>1277</v>
      </c>
      <c r="E167">
        <v>1013386</v>
      </c>
      <c r="F167">
        <v>12.45517502708741</v>
      </c>
      <c r="G167">
        <v>59733</v>
      </c>
      <c r="H167" s="44">
        <v>8.1824694637581338E-3</v>
      </c>
      <c r="I167">
        <v>8292</v>
      </c>
    </row>
    <row r="168" spans="1:9" x14ac:dyDescent="0.25">
      <c r="A168" s="43">
        <v>45733</v>
      </c>
      <c r="B168" t="s">
        <v>20</v>
      </c>
      <c r="C168">
        <v>5285</v>
      </c>
      <c r="D168">
        <v>433</v>
      </c>
      <c r="E168">
        <v>1018238</v>
      </c>
      <c r="F168">
        <v>8.7022876773406619</v>
      </c>
      <c r="G168">
        <v>51800</v>
      </c>
      <c r="H168" s="44">
        <v>4.7650942117658151E-3</v>
      </c>
      <c r="I168">
        <v>4852</v>
      </c>
    </row>
    <row r="169" spans="1:9" x14ac:dyDescent="0.25">
      <c r="A169" s="43">
        <v>45733</v>
      </c>
      <c r="B169" t="s">
        <v>20</v>
      </c>
      <c r="C169">
        <v>7910</v>
      </c>
      <c r="D169">
        <v>543</v>
      </c>
      <c r="E169">
        <v>1025605</v>
      </c>
      <c r="F169">
        <v>6.0590578244060822</v>
      </c>
      <c r="G169">
        <v>40508</v>
      </c>
      <c r="H169" s="44">
        <v>7.183077305590359E-3</v>
      </c>
      <c r="I169">
        <v>7367</v>
      </c>
    </row>
    <row r="170" spans="1:9" x14ac:dyDescent="0.25">
      <c r="A170" s="43">
        <v>45740</v>
      </c>
      <c r="B170" t="s">
        <v>20</v>
      </c>
      <c r="C170">
        <v>9561</v>
      </c>
      <c r="D170">
        <v>517</v>
      </c>
      <c r="E170">
        <v>1034649</v>
      </c>
      <c r="F170">
        <v>6.4086467971263694</v>
      </c>
      <c r="G170">
        <v>15347</v>
      </c>
      <c r="H170" s="44">
        <v>8.741128633961856E-3</v>
      </c>
      <c r="I170">
        <v>9044</v>
      </c>
    </row>
    <row r="171" spans="1:9" x14ac:dyDescent="0.25">
      <c r="A171" s="43">
        <v>45740</v>
      </c>
      <c r="B171" t="s">
        <v>20</v>
      </c>
      <c r="C171">
        <v>3196</v>
      </c>
      <c r="D171">
        <v>348</v>
      </c>
      <c r="E171">
        <v>1037497</v>
      </c>
      <c r="F171">
        <v>14.03040201562029</v>
      </c>
      <c r="G171">
        <v>40314</v>
      </c>
      <c r="H171" s="44">
        <v>2.7450681785103955E-3</v>
      </c>
      <c r="I171">
        <v>2848</v>
      </c>
    </row>
    <row r="172" spans="1:9" x14ac:dyDescent="0.25">
      <c r="A172" s="43">
        <v>45740</v>
      </c>
      <c r="B172" t="s">
        <v>14</v>
      </c>
      <c r="C172">
        <v>4747</v>
      </c>
      <c r="D172">
        <v>558</v>
      </c>
      <c r="E172">
        <v>1041686</v>
      </c>
      <c r="F172">
        <v>5.7680529449373434</v>
      </c>
      <c r="G172">
        <v>12643</v>
      </c>
      <c r="H172" s="44">
        <v>4.021365363458854E-3</v>
      </c>
      <c r="I172">
        <v>4189</v>
      </c>
    </row>
    <row r="173" spans="1:9" x14ac:dyDescent="0.25">
      <c r="A173" s="43">
        <v>45740</v>
      </c>
      <c r="B173" t="s">
        <v>20</v>
      </c>
      <c r="C173">
        <v>9843</v>
      </c>
      <c r="D173">
        <v>508</v>
      </c>
      <c r="E173">
        <v>1051021</v>
      </c>
      <c r="F173">
        <v>4.2080986012648651</v>
      </c>
      <c r="G173">
        <v>50785</v>
      </c>
      <c r="H173" s="44">
        <v>8.8818396587699005E-3</v>
      </c>
      <c r="I173">
        <v>9335</v>
      </c>
    </row>
    <row r="174" spans="1:9" x14ac:dyDescent="0.25">
      <c r="A174" s="43">
        <v>45747</v>
      </c>
      <c r="B174" t="s">
        <v>47</v>
      </c>
      <c r="C174">
        <v>6978</v>
      </c>
      <c r="D174">
        <v>706</v>
      </c>
      <c r="E174">
        <v>1057293</v>
      </c>
      <c r="F174">
        <v>5.057443868445171</v>
      </c>
      <c r="G174">
        <v>28681</v>
      </c>
      <c r="H174" s="44">
        <v>5.9321304501212058E-3</v>
      </c>
      <c r="I174">
        <v>6272</v>
      </c>
    </row>
    <row r="175" spans="1:9" x14ac:dyDescent="0.25">
      <c r="A175" s="43">
        <v>45747</v>
      </c>
      <c r="B175" t="s">
        <v>25</v>
      </c>
      <c r="C175">
        <v>6607</v>
      </c>
      <c r="D175">
        <v>479</v>
      </c>
      <c r="E175">
        <v>1063421</v>
      </c>
      <c r="F175">
        <v>5.5892257158735816</v>
      </c>
      <c r="G175">
        <v>48328</v>
      </c>
      <c r="H175" s="44">
        <v>5.7625343114345116E-3</v>
      </c>
      <c r="I175">
        <v>6128</v>
      </c>
    </row>
    <row r="176" spans="1:9" x14ac:dyDescent="0.25">
      <c r="A176" s="43">
        <v>45747</v>
      </c>
      <c r="B176" t="s">
        <v>14</v>
      </c>
      <c r="C176">
        <v>1769</v>
      </c>
      <c r="D176">
        <v>202</v>
      </c>
      <c r="E176">
        <v>1064988</v>
      </c>
      <c r="F176">
        <v>6.5457075572682513</v>
      </c>
      <c r="G176">
        <v>25892</v>
      </c>
      <c r="H176" s="44">
        <v>1.4713780812553757E-3</v>
      </c>
      <c r="I176">
        <v>1567</v>
      </c>
    </row>
    <row r="177" spans="1:9" x14ac:dyDescent="0.25">
      <c r="A177" s="43">
        <v>45747</v>
      </c>
      <c r="B177" t="s">
        <v>20</v>
      </c>
      <c r="C177">
        <v>1780</v>
      </c>
      <c r="D177">
        <v>120</v>
      </c>
      <c r="E177">
        <v>1066648</v>
      </c>
      <c r="F177">
        <v>13.86474263299608</v>
      </c>
      <c r="G177">
        <v>57299</v>
      </c>
      <c r="H177" s="44">
        <v>1.55627723485161E-3</v>
      </c>
      <c r="I177">
        <v>1660</v>
      </c>
    </row>
    <row r="178" spans="1:9" x14ac:dyDescent="0.25">
      <c r="A178" s="43">
        <v>45754</v>
      </c>
      <c r="B178" t="s">
        <v>14</v>
      </c>
      <c r="C178">
        <v>7303</v>
      </c>
      <c r="D178">
        <v>869</v>
      </c>
      <c r="E178">
        <v>1073082</v>
      </c>
      <c r="F178">
        <v>8.1237966902808925</v>
      </c>
      <c r="G178">
        <v>27073</v>
      </c>
      <c r="H178" s="44">
        <v>5.9958139266151145E-3</v>
      </c>
      <c r="I178">
        <v>6434</v>
      </c>
    </row>
    <row r="179" spans="1:9" x14ac:dyDescent="0.25">
      <c r="A179" s="43">
        <v>45754</v>
      </c>
      <c r="B179" t="s">
        <v>20</v>
      </c>
      <c r="C179">
        <v>4983</v>
      </c>
      <c r="D179">
        <v>441</v>
      </c>
      <c r="E179">
        <v>1077624</v>
      </c>
      <c r="F179">
        <v>6.8954477628560609</v>
      </c>
      <c r="G179">
        <v>46768</v>
      </c>
      <c r="H179" s="44">
        <v>4.2148281775461569E-3</v>
      </c>
      <c r="I179">
        <v>4542</v>
      </c>
    </row>
    <row r="180" spans="1:9" x14ac:dyDescent="0.25">
      <c r="A180" s="43">
        <v>45754</v>
      </c>
      <c r="B180" t="s">
        <v>47</v>
      </c>
      <c r="C180">
        <v>9714</v>
      </c>
      <c r="D180">
        <v>1395</v>
      </c>
      <c r="E180">
        <v>1085943</v>
      </c>
      <c r="F180">
        <v>5.2243073531483697</v>
      </c>
      <c r="G180">
        <v>40682</v>
      </c>
      <c r="H180" s="44">
        <v>7.6606230713766746E-3</v>
      </c>
      <c r="I180">
        <v>8319</v>
      </c>
    </row>
    <row r="181" spans="1:9" x14ac:dyDescent="0.25">
      <c r="A181" s="43">
        <v>45754</v>
      </c>
      <c r="B181" t="s">
        <v>25</v>
      </c>
      <c r="C181">
        <v>1521</v>
      </c>
      <c r="D181">
        <v>96</v>
      </c>
      <c r="E181">
        <v>1087368</v>
      </c>
      <c r="F181">
        <v>12.709772588488899</v>
      </c>
      <c r="G181">
        <v>42262</v>
      </c>
      <c r="H181" s="44">
        <v>1.3105038956452645E-3</v>
      </c>
      <c r="I181">
        <v>1425</v>
      </c>
    </row>
    <row r="182" spans="1:9" x14ac:dyDescent="0.25">
      <c r="A182" s="43">
        <v>45761</v>
      </c>
      <c r="B182" t="s">
        <v>20</v>
      </c>
      <c r="C182">
        <v>8569</v>
      </c>
      <c r="D182">
        <v>720</v>
      </c>
      <c r="E182">
        <v>1095217</v>
      </c>
      <c r="F182">
        <v>9.589697749395782</v>
      </c>
      <c r="G182">
        <v>41358</v>
      </c>
      <c r="H182" s="44">
        <v>7.1666162961312686E-3</v>
      </c>
      <c r="I182">
        <v>7849</v>
      </c>
    </row>
    <row r="183" spans="1:9" x14ac:dyDescent="0.25">
      <c r="A183" s="43">
        <v>45761</v>
      </c>
      <c r="B183" t="s">
        <v>20</v>
      </c>
      <c r="C183">
        <v>6784</v>
      </c>
      <c r="D183">
        <v>416</v>
      </c>
      <c r="E183">
        <v>1101585</v>
      </c>
      <c r="F183">
        <v>9.3041390360253633</v>
      </c>
      <c r="G183">
        <v>24289</v>
      </c>
      <c r="H183" s="44">
        <v>5.7807613574985131E-3</v>
      </c>
      <c r="I183">
        <v>6368</v>
      </c>
    </row>
    <row r="184" spans="1:9" x14ac:dyDescent="0.25">
      <c r="A184" s="43">
        <v>45761</v>
      </c>
      <c r="B184" t="s">
        <v>20</v>
      </c>
      <c r="C184">
        <v>5583</v>
      </c>
      <c r="D184">
        <v>795</v>
      </c>
      <c r="E184">
        <v>1106373</v>
      </c>
      <c r="F184">
        <v>12.21550055903389</v>
      </c>
      <c r="G184">
        <v>59823</v>
      </c>
      <c r="H184" s="44">
        <v>4.327654416729259E-3</v>
      </c>
      <c r="I184">
        <v>4788</v>
      </c>
    </row>
    <row r="185" spans="1:9" x14ac:dyDescent="0.25">
      <c r="A185" s="43">
        <v>45761</v>
      </c>
      <c r="B185" t="s">
        <v>20</v>
      </c>
      <c r="C185">
        <v>6946</v>
      </c>
      <c r="D185">
        <v>956</v>
      </c>
      <c r="E185">
        <v>1112363</v>
      </c>
      <c r="F185">
        <v>1.64146056637986</v>
      </c>
      <c r="G185">
        <v>17927</v>
      </c>
      <c r="H185" s="44">
        <v>5.3849327962185002E-3</v>
      </c>
      <c r="I185">
        <v>5990</v>
      </c>
    </row>
    <row r="186" spans="1:9" x14ac:dyDescent="0.25">
      <c r="A186" s="43">
        <v>45768</v>
      </c>
      <c r="B186" t="s">
        <v>25</v>
      </c>
      <c r="C186">
        <v>5941</v>
      </c>
      <c r="D186">
        <v>450</v>
      </c>
      <c r="E186">
        <v>1117854</v>
      </c>
      <c r="F186">
        <v>12.414411899944</v>
      </c>
      <c r="G186">
        <v>58330</v>
      </c>
      <c r="H186" s="44">
        <v>4.9120904876665469E-3</v>
      </c>
      <c r="I186">
        <v>5491</v>
      </c>
    </row>
    <row r="187" spans="1:9" x14ac:dyDescent="0.25">
      <c r="A187" s="43">
        <v>45768</v>
      </c>
      <c r="B187" t="s">
        <v>25</v>
      </c>
      <c r="C187">
        <v>7267</v>
      </c>
      <c r="D187">
        <v>842</v>
      </c>
      <c r="E187">
        <v>1124279</v>
      </c>
      <c r="F187">
        <v>2.2102165031989389</v>
      </c>
      <c r="G187">
        <v>11171</v>
      </c>
      <c r="H187" s="44">
        <v>5.7147736460433753E-3</v>
      </c>
      <c r="I187">
        <v>6425</v>
      </c>
    </row>
    <row r="188" spans="1:9" x14ac:dyDescent="0.25">
      <c r="A188" s="43">
        <v>45768</v>
      </c>
      <c r="B188" t="s">
        <v>47</v>
      </c>
      <c r="C188">
        <v>8128</v>
      </c>
      <c r="D188">
        <v>1070</v>
      </c>
      <c r="E188">
        <v>1131337</v>
      </c>
      <c r="F188">
        <v>8.1114645768679008</v>
      </c>
      <c r="G188">
        <v>21918</v>
      </c>
      <c r="H188" s="44">
        <v>6.2386362330587612E-3</v>
      </c>
      <c r="I188">
        <v>7058</v>
      </c>
    </row>
    <row r="189" spans="1:9" x14ac:dyDescent="0.25">
      <c r="A189" s="43">
        <v>45768</v>
      </c>
      <c r="B189" t="s">
        <v>25</v>
      </c>
      <c r="C189">
        <v>3461</v>
      </c>
      <c r="D189">
        <v>365</v>
      </c>
      <c r="E189">
        <v>1134433</v>
      </c>
      <c r="F189">
        <v>10.23489267325616</v>
      </c>
      <c r="G189">
        <v>51903</v>
      </c>
      <c r="H189" s="44">
        <v>2.7291166600407427E-3</v>
      </c>
      <c r="I189">
        <v>3096</v>
      </c>
    </row>
    <row r="190" spans="1:9" x14ac:dyDescent="0.25">
      <c r="A190" s="43">
        <v>45775</v>
      </c>
      <c r="B190" t="s">
        <v>20</v>
      </c>
      <c r="C190">
        <v>1685</v>
      </c>
      <c r="D190">
        <v>173</v>
      </c>
      <c r="E190">
        <v>1135945</v>
      </c>
      <c r="F190">
        <v>8.7776256772995165</v>
      </c>
      <c r="G190">
        <v>49110</v>
      </c>
      <c r="H190" s="44">
        <v>1.331050358952238E-3</v>
      </c>
      <c r="I190">
        <v>1512</v>
      </c>
    </row>
    <row r="191" spans="1:9" x14ac:dyDescent="0.25">
      <c r="A191" s="43">
        <v>45775</v>
      </c>
      <c r="B191" t="s">
        <v>47</v>
      </c>
      <c r="C191">
        <v>3160</v>
      </c>
      <c r="D191">
        <v>234</v>
      </c>
      <c r="E191">
        <v>1138871</v>
      </c>
      <c r="F191">
        <v>5.6959041015180816</v>
      </c>
      <c r="G191">
        <v>21929</v>
      </c>
      <c r="H191" s="44">
        <v>2.5692110871204906E-3</v>
      </c>
      <c r="I191">
        <v>2926</v>
      </c>
    </row>
    <row r="192" spans="1:9" x14ac:dyDescent="0.25">
      <c r="A192" s="43">
        <v>45775</v>
      </c>
      <c r="B192" t="s">
        <v>47</v>
      </c>
      <c r="C192">
        <v>8031</v>
      </c>
      <c r="D192">
        <v>476</v>
      </c>
      <c r="E192">
        <v>1146426</v>
      </c>
      <c r="F192">
        <v>11.940413075069831</v>
      </c>
      <c r="G192">
        <v>12539</v>
      </c>
      <c r="H192" s="44">
        <v>6.5900459340594159E-3</v>
      </c>
      <c r="I192">
        <v>7555</v>
      </c>
    </row>
    <row r="193" spans="1:9" x14ac:dyDescent="0.25">
      <c r="A193" s="43">
        <v>45775</v>
      </c>
      <c r="B193" t="s">
        <v>47</v>
      </c>
      <c r="C193">
        <v>6341</v>
      </c>
      <c r="D193">
        <v>885</v>
      </c>
      <c r="E193">
        <v>1151882</v>
      </c>
      <c r="F193">
        <v>6.3457020771224837</v>
      </c>
      <c r="G193">
        <v>46727</v>
      </c>
      <c r="H193" s="44">
        <v>4.7365962832998515E-3</v>
      </c>
      <c r="I193">
        <v>5456</v>
      </c>
    </row>
    <row r="194" spans="1:9" x14ac:dyDescent="0.25">
      <c r="A194" s="43">
        <v>45782</v>
      </c>
      <c r="B194" t="s">
        <v>20</v>
      </c>
      <c r="C194">
        <v>1038</v>
      </c>
      <c r="D194">
        <v>145</v>
      </c>
      <c r="E194">
        <v>1152775</v>
      </c>
      <c r="F194">
        <v>11.093752033137431</v>
      </c>
      <c r="G194">
        <v>55951</v>
      </c>
      <c r="H194" s="44">
        <v>7.7465246904209403E-4</v>
      </c>
      <c r="I194">
        <v>893</v>
      </c>
    </row>
    <row r="195" spans="1:9" x14ac:dyDescent="0.25">
      <c r="A195" s="43">
        <v>45782</v>
      </c>
      <c r="B195" t="s">
        <v>14</v>
      </c>
      <c r="C195">
        <v>5875</v>
      </c>
      <c r="D195">
        <v>665</v>
      </c>
      <c r="E195">
        <v>1157985</v>
      </c>
      <c r="F195">
        <v>6.9871371390821126</v>
      </c>
      <c r="G195">
        <v>32669</v>
      </c>
      <c r="H195" s="44">
        <v>4.4991947218659999E-3</v>
      </c>
      <c r="I195">
        <v>5210</v>
      </c>
    </row>
    <row r="196" spans="1:9" x14ac:dyDescent="0.25">
      <c r="A196" s="43">
        <v>45782</v>
      </c>
      <c r="B196" t="s">
        <v>20</v>
      </c>
      <c r="C196">
        <v>2256</v>
      </c>
      <c r="D196">
        <v>189</v>
      </c>
      <c r="E196">
        <v>1160052</v>
      </c>
      <c r="F196">
        <v>2.8935771844710412</v>
      </c>
      <c r="G196">
        <v>15432</v>
      </c>
      <c r="H196" s="44">
        <v>1.7818166771834366E-3</v>
      </c>
      <c r="I196">
        <v>2067</v>
      </c>
    </row>
    <row r="197" spans="1:9" x14ac:dyDescent="0.25">
      <c r="A197" s="43">
        <v>45782</v>
      </c>
      <c r="B197" t="s">
        <v>25</v>
      </c>
      <c r="C197">
        <v>8697</v>
      </c>
      <c r="D197">
        <v>738</v>
      </c>
      <c r="E197">
        <v>1168011</v>
      </c>
      <c r="F197">
        <v>3.8777032065622672</v>
      </c>
      <c r="G197">
        <v>30644</v>
      </c>
      <c r="H197" s="44">
        <v>6.8141481544266276E-3</v>
      </c>
      <c r="I197">
        <v>7959</v>
      </c>
    </row>
    <row r="198" spans="1:9" x14ac:dyDescent="0.25">
      <c r="A198" s="43">
        <v>45789</v>
      </c>
      <c r="B198" t="s">
        <v>25</v>
      </c>
      <c r="C198">
        <v>3196</v>
      </c>
      <c r="D198">
        <v>391</v>
      </c>
      <c r="E198">
        <v>1170816</v>
      </c>
      <c r="F198">
        <v>7.2439221876024931</v>
      </c>
      <c r="G198">
        <v>28745</v>
      </c>
      <c r="H198" s="44">
        <v>2.3957650049196456E-3</v>
      </c>
      <c r="I198">
        <v>2805</v>
      </c>
    </row>
    <row r="199" spans="1:9" x14ac:dyDescent="0.25">
      <c r="A199" s="43">
        <v>45789</v>
      </c>
      <c r="B199" t="s">
        <v>20</v>
      </c>
      <c r="C199">
        <v>8165</v>
      </c>
      <c r="D199">
        <v>1140</v>
      </c>
      <c r="E199">
        <v>1177841</v>
      </c>
      <c r="F199">
        <v>9.095964565675672</v>
      </c>
      <c r="G199">
        <v>38228</v>
      </c>
      <c r="H199" s="44">
        <v>5.9643024822535473E-3</v>
      </c>
      <c r="I199">
        <v>7025</v>
      </c>
    </row>
    <row r="200" spans="1:9" x14ac:dyDescent="0.25">
      <c r="A200" s="43">
        <v>45789</v>
      </c>
      <c r="B200" t="s">
        <v>20</v>
      </c>
      <c r="C200">
        <v>1301</v>
      </c>
      <c r="D200">
        <v>180</v>
      </c>
      <c r="E200">
        <v>1178962</v>
      </c>
      <c r="F200">
        <v>5.2275645864752214</v>
      </c>
      <c r="G200">
        <v>44521</v>
      </c>
      <c r="H200" s="44">
        <v>9.5083641372665107E-4</v>
      </c>
      <c r="I200">
        <v>1121</v>
      </c>
    </row>
    <row r="201" spans="1:9" x14ac:dyDescent="0.25">
      <c r="A201" s="43">
        <v>45789</v>
      </c>
      <c r="B201" t="s">
        <v>47</v>
      </c>
      <c r="C201">
        <v>8527</v>
      </c>
      <c r="D201">
        <v>1091</v>
      </c>
      <c r="E201">
        <v>1186398</v>
      </c>
      <c r="F201">
        <v>1.676081719625286</v>
      </c>
      <c r="G201">
        <v>41703</v>
      </c>
      <c r="H201" s="44">
        <v>6.267711172810473E-3</v>
      </c>
      <c r="I201">
        <v>7436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404B7-8E7A-4BB6-A7F3-1BE24AD0E6F2}">
  <sheetPr filterMode="1"/>
  <dimension ref="A1:N328"/>
  <sheetViews>
    <sheetView workbookViewId="0">
      <selection activeCell="R323" sqref="R323"/>
    </sheetView>
  </sheetViews>
  <sheetFormatPr defaultRowHeight="15" x14ac:dyDescent="0.25"/>
  <cols>
    <col min="1" max="1" width="13.42578125" bestFit="1" customWidth="1"/>
    <col min="2" max="2" width="10.28515625" bestFit="1" customWidth="1"/>
    <col min="3" max="3" width="11.7109375" bestFit="1" customWidth="1"/>
    <col min="4" max="4" width="15.5703125" bestFit="1" customWidth="1"/>
    <col min="5" max="6" width="19.85546875" bestFit="1" customWidth="1"/>
    <col min="7" max="7" width="16.140625" bestFit="1" customWidth="1"/>
    <col min="8" max="8" width="6.85546875" bestFit="1" customWidth="1"/>
    <col min="9" max="9" width="10.5703125" bestFit="1" customWidth="1"/>
    <col min="10" max="10" width="6" bestFit="1" customWidth="1"/>
    <col min="11" max="11" width="6.28515625" bestFit="1" customWidth="1"/>
    <col min="12" max="12" width="11.7109375" bestFit="1" customWidth="1"/>
    <col min="13" max="13" width="19.85546875" bestFit="1" customWidth="1"/>
    <col min="14" max="14" width="16.140625" bestFit="1" customWidth="1"/>
  </cols>
  <sheetData>
    <row r="1" spans="1:14" ht="20.25" customHeight="1" x14ac:dyDescent="0.25">
      <c r="A1" s="68" t="s">
        <v>469</v>
      </c>
      <c r="B1" s="68"/>
      <c r="C1" s="68"/>
      <c r="D1" s="68"/>
      <c r="E1" s="68"/>
      <c r="F1" s="68"/>
      <c r="G1" s="68"/>
      <c r="H1" s="68"/>
      <c r="I1" s="68"/>
      <c r="J1" s="68"/>
      <c r="K1" s="68"/>
      <c r="L1" s="68"/>
      <c r="M1" s="68"/>
      <c r="N1" s="68"/>
    </row>
    <row r="2" spans="1:14" x14ac:dyDescent="0.25">
      <c r="A2" s="21" t="s">
        <v>0</v>
      </c>
      <c r="B2" s="21" t="s">
        <v>1</v>
      </c>
      <c r="C2" s="21" t="s">
        <v>2</v>
      </c>
      <c r="D2" s="21" t="s">
        <v>3</v>
      </c>
      <c r="E2" s="21" t="s">
        <v>4</v>
      </c>
      <c r="F2" s="21" t="s">
        <v>5</v>
      </c>
      <c r="G2" s="21" t="s">
        <v>6</v>
      </c>
      <c r="H2" s="21" t="s">
        <v>7</v>
      </c>
      <c r="I2" s="21" t="s">
        <v>8</v>
      </c>
      <c r="J2" s="21" t="s">
        <v>9</v>
      </c>
      <c r="K2" s="21" t="s">
        <v>10</v>
      </c>
      <c r="L2" s="21" t="s">
        <v>11</v>
      </c>
      <c r="M2" s="21" t="s">
        <v>12</v>
      </c>
      <c r="N2" s="21" t="s">
        <v>361</v>
      </c>
    </row>
    <row r="3" spans="1:14" hidden="1" x14ac:dyDescent="0.25">
      <c r="A3" s="13" t="s">
        <v>13</v>
      </c>
      <c r="B3" s="14" t="s">
        <v>14</v>
      </c>
      <c r="C3" s="15">
        <v>45649</v>
      </c>
      <c r="D3" s="14" t="s">
        <v>15</v>
      </c>
      <c r="E3" s="14" t="s">
        <v>16</v>
      </c>
      <c r="F3" s="14" t="s">
        <v>17</v>
      </c>
      <c r="G3" s="14">
        <v>24516</v>
      </c>
      <c r="H3" s="14">
        <v>976</v>
      </c>
      <c r="I3" s="14">
        <v>974</v>
      </c>
      <c r="J3" s="14">
        <v>2675</v>
      </c>
      <c r="K3" s="14">
        <v>23275</v>
      </c>
      <c r="L3" s="14">
        <v>202932</v>
      </c>
      <c r="M3" s="14" t="s">
        <v>18</v>
      </c>
      <c r="N3" s="16">
        <f>(G3+H3+I3)/L3</f>
        <v>0.13041807107799658</v>
      </c>
    </row>
    <row r="4" spans="1:14" hidden="1" x14ac:dyDescent="0.25">
      <c r="A4" s="2" t="s">
        <v>19</v>
      </c>
      <c r="B4" s="6" t="s">
        <v>20</v>
      </c>
      <c r="C4" s="7">
        <v>45903</v>
      </c>
      <c r="D4" s="6" t="s">
        <v>15</v>
      </c>
      <c r="E4" s="6" t="s">
        <v>21</v>
      </c>
      <c r="F4" s="6" t="s">
        <v>22</v>
      </c>
      <c r="G4" s="6">
        <v>4779</v>
      </c>
      <c r="H4" s="6">
        <v>1110</v>
      </c>
      <c r="I4" s="6">
        <v>436</v>
      </c>
      <c r="J4" s="6">
        <v>1574</v>
      </c>
      <c r="K4" s="6">
        <v>77167</v>
      </c>
      <c r="L4" s="6">
        <v>71585</v>
      </c>
      <c r="M4" s="6" t="s">
        <v>23</v>
      </c>
      <c r="N4" s="8">
        <f t="shared" ref="N4:N14" si="0">(G4+H4+I4)/L4</f>
        <v>8.8356499266606131E-2</v>
      </c>
    </row>
    <row r="5" spans="1:14" hidden="1" x14ac:dyDescent="0.25">
      <c r="A5" s="1" t="s">
        <v>24</v>
      </c>
      <c r="B5" s="4" t="s">
        <v>25</v>
      </c>
      <c r="C5" s="5">
        <v>45789</v>
      </c>
      <c r="D5" s="4" t="s">
        <v>26</v>
      </c>
      <c r="E5" s="4" t="s">
        <v>27</v>
      </c>
      <c r="F5" s="4" t="s">
        <v>28</v>
      </c>
      <c r="G5" s="4">
        <v>19308</v>
      </c>
      <c r="H5" s="4">
        <v>1318</v>
      </c>
      <c r="I5" s="4">
        <v>795</v>
      </c>
      <c r="J5" s="4">
        <v>1499</v>
      </c>
      <c r="K5" s="4">
        <v>52307</v>
      </c>
      <c r="L5" s="4">
        <v>193087</v>
      </c>
      <c r="M5" s="4" t="s">
        <v>29</v>
      </c>
      <c r="N5" s="9">
        <f t="shared" si="0"/>
        <v>0.11093962825047776</v>
      </c>
    </row>
    <row r="6" spans="1:14" hidden="1" x14ac:dyDescent="0.25">
      <c r="A6" s="2" t="s">
        <v>30</v>
      </c>
      <c r="B6" s="6" t="s">
        <v>14</v>
      </c>
      <c r="C6" s="7">
        <v>45516</v>
      </c>
      <c r="D6" s="6" t="s">
        <v>31</v>
      </c>
      <c r="E6" s="6" t="s">
        <v>32</v>
      </c>
      <c r="F6" s="6" t="s">
        <v>33</v>
      </c>
      <c r="G6" s="6">
        <v>3581</v>
      </c>
      <c r="H6" s="6">
        <v>517</v>
      </c>
      <c r="I6" s="6">
        <v>880</v>
      </c>
      <c r="J6" s="6">
        <v>1925</v>
      </c>
      <c r="K6" s="6">
        <v>18636</v>
      </c>
      <c r="L6" s="6">
        <v>248611</v>
      </c>
      <c r="M6" s="6" t="s">
        <v>34</v>
      </c>
      <c r="N6" s="8">
        <f t="shared" si="0"/>
        <v>2.0023249172401864E-2</v>
      </c>
    </row>
    <row r="7" spans="1:14" hidden="1" x14ac:dyDescent="0.25">
      <c r="A7" s="1" t="s">
        <v>35</v>
      </c>
      <c r="B7" s="4" t="s">
        <v>14</v>
      </c>
      <c r="C7" s="5">
        <v>45904</v>
      </c>
      <c r="D7" s="4" t="s">
        <v>31</v>
      </c>
      <c r="E7" s="4" t="s">
        <v>16</v>
      </c>
      <c r="F7" s="4" t="s">
        <v>17</v>
      </c>
      <c r="G7" s="4">
        <v>21708</v>
      </c>
      <c r="H7" s="4">
        <v>435</v>
      </c>
      <c r="I7" s="4">
        <v>317</v>
      </c>
      <c r="J7" s="4">
        <v>1213</v>
      </c>
      <c r="K7" s="4">
        <v>70701</v>
      </c>
      <c r="L7" s="4">
        <v>83585</v>
      </c>
      <c r="M7" s="4" t="s">
        <v>23</v>
      </c>
      <c r="N7" s="9">
        <f t="shared" si="0"/>
        <v>0.26870850032900639</v>
      </c>
    </row>
    <row r="8" spans="1:14" hidden="1" x14ac:dyDescent="0.25">
      <c r="A8" s="2" t="s">
        <v>36</v>
      </c>
      <c r="B8" s="6" t="s">
        <v>20</v>
      </c>
      <c r="C8" s="7">
        <v>45905</v>
      </c>
      <c r="D8" s="6" t="s">
        <v>15</v>
      </c>
      <c r="E8" s="6" t="s">
        <v>37</v>
      </c>
      <c r="F8" s="6"/>
      <c r="G8" s="6">
        <v>14677</v>
      </c>
      <c r="H8" s="6">
        <v>533</v>
      </c>
      <c r="I8" s="6">
        <v>759</v>
      </c>
      <c r="J8" s="6">
        <v>753</v>
      </c>
      <c r="K8" s="6">
        <v>23275</v>
      </c>
      <c r="L8" s="6">
        <v>66958</v>
      </c>
      <c r="M8" s="6" t="s">
        <v>23</v>
      </c>
      <c r="N8" s="8">
        <f t="shared" si="0"/>
        <v>0.23849278652289496</v>
      </c>
    </row>
    <row r="9" spans="1:14" hidden="1" x14ac:dyDescent="0.25">
      <c r="A9" s="1" t="s">
        <v>38</v>
      </c>
      <c r="B9" s="4" t="s">
        <v>25</v>
      </c>
      <c r="C9" s="5">
        <v>45467</v>
      </c>
      <c r="D9" s="4" t="s">
        <v>39</v>
      </c>
      <c r="E9" s="4" t="s">
        <v>40</v>
      </c>
      <c r="F9" s="4" t="s">
        <v>41</v>
      </c>
      <c r="G9" s="4">
        <v>7713</v>
      </c>
      <c r="H9" s="4">
        <v>575</v>
      </c>
      <c r="I9" s="4">
        <v>417</v>
      </c>
      <c r="J9" s="4">
        <v>336</v>
      </c>
      <c r="K9" s="4">
        <v>61660</v>
      </c>
      <c r="L9" s="4">
        <v>66017</v>
      </c>
      <c r="M9" s="4" t="s">
        <v>34</v>
      </c>
      <c r="N9" s="9">
        <f t="shared" si="0"/>
        <v>0.13185997546086614</v>
      </c>
    </row>
    <row r="10" spans="1:14" hidden="1" x14ac:dyDescent="0.25">
      <c r="A10" s="2" t="s">
        <v>42</v>
      </c>
      <c r="B10" s="6" t="s">
        <v>25</v>
      </c>
      <c r="C10" s="7">
        <v>45486</v>
      </c>
      <c r="D10" s="6" t="s">
        <v>31</v>
      </c>
      <c r="E10" s="6" t="s">
        <v>43</v>
      </c>
      <c r="F10" s="6" t="s">
        <v>44</v>
      </c>
      <c r="G10" s="6">
        <v>18639</v>
      </c>
      <c r="H10" s="6">
        <v>1360</v>
      </c>
      <c r="I10" s="6">
        <v>898</v>
      </c>
      <c r="J10" s="6">
        <v>2011</v>
      </c>
      <c r="K10" s="6">
        <v>42841</v>
      </c>
      <c r="L10" s="6">
        <v>247779</v>
      </c>
      <c r="M10" s="6" t="s">
        <v>34</v>
      </c>
      <c r="N10" s="8">
        <f t="shared" si="0"/>
        <v>8.4337252148083575E-2</v>
      </c>
    </row>
    <row r="11" spans="1:14" hidden="1" x14ac:dyDescent="0.25">
      <c r="A11" s="1" t="s">
        <v>45</v>
      </c>
      <c r="B11" s="4" t="s">
        <v>14</v>
      </c>
      <c r="C11" s="5">
        <v>45534</v>
      </c>
      <c r="D11" s="4" t="s">
        <v>39</v>
      </c>
      <c r="E11" s="4" t="s">
        <v>21</v>
      </c>
      <c r="F11" s="4" t="s">
        <v>22</v>
      </c>
      <c r="G11" s="4">
        <v>6804</v>
      </c>
      <c r="H11" s="4">
        <v>787</v>
      </c>
      <c r="I11" s="4">
        <v>970</v>
      </c>
      <c r="J11" s="4">
        <v>1095</v>
      </c>
      <c r="K11" s="4">
        <v>56343</v>
      </c>
      <c r="L11" s="4">
        <v>164677</v>
      </c>
      <c r="M11" s="4" t="s">
        <v>18</v>
      </c>
      <c r="N11" s="9">
        <f t="shared" si="0"/>
        <v>5.1986616224487935E-2</v>
      </c>
    </row>
    <row r="12" spans="1:14" hidden="1" x14ac:dyDescent="0.25">
      <c r="A12" s="2" t="s">
        <v>46</v>
      </c>
      <c r="B12" s="6" t="s">
        <v>47</v>
      </c>
      <c r="C12" s="7">
        <v>45727</v>
      </c>
      <c r="D12" s="6" t="s">
        <v>31</v>
      </c>
      <c r="E12" s="6" t="s">
        <v>48</v>
      </c>
      <c r="F12" s="6" t="s">
        <v>32</v>
      </c>
      <c r="G12" s="6">
        <v>20222</v>
      </c>
      <c r="H12" s="6">
        <v>712</v>
      </c>
      <c r="I12" s="6">
        <v>604</v>
      </c>
      <c r="J12" s="6">
        <v>1272</v>
      </c>
      <c r="K12" s="6">
        <v>71598</v>
      </c>
      <c r="L12" s="6">
        <v>216422</v>
      </c>
      <c r="M12" s="6" t="s">
        <v>29</v>
      </c>
      <c r="N12" s="8">
        <f t="shared" si="0"/>
        <v>9.9518533235992648E-2</v>
      </c>
    </row>
    <row r="13" spans="1:14" hidden="1" x14ac:dyDescent="0.25">
      <c r="A13" s="1" t="s">
        <v>49</v>
      </c>
      <c r="B13" s="4" t="s">
        <v>14</v>
      </c>
      <c r="C13" s="5">
        <v>45690</v>
      </c>
      <c r="D13" s="4" t="s">
        <v>39</v>
      </c>
      <c r="E13" s="4" t="s">
        <v>32</v>
      </c>
      <c r="F13" s="4" t="s">
        <v>33</v>
      </c>
      <c r="G13" s="4">
        <v>12136</v>
      </c>
      <c r="H13" s="4">
        <v>1117</v>
      </c>
      <c r="I13" s="4">
        <v>834</v>
      </c>
      <c r="J13" s="4">
        <v>892</v>
      </c>
      <c r="K13" s="4">
        <v>24675</v>
      </c>
      <c r="L13" s="4">
        <v>183273</v>
      </c>
      <c r="M13" s="4" t="s">
        <v>29</v>
      </c>
      <c r="N13" s="9">
        <f t="shared" si="0"/>
        <v>7.6863476889667326E-2</v>
      </c>
    </row>
    <row r="14" spans="1:14" hidden="1" x14ac:dyDescent="0.25">
      <c r="A14" s="2" t="s">
        <v>50</v>
      </c>
      <c r="B14" s="6" t="s">
        <v>14</v>
      </c>
      <c r="C14" s="7">
        <v>45494</v>
      </c>
      <c r="D14" s="6" t="s">
        <v>26</v>
      </c>
      <c r="E14" s="6" t="s">
        <v>21</v>
      </c>
      <c r="F14" s="6" t="s">
        <v>22</v>
      </c>
      <c r="G14" s="6">
        <v>2009</v>
      </c>
      <c r="H14" s="6">
        <v>1072</v>
      </c>
      <c r="I14" s="6">
        <v>550</v>
      </c>
      <c r="J14" s="6">
        <v>1437</v>
      </c>
      <c r="K14" s="6">
        <v>22982</v>
      </c>
      <c r="L14" s="6">
        <v>69426</v>
      </c>
      <c r="M14" s="6" t="s">
        <v>34</v>
      </c>
      <c r="N14" s="8">
        <f t="shared" si="0"/>
        <v>5.2300290957278256E-2</v>
      </c>
    </row>
    <row r="15" spans="1:14" x14ac:dyDescent="0.25">
      <c r="A15" s="22" t="s">
        <v>126</v>
      </c>
      <c r="B15" s="22" t="s">
        <v>20</v>
      </c>
      <c r="C15" s="23">
        <v>45497</v>
      </c>
      <c r="D15" s="22" t="s">
        <v>31</v>
      </c>
      <c r="E15" s="22" t="s">
        <v>40</v>
      </c>
      <c r="F15" s="22" t="s">
        <v>41</v>
      </c>
      <c r="G15" s="22">
        <v>22914</v>
      </c>
      <c r="H15" s="22">
        <v>954</v>
      </c>
      <c r="I15" s="22">
        <v>584</v>
      </c>
      <c r="J15" s="22">
        <v>1519</v>
      </c>
      <c r="K15" s="22">
        <v>13637</v>
      </c>
      <c r="L15" s="22">
        <v>49847</v>
      </c>
      <c r="M15" s="22" t="s">
        <v>18</v>
      </c>
      <c r="N15" s="47">
        <f t="shared" ref="N15:N78" si="1">(G15+H15+I15)/L15</f>
        <v>0.49054105563022848</v>
      </c>
    </row>
    <row r="16" spans="1:14" hidden="1" x14ac:dyDescent="0.25">
      <c r="A16" s="17" t="s">
        <v>53</v>
      </c>
      <c r="B16" s="18" t="s">
        <v>14</v>
      </c>
      <c r="C16" s="19">
        <v>45906</v>
      </c>
      <c r="D16" s="18" t="s">
        <v>26</v>
      </c>
      <c r="E16" s="18" t="s">
        <v>43</v>
      </c>
      <c r="F16" s="18" t="s">
        <v>44</v>
      </c>
      <c r="G16" s="18">
        <v>7124</v>
      </c>
      <c r="H16" s="18">
        <v>469</v>
      </c>
      <c r="I16" s="18">
        <v>851</v>
      </c>
      <c r="J16" s="18">
        <v>2571</v>
      </c>
      <c r="K16" s="18">
        <v>33802</v>
      </c>
      <c r="L16" s="18">
        <v>216313</v>
      </c>
      <c r="M16" s="18" t="s">
        <v>23</v>
      </c>
      <c r="N16" s="20">
        <f t="shared" si="1"/>
        <v>3.9036026498638549E-2</v>
      </c>
    </row>
    <row r="17" spans="1:14" hidden="1" x14ac:dyDescent="0.25">
      <c r="A17" s="1" t="s">
        <v>54</v>
      </c>
      <c r="B17" s="4" t="s">
        <v>20</v>
      </c>
      <c r="C17" s="5">
        <v>45907</v>
      </c>
      <c r="D17" s="4" t="s">
        <v>26</v>
      </c>
      <c r="E17" s="4" t="s">
        <v>27</v>
      </c>
      <c r="F17" s="4" t="s">
        <v>28</v>
      </c>
      <c r="G17" s="4">
        <v>3015</v>
      </c>
      <c r="H17" s="4">
        <v>997</v>
      </c>
      <c r="I17" s="4">
        <v>783</v>
      </c>
      <c r="J17" s="4">
        <v>617</v>
      </c>
      <c r="K17" s="4">
        <v>77167</v>
      </c>
      <c r="L17" s="4">
        <v>82229</v>
      </c>
      <c r="M17" s="4" t="s">
        <v>23</v>
      </c>
      <c r="N17" s="9">
        <f t="shared" si="1"/>
        <v>5.8312760704860814E-2</v>
      </c>
    </row>
    <row r="18" spans="1:14" hidden="1" x14ac:dyDescent="0.25">
      <c r="A18" s="2" t="s">
        <v>55</v>
      </c>
      <c r="B18" s="6" t="s">
        <v>25</v>
      </c>
      <c r="C18" s="7">
        <v>45530</v>
      </c>
      <c r="D18" s="6" t="s">
        <v>39</v>
      </c>
      <c r="E18" s="6" t="s">
        <v>43</v>
      </c>
      <c r="F18" s="6" t="s">
        <v>44</v>
      </c>
      <c r="G18" s="6">
        <v>4193</v>
      </c>
      <c r="H18" s="6">
        <v>924</v>
      </c>
      <c r="I18" s="6">
        <v>707</v>
      </c>
      <c r="J18" s="6">
        <v>2696</v>
      </c>
      <c r="K18" s="6">
        <v>55075</v>
      </c>
      <c r="L18" s="6">
        <v>126652</v>
      </c>
      <c r="M18" s="6" t="s">
        <v>34</v>
      </c>
      <c r="N18" s="8">
        <f t="shared" si="1"/>
        <v>4.5984271863057827E-2</v>
      </c>
    </row>
    <row r="19" spans="1:14" hidden="1" x14ac:dyDescent="0.25">
      <c r="A19" s="1" t="s">
        <v>56</v>
      </c>
      <c r="B19" s="4" t="s">
        <v>20</v>
      </c>
      <c r="C19" s="5">
        <v>45782</v>
      </c>
      <c r="D19" s="4" t="s">
        <v>26</v>
      </c>
      <c r="E19" s="4" t="s">
        <v>32</v>
      </c>
      <c r="F19" s="4" t="s">
        <v>57</v>
      </c>
      <c r="G19" s="4">
        <v>10415</v>
      </c>
      <c r="H19" s="4">
        <v>1388</v>
      </c>
      <c r="I19" s="4">
        <v>725</v>
      </c>
      <c r="J19" s="4">
        <v>2462</v>
      </c>
      <c r="K19" s="4">
        <v>53082</v>
      </c>
      <c r="L19" s="4">
        <v>168267</v>
      </c>
      <c r="M19" s="4" t="s">
        <v>52</v>
      </c>
      <c r="N19" s="9">
        <f t="shared" si="1"/>
        <v>7.4453101321114656E-2</v>
      </c>
    </row>
    <row r="20" spans="1:14" hidden="1" x14ac:dyDescent="0.25">
      <c r="A20" s="2" t="s">
        <v>58</v>
      </c>
      <c r="B20" s="6" t="s">
        <v>20</v>
      </c>
      <c r="C20" s="7">
        <v>45523</v>
      </c>
      <c r="D20" s="6" t="s">
        <v>15</v>
      </c>
      <c r="E20" s="6" t="s">
        <v>43</v>
      </c>
      <c r="F20" s="6" t="s">
        <v>44</v>
      </c>
      <c r="G20" s="6">
        <v>15550</v>
      </c>
      <c r="H20" s="6">
        <v>204</v>
      </c>
      <c r="I20" s="6">
        <v>279</v>
      </c>
      <c r="J20" s="6">
        <v>1646</v>
      </c>
      <c r="K20" s="6">
        <v>35819</v>
      </c>
      <c r="L20" s="6">
        <v>219436</v>
      </c>
      <c r="M20" s="6" t="s">
        <v>18</v>
      </c>
      <c r="N20" s="8">
        <f t="shared" si="1"/>
        <v>7.306458375107093E-2</v>
      </c>
    </row>
    <row r="21" spans="1:14" hidden="1" x14ac:dyDescent="0.25">
      <c r="A21" s="1" t="s">
        <v>59</v>
      </c>
      <c r="B21" s="4" t="s">
        <v>20</v>
      </c>
      <c r="C21" s="5">
        <v>45466</v>
      </c>
      <c r="D21" s="4" t="s">
        <v>26</v>
      </c>
      <c r="E21" s="4" t="s">
        <v>32</v>
      </c>
      <c r="F21" s="4" t="s">
        <v>57</v>
      </c>
      <c r="G21" s="4">
        <v>16512</v>
      </c>
      <c r="H21" s="4">
        <v>1050</v>
      </c>
      <c r="I21" s="4">
        <v>971</v>
      </c>
      <c r="J21" s="4">
        <v>1891</v>
      </c>
      <c r="K21" s="4">
        <v>15865</v>
      </c>
      <c r="L21" s="4">
        <v>166503</v>
      </c>
      <c r="M21" s="4" t="s">
        <v>34</v>
      </c>
      <c r="N21" s="9">
        <f t="shared" si="1"/>
        <v>0.1113073037723044</v>
      </c>
    </row>
    <row r="22" spans="1:14" hidden="1" x14ac:dyDescent="0.25">
      <c r="A22" s="2" t="s">
        <v>60</v>
      </c>
      <c r="B22" s="6" t="s">
        <v>14</v>
      </c>
      <c r="C22" s="7">
        <v>45544</v>
      </c>
      <c r="D22" s="6" t="s">
        <v>31</v>
      </c>
      <c r="E22" s="6" t="s">
        <v>27</v>
      </c>
      <c r="F22" s="6" t="s">
        <v>28</v>
      </c>
      <c r="G22" s="6">
        <v>6158</v>
      </c>
      <c r="H22" s="6">
        <v>277</v>
      </c>
      <c r="I22" s="6">
        <v>512</v>
      </c>
      <c r="J22" s="6">
        <v>2189</v>
      </c>
      <c r="K22" s="6">
        <v>76881</v>
      </c>
      <c r="L22" s="6">
        <v>124878</v>
      </c>
      <c r="M22" s="6" t="s">
        <v>34</v>
      </c>
      <c r="N22" s="8">
        <f t="shared" si="1"/>
        <v>5.563029516808405E-2</v>
      </c>
    </row>
    <row r="23" spans="1:14" hidden="1" x14ac:dyDescent="0.25">
      <c r="A23" s="1" t="s">
        <v>61</v>
      </c>
      <c r="B23" s="4" t="s">
        <v>47</v>
      </c>
      <c r="C23" s="5">
        <v>45908</v>
      </c>
      <c r="D23" s="4" t="s">
        <v>39</v>
      </c>
      <c r="E23" s="4" t="s">
        <v>62</v>
      </c>
      <c r="F23" s="4" t="s">
        <v>37</v>
      </c>
      <c r="G23" s="4">
        <v>22309</v>
      </c>
      <c r="H23" s="4">
        <v>773</v>
      </c>
      <c r="I23" s="4">
        <v>854</v>
      </c>
      <c r="J23" s="4">
        <v>2387</v>
      </c>
      <c r="K23" s="4">
        <v>72396</v>
      </c>
      <c r="L23" s="4">
        <v>97056</v>
      </c>
      <c r="M23" s="4" t="s">
        <v>23</v>
      </c>
      <c r="N23" s="9">
        <f t="shared" si="1"/>
        <v>0.24662050774810418</v>
      </c>
    </row>
    <row r="24" spans="1:14" hidden="1" x14ac:dyDescent="0.25">
      <c r="A24" s="2" t="s">
        <v>63</v>
      </c>
      <c r="B24" s="6" t="s">
        <v>25</v>
      </c>
      <c r="C24" s="7">
        <v>45715</v>
      </c>
      <c r="D24" s="6" t="s">
        <v>15</v>
      </c>
      <c r="E24" s="6" t="s">
        <v>40</v>
      </c>
      <c r="F24" s="6" t="s">
        <v>41</v>
      </c>
      <c r="G24" s="6">
        <v>8970</v>
      </c>
      <c r="H24" s="6">
        <v>331</v>
      </c>
      <c r="I24" s="6">
        <v>968</v>
      </c>
      <c r="J24" s="6">
        <v>2296</v>
      </c>
      <c r="K24" s="6">
        <v>24613</v>
      </c>
      <c r="L24" s="6">
        <v>198562</v>
      </c>
      <c r="M24" s="6" t="s">
        <v>34</v>
      </c>
      <c r="N24" s="8">
        <f t="shared" si="1"/>
        <v>5.1716844109144754E-2</v>
      </c>
    </row>
    <row r="25" spans="1:14" hidden="1" x14ac:dyDescent="0.25">
      <c r="A25" s="1" t="s">
        <v>64</v>
      </c>
      <c r="B25" s="4" t="s">
        <v>47</v>
      </c>
      <c r="C25" s="5">
        <v>45602</v>
      </c>
      <c r="D25" s="4" t="s">
        <v>39</v>
      </c>
      <c r="E25" s="4" t="s">
        <v>32</v>
      </c>
      <c r="F25" s="4" t="s">
        <v>57</v>
      </c>
      <c r="G25" s="4">
        <v>8938</v>
      </c>
      <c r="H25" s="4">
        <v>800</v>
      </c>
      <c r="I25" s="4">
        <v>842</v>
      </c>
      <c r="J25" s="4">
        <v>2072</v>
      </c>
      <c r="K25" s="4">
        <v>31736</v>
      </c>
      <c r="L25" s="4">
        <v>59975</v>
      </c>
      <c r="M25" s="4" t="s">
        <v>34</v>
      </c>
      <c r="N25" s="9">
        <f t="shared" si="1"/>
        <v>0.17640683618174238</v>
      </c>
    </row>
    <row r="26" spans="1:14" hidden="1" x14ac:dyDescent="0.25">
      <c r="A26" s="2" t="s">
        <v>65</v>
      </c>
      <c r="B26" s="6" t="s">
        <v>20</v>
      </c>
      <c r="C26" s="7">
        <v>45680</v>
      </c>
      <c r="D26" s="6" t="s">
        <v>31</v>
      </c>
      <c r="E26" s="6" t="s">
        <v>48</v>
      </c>
      <c r="F26" s="6" t="s">
        <v>32</v>
      </c>
      <c r="G26" s="6">
        <v>23168</v>
      </c>
      <c r="H26" s="6">
        <v>1265</v>
      </c>
      <c r="I26" s="6">
        <v>441</v>
      </c>
      <c r="J26" s="6">
        <v>1612</v>
      </c>
      <c r="K26" s="6">
        <v>66615</v>
      </c>
      <c r="L26" s="6">
        <v>197795</v>
      </c>
      <c r="M26" s="6" t="s">
        <v>34</v>
      </c>
      <c r="N26" s="8">
        <f t="shared" si="1"/>
        <v>0.12575646502692181</v>
      </c>
    </row>
    <row r="27" spans="1:14" hidden="1" x14ac:dyDescent="0.25">
      <c r="A27" s="1" t="s">
        <v>66</v>
      </c>
      <c r="B27" s="4" t="s">
        <v>20</v>
      </c>
      <c r="C27" s="5">
        <v>45909</v>
      </c>
      <c r="D27" s="4" t="s">
        <v>31</v>
      </c>
      <c r="E27" s="4" t="s">
        <v>43</v>
      </c>
      <c r="F27" s="4" t="s">
        <v>44</v>
      </c>
      <c r="G27" s="4">
        <v>15772</v>
      </c>
      <c r="H27" s="4">
        <v>288</v>
      </c>
      <c r="I27" s="4">
        <v>520</v>
      </c>
      <c r="J27" s="4">
        <v>1585</v>
      </c>
      <c r="K27" s="4">
        <v>59182</v>
      </c>
      <c r="L27" s="4">
        <v>194351</v>
      </c>
      <c r="M27" s="4" t="s">
        <v>23</v>
      </c>
      <c r="N27" s="9">
        <f t="shared" si="1"/>
        <v>8.5309568769905988E-2</v>
      </c>
    </row>
    <row r="28" spans="1:14" hidden="1" x14ac:dyDescent="0.25">
      <c r="A28" s="2" t="s">
        <v>67</v>
      </c>
      <c r="B28" s="6" t="s">
        <v>47</v>
      </c>
      <c r="C28" s="7">
        <v>45752</v>
      </c>
      <c r="D28" s="6" t="s">
        <v>31</v>
      </c>
      <c r="E28" s="6" t="s">
        <v>43</v>
      </c>
      <c r="F28" s="6" t="s">
        <v>44</v>
      </c>
      <c r="G28" s="6">
        <v>22384</v>
      </c>
      <c r="H28" s="6">
        <v>601</v>
      </c>
      <c r="I28" s="6">
        <v>943</v>
      </c>
      <c r="J28" s="6">
        <v>515</v>
      </c>
      <c r="K28" s="6">
        <v>41309</v>
      </c>
      <c r="L28" s="6">
        <v>249373</v>
      </c>
      <c r="M28" s="6" t="s">
        <v>18</v>
      </c>
      <c r="N28" s="8">
        <f t="shared" si="1"/>
        <v>9.5952649244304716E-2</v>
      </c>
    </row>
    <row r="29" spans="1:14" hidden="1" x14ac:dyDescent="0.25">
      <c r="A29" s="1" t="s">
        <v>68</v>
      </c>
      <c r="B29" s="4" t="s">
        <v>47</v>
      </c>
      <c r="C29" s="5">
        <v>45552</v>
      </c>
      <c r="D29" s="4" t="s">
        <v>26</v>
      </c>
      <c r="E29" s="4" t="s">
        <v>48</v>
      </c>
      <c r="F29" s="4" t="s">
        <v>32</v>
      </c>
      <c r="G29" s="4">
        <v>20017</v>
      </c>
      <c r="H29" s="4">
        <v>495</v>
      </c>
      <c r="I29" s="4">
        <v>178</v>
      </c>
      <c r="J29" s="4">
        <v>2683</v>
      </c>
      <c r="K29" s="4">
        <v>32244</v>
      </c>
      <c r="L29" s="4">
        <v>182633</v>
      </c>
      <c r="M29" s="4" t="s">
        <v>18</v>
      </c>
      <c r="N29" s="9">
        <f t="shared" si="1"/>
        <v>0.11328730295182141</v>
      </c>
    </row>
    <row r="30" spans="1:14" hidden="1" x14ac:dyDescent="0.25">
      <c r="A30" s="2" t="s">
        <v>69</v>
      </c>
      <c r="B30" s="6" t="s">
        <v>47</v>
      </c>
      <c r="C30" s="7">
        <v>45720</v>
      </c>
      <c r="D30" s="6" t="s">
        <v>26</v>
      </c>
      <c r="E30" s="6" t="s">
        <v>37</v>
      </c>
      <c r="F30" s="6"/>
      <c r="G30" s="6">
        <v>12344</v>
      </c>
      <c r="H30" s="6">
        <v>815</v>
      </c>
      <c r="I30" s="6">
        <v>298</v>
      </c>
      <c r="J30" s="6">
        <v>2439</v>
      </c>
      <c r="K30" s="6">
        <v>6259</v>
      </c>
      <c r="L30" s="6">
        <v>237133</v>
      </c>
      <c r="M30" s="6" t="s">
        <v>34</v>
      </c>
      <c r="N30" s="8">
        <f t="shared" si="1"/>
        <v>5.6748744375519224E-2</v>
      </c>
    </row>
    <row r="31" spans="1:14" hidden="1" x14ac:dyDescent="0.25">
      <c r="A31" s="1" t="s">
        <v>70</v>
      </c>
      <c r="B31" s="4" t="s">
        <v>20</v>
      </c>
      <c r="C31" s="5">
        <v>45910</v>
      </c>
      <c r="D31" s="4" t="s">
        <v>39</v>
      </c>
      <c r="E31" s="4" t="s">
        <v>71</v>
      </c>
      <c r="F31" s="4"/>
      <c r="G31" s="4">
        <v>9266</v>
      </c>
      <c r="H31" s="4">
        <v>999</v>
      </c>
      <c r="I31" s="4">
        <v>928</v>
      </c>
      <c r="J31" s="4">
        <v>2700</v>
      </c>
      <c r="K31" s="4">
        <v>12264</v>
      </c>
      <c r="L31" s="4">
        <v>128397</v>
      </c>
      <c r="M31" s="4" t="s">
        <v>23</v>
      </c>
      <c r="N31" s="9">
        <f t="shared" si="1"/>
        <v>8.7174933993784898E-2</v>
      </c>
    </row>
    <row r="32" spans="1:14" hidden="1" x14ac:dyDescent="0.25">
      <c r="A32" s="2" t="s">
        <v>72</v>
      </c>
      <c r="B32" s="6" t="s">
        <v>20</v>
      </c>
      <c r="C32" s="7">
        <v>45713</v>
      </c>
      <c r="D32" s="6" t="s">
        <v>39</v>
      </c>
      <c r="E32" s="6" t="s">
        <v>62</v>
      </c>
      <c r="F32" s="6" t="s">
        <v>37</v>
      </c>
      <c r="G32" s="6">
        <v>10702</v>
      </c>
      <c r="H32" s="6">
        <v>621</v>
      </c>
      <c r="I32" s="6">
        <v>445</v>
      </c>
      <c r="J32" s="6">
        <v>2918</v>
      </c>
      <c r="K32" s="6">
        <v>54808</v>
      </c>
      <c r="L32" s="6">
        <v>220225</v>
      </c>
      <c r="M32" s="6" t="s">
        <v>18</v>
      </c>
      <c r="N32" s="8">
        <f t="shared" si="1"/>
        <v>5.3436258372119426E-2</v>
      </c>
    </row>
    <row r="33" spans="1:14" hidden="1" x14ac:dyDescent="0.25">
      <c r="A33" s="1" t="s">
        <v>73</v>
      </c>
      <c r="B33" s="4" t="s">
        <v>25</v>
      </c>
      <c r="C33" s="5">
        <v>45642</v>
      </c>
      <c r="D33" s="4" t="s">
        <v>15</v>
      </c>
      <c r="E33" s="4" t="s">
        <v>32</v>
      </c>
      <c r="F33" s="4" t="s">
        <v>33</v>
      </c>
      <c r="G33" s="4">
        <v>2384</v>
      </c>
      <c r="H33" s="4">
        <v>1246</v>
      </c>
      <c r="I33" s="4">
        <v>160</v>
      </c>
      <c r="J33" s="4">
        <v>2004</v>
      </c>
      <c r="K33" s="4">
        <v>2701</v>
      </c>
      <c r="L33" s="4">
        <v>73142</v>
      </c>
      <c r="M33" s="4" t="s">
        <v>18</v>
      </c>
      <c r="N33" s="9">
        <f t="shared" si="1"/>
        <v>5.1817013480626728E-2</v>
      </c>
    </row>
    <row r="34" spans="1:14" hidden="1" x14ac:dyDescent="0.25">
      <c r="A34" s="2" t="s">
        <v>74</v>
      </c>
      <c r="B34" s="6" t="s">
        <v>25</v>
      </c>
      <c r="C34" s="7">
        <v>45504</v>
      </c>
      <c r="D34" s="6" t="s">
        <v>15</v>
      </c>
      <c r="E34" s="6" t="s">
        <v>32</v>
      </c>
      <c r="F34" s="6" t="s">
        <v>57</v>
      </c>
      <c r="G34" s="6">
        <v>2404</v>
      </c>
      <c r="H34" s="6">
        <v>774</v>
      </c>
      <c r="I34" s="6">
        <v>661</v>
      </c>
      <c r="J34" s="6">
        <v>662</v>
      </c>
      <c r="K34" s="6">
        <v>12676</v>
      </c>
      <c r="L34" s="6">
        <v>66916</v>
      </c>
      <c r="M34" s="6" t="s">
        <v>18</v>
      </c>
      <c r="N34" s="8">
        <f t="shared" si="1"/>
        <v>5.7370434574690654E-2</v>
      </c>
    </row>
    <row r="35" spans="1:14" hidden="1" x14ac:dyDescent="0.25">
      <c r="A35" s="1" t="s">
        <v>75</v>
      </c>
      <c r="B35" s="4" t="s">
        <v>20</v>
      </c>
      <c r="C35" s="5">
        <v>45911</v>
      </c>
      <c r="D35" s="4" t="s">
        <v>39</v>
      </c>
      <c r="E35" s="4" t="s">
        <v>48</v>
      </c>
      <c r="F35" s="4" t="s">
        <v>32</v>
      </c>
      <c r="G35" s="4">
        <v>10175</v>
      </c>
      <c r="H35" s="4">
        <v>342</v>
      </c>
      <c r="I35" s="4">
        <v>825</v>
      </c>
      <c r="J35" s="4">
        <v>2904</v>
      </c>
      <c r="K35" s="4">
        <v>15954</v>
      </c>
      <c r="L35" s="4">
        <v>104324</v>
      </c>
      <c r="M35" s="4" t="s">
        <v>23</v>
      </c>
      <c r="N35" s="9">
        <f t="shared" si="1"/>
        <v>0.10871899083624094</v>
      </c>
    </row>
    <row r="36" spans="1:14" hidden="1" x14ac:dyDescent="0.25">
      <c r="A36" s="2" t="s">
        <v>76</v>
      </c>
      <c r="B36" s="6" t="s">
        <v>47</v>
      </c>
      <c r="C36" s="7">
        <v>45912</v>
      </c>
      <c r="D36" s="6" t="s">
        <v>26</v>
      </c>
      <c r="E36" s="6" t="s">
        <v>27</v>
      </c>
      <c r="F36" s="6" t="s">
        <v>28</v>
      </c>
      <c r="G36" s="6">
        <v>17158</v>
      </c>
      <c r="H36" s="6">
        <v>1192</v>
      </c>
      <c r="I36" s="6">
        <v>262</v>
      </c>
      <c r="J36" s="6">
        <v>2016</v>
      </c>
      <c r="K36" s="6">
        <v>28771</v>
      </c>
      <c r="L36" s="6">
        <v>216037</v>
      </c>
      <c r="M36" s="6" t="s">
        <v>23</v>
      </c>
      <c r="N36" s="8">
        <f t="shared" si="1"/>
        <v>8.6151909163708074E-2</v>
      </c>
    </row>
    <row r="37" spans="1:14" hidden="1" x14ac:dyDescent="0.25">
      <c r="A37" s="1" t="s">
        <v>77</v>
      </c>
      <c r="B37" s="4" t="s">
        <v>47</v>
      </c>
      <c r="C37" s="5">
        <v>45626</v>
      </c>
      <c r="D37" s="4" t="s">
        <v>31</v>
      </c>
      <c r="E37" s="4" t="s">
        <v>32</v>
      </c>
      <c r="F37" s="4" t="s">
        <v>57</v>
      </c>
      <c r="G37" s="4">
        <v>14763</v>
      </c>
      <c r="H37" s="4">
        <v>864</v>
      </c>
      <c r="I37" s="4">
        <v>336</v>
      </c>
      <c r="J37" s="4">
        <v>1493</v>
      </c>
      <c r="K37" s="4">
        <v>33310</v>
      </c>
      <c r="L37" s="4">
        <v>165932</v>
      </c>
      <c r="M37" s="4" t="s">
        <v>34</v>
      </c>
      <c r="N37" s="9">
        <f t="shared" si="1"/>
        <v>9.6202058674637797E-2</v>
      </c>
    </row>
    <row r="38" spans="1:14" hidden="1" x14ac:dyDescent="0.25">
      <c r="A38" s="2" t="s">
        <v>78</v>
      </c>
      <c r="B38" s="6" t="s">
        <v>25</v>
      </c>
      <c r="C38" s="7">
        <v>45766</v>
      </c>
      <c r="D38" s="6" t="s">
        <v>39</v>
      </c>
      <c r="E38" s="6" t="s">
        <v>71</v>
      </c>
      <c r="F38" s="6"/>
      <c r="G38" s="6">
        <v>20384</v>
      </c>
      <c r="H38" s="6">
        <v>344</v>
      </c>
      <c r="I38" s="6">
        <v>956</v>
      </c>
      <c r="J38" s="6">
        <v>655</v>
      </c>
      <c r="K38" s="6">
        <v>67621</v>
      </c>
      <c r="L38" s="6">
        <v>175720</v>
      </c>
      <c r="M38" s="6" t="s">
        <v>29</v>
      </c>
      <c r="N38" s="8">
        <f t="shared" si="1"/>
        <v>0.12340086501251991</v>
      </c>
    </row>
    <row r="39" spans="1:14" hidden="1" x14ac:dyDescent="0.25">
      <c r="A39" s="1" t="s">
        <v>79</v>
      </c>
      <c r="B39" s="4" t="s">
        <v>20</v>
      </c>
      <c r="C39" s="5">
        <v>45663</v>
      </c>
      <c r="D39" s="4" t="s">
        <v>15</v>
      </c>
      <c r="E39" s="4" t="s">
        <v>27</v>
      </c>
      <c r="F39" s="4" t="s">
        <v>28</v>
      </c>
      <c r="G39" s="4">
        <v>11860</v>
      </c>
      <c r="H39" s="4">
        <v>1448</v>
      </c>
      <c r="I39" s="4">
        <v>893</v>
      </c>
      <c r="J39" s="4">
        <v>490</v>
      </c>
      <c r="K39" s="4">
        <v>23518</v>
      </c>
      <c r="L39" s="4">
        <v>206205</v>
      </c>
      <c r="M39" s="4" t="s">
        <v>18</v>
      </c>
      <c r="N39" s="9">
        <f t="shared" si="1"/>
        <v>6.8868359157149436E-2</v>
      </c>
    </row>
    <row r="40" spans="1:14" hidden="1" x14ac:dyDescent="0.25">
      <c r="A40" s="2" t="s">
        <v>80</v>
      </c>
      <c r="B40" s="6" t="s">
        <v>25</v>
      </c>
      <c r="C40" s="7">
        <v>45705</v>
      </c>
      <c r="D40" s="6" t="s">
        <v>26</v>
      </c>
      <c r="E40" s="6" t="s">
        <v>21</v>
      </c>
      <c r="F40" s="6" t="s">
        <v>22</v>
      </c>
      <c r="G40" s="6">
        <v>7989</v>
      </c>
      <c r="H40" s="6">
        <v>1206</v>
      </c>
      <c r="I40" s="6">
        <v>376</v>
      </c>
      <c r="J40" s="6">
        <v>2769</v>
      </c>
      <c r="K40" s="6">
        <v>27550</v>
      </c>
      <c r="L40" s="6">
        <v>221749</v>
      </c>
      <c r="M40" s="6" t="s">
        <v>29</v>
      </c>
      <c r="N40" s="8">
        <f t="shared" si="1"/>
        <v>4.3161412227338117E-2</v>
      </c>
    </row>
    <row r="41" spans="1:14" hidden="1" x14ac:dyDescent="0.25">
      <c r="A41" s="1" t="s">
        <v>81</v>
      </c>
      <c r="B41" s="4" t="s">
        <v>25</v>
      </c>
      <c r="C41" s="5">
        <v>45913</v>
      </c>
      <c r="D41" s="4" t="s">
        <v>39</v>
      </c>
      <c r="E41" s="4" t="s">
        <v>40</v>
      </c>
      <c r="F41" s="4" t="s">
        <v>41</v>
      </c>
      <c r="G41" s="4">
        <v>17106</v>
      </c>
      <c r="H41" s="4">
        <v>702</v>
      </c>
      <c r="I41" s="4">
        <v>459</v>
      </c>
      <c r="J41" s="4">
        <v>999</v>
      </c>
      <c r="K41" s="4">
        <v>59627</v>
      </c>
      <c r="L41" s="4">
        <v>136059</v>
      </c>
      <c r="M41" s="4" t="s">
        <v>23</v>
      </c>
      <c r="N41" s="9">
        <f t="shared" si="1"/>
        <v>0.13425793222058077</v>
      </c>
    </row>
    <row r="42" spans="1:14" hidden="1" x14ac:dyDescent="0.25">
      <c r="A42" s="2" t="s">
        <v>82</v>
      </c>
      <c r="B42" s="6" t="s">
        <v>14</v>
      </c>
      <c r="C42" s="7">
        <v>45914</v>
      </c>
      <c r="D42" s="6" t="s">
        <v>39</v>
      </c>
      <c r="E42" s="6" t="s">
        <v>43</v>
      </c>
      <c r="F42" s="6" t="s">
        <v>44</v>
      </c>
      <c r="G42" s="6">
        <v>19844</v>
      </c>
      <c r="H42" s="6">
        <v>1020</v>
      </c>
      <c r="I42" s="6">
        <v>247</v>
      </c>
      <c r="J42" s="6">
        <v>2354</v>
      </c>
      <c r="K42" s="6">
        <v>37792</v>
      </c>
      <c r="L42" s="6">
        <v>138317</v>
      </c>
      <c r="M42" s="6" t="s">
        <v>23</v>
      </c>
      <c r="N42" s="8">
        <f t="shared" si="1"/>
        <v>0.15262765965138053</v>
      </c>
    </row>
    <row r="43" spans="1:14" hidden="1" x14ac:dyDescent="0.25">
      <c r="A43" s="1" t="s">
        <v>83</v>
      </c>
      <c r="B43" s="4" t="s">
        <v>14</v>
      </c>
      <c r="C43" s="5">
        <v>45915</v>
      </c>
      <c r="D43" s="4" t="s">
        <v>26</v>
      </c>
      <c r="E43" s="4" t="s">
        <v>21</v>
      </c>
      <c r="F43" s="4" t="s">
        <v>22</v>
      </c>
      <c r="G43" s="4">
        <v>5636</v>
      </c>
      <c r="H43" s="4">
        <v>303</v>
      </c>
      <c r="I43" s="4">
        <v>204</v>
      </c>
      <c r="J43" s="4">
        <v>2480</v>
      </c>
      <c r="K43" s="4">
        <v>7377</v>
      </c>
      <c r="L43" s="4">
        <v>241207</v>
      </c>
      <c r="M43" s="4" t="s">
        <v>23</v>
      </c>
      <c r="N43" s="9">
        <f t="shared" si="1"/>
        <v>2.5467751765081443E-2</v>
      </c>
    </row>
    <row r="44" spans="1:14" hidden="1" x14ac:dyDescent="0.25">
      <c r="A44" s="2" t="s">
        <v>84</v>
      </c>
      <c r="B44" s="6" t="s">
        <v>14</v>
      </c>
      <c r="C44" s="7">
        <v>45721</v>
      </c>
      <c r="D44" s="6" t="s">
        <v>39</v>
      </c>
      <c r="E44" s="6" t="s">
        <v>32</v>
      </c>
      <c r="F44" s="6" t="s">
        <v>57</v>
      </c>
      <c r="G44" s="6">
        <v>12916</v>
      </c>
      <c r="H44" s="6">
        <v>1262</v>
      </c>
      <c r="I44" s="6">
        <v>772</v>
      </c>
      <c r="J44" s="6">
        <v>856</v>
      </c>
      <c r="K44" s="6">
        <v>11496</v>
      </c>
      <c r="L44" s="6">
        <v>75046</v>
      </c>
      <c r="M44" s="6" t="s">
        <v>29</v>
      </c>
      <c r="N44" s="8">
        <f t="shared" si="1"/>
        <v>0.19921115049436347</v>
      </c>
    </row>
    <row r="45" spans="1:14" hidden="1" x14ac:dyDescent="0.25">
      <c r="A45" s="1" t="s">
        <v>85</v>
      </c>
      <c r="B45" s="4" t="s">
        <v>47</v>
      </c>
      <c r="C45" s="5">
        <v>45916</v>
      </c>
      <c r="D45" s="4" t="s">
        <v>26</v>
      </c>
      <c r="E45" s="4" t="s">
        <v>71</v>
      </c>
      <c r="F45" s="4"/>
      <c r="G45" s="4">
        <v>6809</v>
      </c>
      <c r="H45" s="4">
        <v>397</v>
      </c>
      <c r="I45" s="4">
        <v>813</v>
      </c>
      <c r="J45" s="4">
        <v>1125</v>
      </c>
      <c r="K45" s="4">
        <v>12206</v>
      </c>
      <c r="L45" s="4">
        <v>218136</v>
      </c>
      <c r="M45" s="4" t="s">
        <v>23</v>
      </c>
      <c r="N45" s="9">
        <f t="shared" si="1"/>
        <v>3.6761469908680823E-2</v>
      </c>
    </row>
    <row r="46" spans="1:14" hidden="1" x14ac:dyDescent="0.25">
      <c r="A46" s="2" t="s">
        <v>86</v>
      </c>
      <c r="B46" s="6" t="s">
        <v>20</v>
      </c>
      <c r="C46" s="7">
        <v>45718</v>
      </c>
      <c r="D46" s="6" t="s">
        <v>31</v>
      </c>
      <c r="E46" s="6" t="s">
        <v>62</v>
      </c>
      <c r="F46" s="6" t="s">
        <v>37</v>
      </c>
      <c r="G46" s="6">
        <v>22562</v>
      </c>
      <c r="H46" s="6">
        <v>778</v>
      </c>
      <c r="I46" s="6">
        <v>907</v>
      </c>
      <c r="J46" s="6">
        <v>1354</v>
      </c>
      <c r="K46" s="6">
        <v>34475</v>
      </c>
      <c r="L46" s="6">
        <v>141459</v>
      </c>
      <c r="M46" s="6" t="s">
        <v>34</v>
      </c>
      <c r="N46" s="8">
        <f t="shared" si="1"/>
        <v>0.17140655596321194</v>
      </c>
    </row>
    <row r="47" spans="1:14" hidden="1" x14ac:dyDescent="0.25">
      <c r="A47" s="1" t="s">
        <v>87</v>
      </c>
      <c r="B47" s="4" t="s">
        <v>20</v>
      </c>
      <c r="C47" s="5">
        <v>45917</v>
      </c>
      <c r="D47" s="4" t="s">
        <v>26</v>
      </c>
      <c r="E47" s="4" t="s">
        <v>40</v>
      </c>
      <c r="F47" s="4" t="s">
        <v>41</v>
      </c>
      <c r="G47" s="4">
        <v>15456</v>
      </c>
      <c r="H47" s="4">
        <v>590</v>
      </c>
      <c r="I47" s="4">
        <v>555</v>
      </c>
      <c r="J47" s="4">
        <v>2882</v>
      </c>
      <c r="K47" s="4">
        <v>49816</v>
      </c>
      <c r="L47" s="4">
        <v>240422</v>
      </c>
      <c r="M47" s="4" t="s">
        <v>23</v>
      </c>
      <c r="N47" s="9">
        <f t="shared" si="1"/>
        <v>6.9049421433978589E-2</v>
      </c>
    </row>
    <row r="48" spans="1:14" hidden="1" x14ac:dyDescent="0.25">
      <c r="A48" s="2" t="s">
        <v>88</v>
      </c>
      <c r="B48" s="6" t="s">
        <v>20</v>
      </c>
      <c r="C48" s="7">
        <v>45779</v>
      </c>
      <c r="D48" s="6" t="s">
        <v>26</v>
      </c>
      <c r="E48" s="6" t="s">
        <v>32</v>
      </c>
      <c r="F48" s="6" t="s">
        <v>57</v>
      </c>
      <c r="G48" s="6">
        <v>17444</v>
      </c>
      <c r="H48" s="6">
        <v>1402</v>
      </c>
      <c r="I48" s="6">
        <v>218</v>
      </c>
      <c r="J48" s="6">
        <v>725</v>
      </c>
      <c r="K48" s="6">
        <v>8710</v>
      </c>
      <c r="L48" s="6">
        <v>85893</v>
      </c>
      <c r="M48" s="6" t="s">
        <v>52</v>
      </c>
      <c r="N48" s="8">
        <f t="shared" si="1"/>
        <v>0.22195056640238436</v>
      </c>
    </row>
    <row r="49" spans="1:14" hidden="1" x14ac:dyDescent="0.25">
      <c r="A49" s="1" t="s">
        <v>89</v>
      </c>
      <c r="B49" s="4" t="s">
        <v>20</v>
      </c>
      <c r="C49" s="5">
        <v>45712</v>
      </c>
      <c r="D49" s="4" t="s">
        <v>26</v>
      </c>
      <c r="E49" s="4" t="s">
        <v>48</v>
      </c>
      <c r="F49" s="4" t="s">
        <v>32</v>
      </c>
      <c r="G49" s="4">
        <v>24984</v>
      </c>
      <c r="H49" s="4">
        <v>753</v>
      </c>
      <c r="I49" s="4">
        <v>461</v>
      </c>
      <c r="J49" s="4">
        <v>2710</v>
      </c>
      <c r="K49" s="4">
        <v>20792</v>
      </c>
      <c r="L49" s="4">
        <v>141520</v>
      </c>
      <c r="M49" s="4" t="s">
        <v>29</v>
      </c>
      <c r="N49" s="9">
        <f t="shared" si="1"/>
        <v>0.18511871113623515</v>
      </c>
    </row>
    <row r="50" spans="1:14" hidden="1" x14ac:dyDescent="0.25">
      <c r="A50" s="2" t="s">
        <v>90</v>
      </c>
      <c r="B50" s="6" t="s">
        <v>14</v>
      </c>
      <c r="C50" s="7">
        <v>45727</v>
      </c>
      <c r="D50" s="6" t="s">
        <v>39</v>
      </c>
      <c r="E50" s="6" t="s">
        <v>16</v>
      </c>
      <c r="F50" s="6" t="s">
        <v>17</v>
      </c>
      <c r="G50" s="6">
        <v>7997</v>
      </c>
      <c r="H50" s="6">
        <v>1238</v>
      </c>
      <c r="I50" s="6">
        <v>438</v>
      </c>
      <c r="J50" s="6">
        <v>1874</v>
      </c>
      <c r="K50" s="6">
        <v>36272</v>
      </c>
      <c r="L50" s="6">
        <v>165818</v>
      </c>
      <c r="M50" s="6" t="s">
        <v>52</v>
      </c>
      <c r="N50" s="8">
        <f t="shared" si="1"/>
        <v>5.8335042034037318E-2</v>
      </c>
    </row>
    <row r="51" spans="1:14" hidden="1" x14ac:dyDescent="0.25">
      <c r="A51" s="1" t="s">
        <v>91</v>
      </c>
      <c r="B51" s="4" t="s">
        <v>47</v>
      </c>
      <c r="C51" s="5">
        <v>45918</v>
      </c>
      <c r="D51" s="4" t="s">
        <v>39</v>
      </c>
      <c r="E51" s="4" t="s">
        <v>32</v>
      </c>
      <c r="F51" s="4" t="s">
        <v>57</v>
      </c>
      <c r="G51" s="4">
        <v>4048</v>
      </c>
      <c r="H51" s="4">
        <v>677</v>
      </c>
      <c r="I51" s="4">
        <v>911</v>
      </c>
      <c r="J51" s="4">
        <v>2429</v>
      </c>
      <c r="K51" s="4">
        <v>27361</v>
      </c>
      <c r="L51" s="4">
        <v>101272</v>
      </c>
      <c r="M51" s="4" t="s">
        <v>23</v>
      </c>
      <c r="N51" s="9">
        <f t="shared" si="1"/>
        <v>5.5652105221581483E-2</v>
      </c>
    </row>
    <row r="52" spans="1:14" hidden="1" x14ac:dyDescent="0.25">
      <c r="A52" s="2" t="s">
        <v>92</v>
      </c>
      <c r="B52" s="6" t="s">
        <v>47</v>
      </c>
      <c r="C52" s="7">
        <v>45476</v>
      </c>
      <c r="D52" s="6" t="s">
        <v>26</v>
      </c>
      <c r="E52" s="6" t="s">
        <v>40</v>
      </c>
      <c r="F52" s="6" t="s">
        <v>41</v>
      </c>
      <c r="G52" s="6">
        <v>14338</v>
      </c>
      <c r="H52" s="6">
        <v>1454</v>
      </c>
      <c r="I52" s="6">
        <v>697</v>
      </c>
      <c r="J52" s="6">
        <v>2703</v>
      </c>
      <c r="K52" s="6">
        <v>21288</v>
      </c>
      <c r="L52" s="6">
        <v>107649</v>
      </c>
      <c r="M52" s="6" t="s">
        <v>34</v>
      </c>
      <c r="N52" s="8">
        <f t="shared" si="1"/>
        <v>0.1531737405828201</v>
      </c>
    </row>
    <row r="53" spans="1:14" hidden="1" x14ac:dyDescent="0.25">
      <c r="A53" s="1" t="s">
        <v>93</v>
      </c>
      <c r="B53" s="4" t="s">
        <v>14</v>
      </c>
      <c r="C53" s="5">
        <v>45456</v>
      </c>
      <c r="D53" s="4" t="s">
        <v>39</v>
      </c>
      <c r="E53" s="4" t="s">
        <v>43</v>
      </c>
      <c r="F53" s="4" t="s">
        <v>44</v>
      </c>
      <c r="G53" s="4">
        <v>23164</v>
      </c>
      <c r="H53" s="4">
        <v>1122</v>
      </c>
      <c r="I53" s="4">
        <v>900</v>
      </c>
      <c r="J53" s="4">
        <v>888</v>
      </c>
      <c r="K53" s="4">
        <v>36938</v>
      </c>
      <c r="L53" s="4">
        <v>104674</v>
      </c>
      <c r="M53" s="4" t="s">
        <v>18</v>
      </c>
      <c r="N53" s="9">
        <f t="shared" si="1"/>
        <v>0.24061371496264594</v>
      </c>
    </row>
    <row r="54" spans="1:14" hidden="1" x14ac:dyDescent="0.25">
      <c r="A54" s="2" t="s">
        <v>94</v>
      </c>
      <c r="B54" s="6" t="s">
        <v>47</v>
      </c>
      <c r="C54" s="7">
        <v>45919</v>
      </c>
      <c r="D54" s="6" t="s">
        <v>15</v>
      </c>
      <c r="E54" s="6" t="s">
        <v>43</v>
      </c>
      <c r="F54" s="6" t="s">
        <v>44</v>
      </c>
      <c r="G54" s="6">
        <v>19100</v>
      </c>
      <c r="H54" s="6">
        <v>619</v>
      </c>
      <c r="I54" s="6">
        <v>297</v>
      </c>
      <c r="J54" s="6">
        <v>2312</v>
      </c>
      <c r="K54" s="6">
        <v>9730</v>
      </c>
      <c r="L54" s="6">
        <v>184832</v>
      </c>
      <c r="M54" s="6" t="s">
        <v>23</v>
      </c>
      <c r="N54" s="8">
        <f t="shared" si="1"/>
        <v>0.10829293628808864</v>
      </c>
    </row>
    <row r="55" spans="1:14" hidden="1" x14ac:dyDescent="0.25">
      <c r="A55" s="1" t="s">
        <v>95</v>
      </c>
      <c r="B55" s="4" t="s">
        <v>14</v>
      </c>
      <c r="C55" s="5">
        <v>45712</v>
      </c>
      <c r="D55" s="4" t="s">
        <v>15</v>
      </c>
      <c r="E55" s="4" t="s">
        <v>32</v>
      </c>
      <c r="F55" s="4" t="s">
        <v>57</v>
      </c>
      <c r="G55" s="4">
        <v>23949</v>
      </c>
      <c r="H55" s="4">
        <v>356</v>
      </c>
      <c r="I55" s="4">
        <v>616</v>
      </c>
      <c r="J55" s="4">
        <v>1847</v>
      </c>
      <c r="K55" s="4">
        <v>3144</v>
      </c>
      <c r="L55" s="4">
        <v>192999</v>
      </c>
      <c r="M55" s="4" t="s">
        <v>34</v>
      </c>
      <c r="N55" s="9">
        <f t="shared" si="1"/>
        <v>0.12912502137316773</v>
      </c>
    </row>
    <row r="56" spans="1:14" hidden="1" x14ac:dyDescent="0.25">
      <c r="A56" s="2" t="s">
        <v>96</v>
      </c>
      <c r="B56" s="6" t="s">
        <v>20</v>
      </c>
      <c r="C56" s="7">
        <v>45729</v>
      </c>
      <c r="D56" s="6" t="s">
        <v>39</v>
      </c>
      <c r="E56" s="6" t="s">
        <v>27</v>
      </c>
      <c r="F56" s="6" t="s">
        <v>28</v>
      </c>
      <c r="G56" s="6">
        <v>6544</v>
      </c>
      <c r="H56" s="6">
        <v>749</v>
      </c>
      <c r="I56" s="6">
        <v>888</v>
      </c>
      <c r="J56" s="6">
        <v>594</v>
      </c>
      <c r="K56" s="6">
        <v>18171</v>
      </c>
      <c r="L56" s="6">
        <v>126475</v>
      </c>
      <c r="M56" s="6" t="s">
        <v>29</v>
      </c>
      <c r="N56" s="8">
        <f t="shared" si="1"/>
        <v>6.4684720300454635E-2</v>
      </c>
    </row>
    <row r="57" spans="1:14" hidden="1" x14ac:dyDescent="0.25">
      <c r="A57" s="1" t="s">
        <v>97</v>
      </c>
      <c r="B57" s="4" t="s">
        <v>14</v>
      </c>
      <c r="C57" s="5">
        <v>45460</v>
      </c>
      <c r="D57" s="4" t="s">
        <v>39</v>
      </c>
      <c r="E57" s="4" t="s">
        <v>16</v>
      </c>
      <c r="F57" s="4" t="s">
        <v>17</v>
      </c>
      <c r="G57" s="4">
        <v>6976</v>
      </c>
      <c r="H57" s="4">
        <v>1320</v>
      </c>
      <c r="I57" s="4">
        <v>393</v>
      </c>
      <c r="J57" s="4">
        <v>2285</v>
      </c>
      <c r="K57" s="4">
        <v>14049</v>
      </c>
      <c r="L57" s="4">
        <v>101367</v>
      </c>
      <c r="M57" s="4" t="s">
        <v>52</v>
      </c>
      <c r="N57" s="9">
        <f t="shared" si="1"/>
        <v>8.5718231771681114E-2</v>
      </c>
    </row>
    <row r="58" spans="1:14" hidden="1" x14ac:dyDescent="0.25">
      <c r="A58" s="2" t="s">
        <v>98</v>
      </c>
      <c r="B58" s="6" t="s">
        <v>20</v>
      </c>
      <c r="C58" s="7">
        <v>45644</v>
      </c>
      <c r="D58" s="6" t="s">
        <v>26</v>
      </c>
      <c r="E58" s="6" t="s">
        <v>48</v>
      </c>
      <c r="F58" s="6" t="s">
        <v>32</v>
      </c>
      <c r="G58" s="6">
        <v>14775</v>
      </c>
      <c r="H58" s="6">
        <v>1220</v>
      </c>
      <c r="I58" s="6">
        <v>640</v>
      </c>
      <c r="J58" s="6">
        <v>1547</v>
      </c>
      <c r="K58" s="6">
        <v>28527</v>
      </c>
      <c r="L58" s="6">
        <v>183660</v>
      </c>
      <c r="M58" s="6" t="s">
        <v>52</v>
      </c>
      <c r="N58" s="8">
        <f t="shared" si="1"/>
        <v>9.0574975498203203E-2</v>
      </c>
    </row>
    <row r="59" spans="1:14" hidden="1" x14ac:dyDescent="0.25">
      <c r="A59" s="1" t="s">
        <v>99</v>
      </c>
      <c r="B59" s="4" t="s">
        <v>20</v>
      </c>
      <c r="C59" s="5">
        <v>45586</v>
      </c>
      <c r="D59" s="4" t="s">
        <v>31</v>
      </c>
      <c r="E59" s="4" t="s">
        <v>32</v>
      </c>
      <c r="F59" s="4" t="s">
        <v>57</v>
      </c>
      <c r="G59" s="4">
        <v>12015</v>
      </c>
      <c r="H59" s="4">
        <v>1196</v>
      </c>
      <c r="I59" s="4">
        <v>998</v>
      </c>
      <c r="J59" s="4">
        <v>1848</v>
      </c>
      <c r="K59" s="4">
        <v>44739</v>
      </c>
      <c r="L59" s="4">
        <v>161750</v>
      </c>
      <c r="M59" s="4" t="s">
        <v>52</v>
      </c>
      <c r="N59" s="9">
        <f t="shared" si="1"/>
        <v>8.7845440494590421E-2</v>
      </c>
    </row>
    <row r="60" spans="1:14" hidden="1" x14ac:dyDescent="0.25">
      <c r="A60" s="2" t="s">
        <v>100</v>
      </c>
      <c r="B60" s="6" t="s">
        <v>25</v>
      </c>
      <c r="C60" s="7">
        <v>45762</v>
      </c>
      <c r="D60" s="6" t="s">
        <v>39</v>
      </c>
      <c r="E60" s="6" t="s">
        <v>27</v>
      </c>
      <c r="F60" s="6" t="s">
        <v>28</v>
      </c>
      <c r="G60" s="6">
        <v>5419</v>
      </c>
      <c r="H60" s="6">
        <v>1150</v>
      </c>
      <c r="I60" s="6">
        <v>656</v>
      </c>
      <c r="J60" s="6">
        <v>1990</v>
      </c>
      <c r="K60" s="6">
        <v>410</v>
      </c>
      <c r="L60" s="6">
        <v>158154</v>
      </c>
      <c r="M60" s="6" t="s">
        <v>29</v>
      </c>
      <c r="N60" s="8">
        <f t="shared" si="1"/>
        <v>4.5683321319726342E-2</v>
      </c>
    </row>
    <row r="61" spans="1:14" hidden="1" x14ac:dyDescent="0.25">
      <c r="A61" s="1" t="s">
        <v>101</v>
      </c>
      <c r="B61" s="4" t="s">
        <v>14</v>
      </c>
      <c r="C61" s="5">
        <v>45465</v>
      </c>
      <c r="D61" s="4" t="s">
        <v>15</v>
      </c>
      <c r="E61" s="4" t="s">
        <v>43</v>
      </c>
      <c r="F61" s="4" t="s">
        <v>44</v>
      </c>
      <c r="G61" s="4">
        <v>16430</v>
      </c>
      <c r="H61" s="4">
        <v>488</v>
      </c>
      <c r="I61" s="4">
        <v>514</v>
      </c>
      <c r="J61" s="4">
        <v>1436</v>
      </c>
      <c r="K61" s="4">
        <v>30059</v>
      </c>
      <c r="L61" s="4">
        <v>223305</v>
      </c>
      <c r="M61" s="4" t="s">
        <v>34</v>
      </c>
      <c r="N61" s="9">
        <f t="shared" si="1"/>
        <v>7.8063634938760881E-2</v>
      </c>
    </row>
    <row r="62" spans="1:14" hidden="1" x14ac:dyDescent="0.25">
      <c r="A62" s="2" t="s">
        <v>102</v>
      </c>
      <c r="B62" s="6" t="s">
        <v>25</v>
      </c>
      <c r="C62" s="7">
        <v>45685</v>
      </c>
      <c r="D62" s="6" t="s">
        <v>26</v>
      </c>
      <c r="E62" s="6" t="s">
        <v>43</v>
      </c>
      <c r="F62" s="6" t="s">
        <v>44</v>
      </c>
      <c r="G62" s="6">
        <v>9239</v>
      </c>
      <c r="H62" s="6">
        <v>1477</v>
      </c>
      <c r="I62" s="6">
        <v>631</v>
      </c>
      <c r="J62" s="6">
        <v>1556</v>
      </c>
      <c r="K62" s="6">
        <v>11580</v>
      </c>
      <c r="L62" s="6">
        <v>84738</v>
      </c>
      <c r="M62" s="6" t="s">
        <v>29</v>
      </c>
      <c r="N62" s="8">
        <f t="shared" si="1"/>
        <v>0.13390686586891359</v>
      </c>
    </row>
    <row r="63" spans="1:14" hidden="1" x14ac:dyDescent="0.25">
      <c r="A63" s="1" t="s">
        <v>103</v>
      </c>
      <c r="B63" s="4" t="s">
        <v>14</v>
      </c>
      <c r="C63" s="5">
        <v>45540</v>
      </c>
      <c r="D63" s="4" t="s">
        <v>39</v>
      </c>
      <c r="E63" s="4" t="s">
        <v>71</v>
      </c>
      <c r="F63" s="4"/>
      <c r="G63" s="4">
        <v>16489</v>
      </c>
      <c r="H63" s="4">
        <v>395</v>
      </c>
      <c r="I63" s="4">
        <v>350</v>
      </c>
      <c r="J63" s="4">
        <v>2364</v>
      </c>
      <c r="K63" s="4">
        <v>43239</v>
      </c>
      <c r="L63" s="4">
        <v>73397</v>
      </c>
      <c r="M63" s="4" t="s">
        <v>52</v>
      </c>
      <c r="N63" s="9">
        <f t="shared" si="1"/>
        <v>0.23480523727127811</v>
      </c>
    </row>
    <row r="64" spans="1:14" hidden="1" x14ac:dyDescent="0.25">
      <c r="A64" s="2" t="s">
        <v>104</v>
      </c>
      <c r="B64" s="6" t="s">
        <v>14</v>
      </c>
      <c r="C64" s="7">
        <v>45920</v>
      </c>
      <c r="D64" s="6" t="s">
        <v>15</v>
      </c>
      <c r="E64" s="6" t="s">
        <v>32</v>
      </c>
      <c r="F64" s="6" t="s">
        <v>57</v>
      </c>
      <c r="G64" s="6">
        <v>18633</v>
      </c>
      <c r="H64" s="6">
        <v>797</v>
      </c>
      <c r="I64" s="6">
        <v>303</v>
      </c>
      <c r="J64" s="6">
        <v>659</v>
      </c>
      <c r="K64" s="6">
        <v>7</v>
      </c>
      <c r="L64" s="6">
        <v>122189</v>
      </c>
      <c r="M64" s="6" t="s">
        <v>23</v>
      </c>
      <c r="N64" s="8">
        <f t="shared" si="1"/>
        <v>0.16149571565361859</v>
      </c>
    </row>
    <row r="65" spans="1:14" hidden="1" x14ac:dyDescent="0.25">
      <c r="A65" s="1" t="s">
        <v>105</v>
      </c>
      <c r="B65" s="4" t="s">
        <v>25</v>
      </c>
      <c r="C65" s="5">
        <v>45504</v>
      </c>
      <c r="D65" s="4" t="s">
        <v>15</v>
      </c>
      <c r="E65" s="4" t="s">
        <v>16</v>
      </c>
      <c r="F65" s="4" t="s">
        <v>17</v>
      </c>
      <c r="G65" s="4">
        <v>12357</v>
      </c>
      <c r="H65" s="4">
        <v>716</v>
      </c>
      <c r="I65" s="4">
        <v>599</v>
      </c>
      <c r="J65" s="4">
        <v>999</v>
      </c>
      <c r="K65" s="4">
        <v>89591</v>
      </c>
      <c r="L65" s="4">
        <v>116367</v>
      </c>
      <c r="M65" s="4" t="s">
        <v>18</v>
      </c>
      <c r="N65" s="9">
        <f t="shared" si="1"/>
        <v>0.11749035379446063</v>
      </c>
    </row>
    <row r="66" spans="1:14" hidden="1" x14ac:dyDescent="0.25">
      <c r="A66" s="2" t="s">
        <v>106</v>
      </c>
      <c r="B66" s="6" t="s">
        <v>25</v>
      </c>
      <c r="C66" s="7">
        <v>45521</v>
      </c>
      <c r="D66" s="6" t="s">
        <v>31</v>
      </c>
      <c r="E66" s="6" t="s">
        <v>37</v>
      </c>
      <c r="F66" s="6"/>
      <c r="G66" s="6">
        <v>19154</v>
      </c>
      <c r="H66" s="6">
        <v>1064</v>
      </c>
      <c r="I66" s="6">
        <v>650</v>
      </c>
      <c r="J66" s="6">
        <v>747</v>
      </c>
      <c r="K66" s="6">
        <v>42667</v>
      </c>
      <c r="L66" s="6">
        <v>242332</v>
      </c>
      <c r="M66" s="6" t="s">
        <v>29</v>
      </c>
      <c r="N66" s="8">
        <f t="shared" si="1"/>
        <v>8.6113266097750191E-2</v>
      </c>
    </row>
    <row r="67" spans="1:14" hidden="1" x14ac:dyDescent="0.25">
      <c r="A67" s="1" t="s">
        <v>107</v>
      </c>
      <c r="B67" s="4" t="s">
        <v>14</v>
      </c>
      <c r="C67" s="5">
        <v>45744</v>
      </c>
      <c r="D67" s="4" t="s">
        <v>26</v>
      </c>
      <c r="E67" s="4" t="s">
        <v>16</v>
      </c>
      <c r="F67" s="4" t="s">
        <v>17</v>
      </c>
      <c r="G67" s="4">
        <v>6363</v>
      </c>
      <c r="H67" s="4">
        <v>1341</v>
      </c>
      <c r="I67" s="4">
        <v>222</v>
      </c>
      <c r="J67" s="4">
        <v>2712</v>
      </c>
      <c r="K67" s="4">
        <v>19987</v>
      </c>
      <c r="L67" s="4">
        <v>160585</v>
      </c>
      <c r="M67" s="4" t="s">
        <v>29</v>
      </c>
      <c r="N67" s="9">
        <f t="shared" si="1"/>
        <v>4.9357038328611019E-2</v>
      </c>
    </row>
    <row r="68" spans="1:14" hidden="1" x14ac:dyDescent="0.25">
      <c r="A68" s="2" t="s">
        <v>108</v>
      </c>
      <c r="B68" s="6" t="s">
        <v>47</v>
      </c>
      <c r="C68" s="7">
        <v>45499</v>
      </c>
      <c r="D68" s="6" t="s">
        <v>26</v>
      </c>
      <c r="E68" s="6" t="s">
        <v>43</v>
      </c>
      <c r="F68" s="6" t="s">
        <v>44</v>
      </c>
      <c r="G68" s="6">
        <v>12176</v>
      </c>
      <c r="H68" s="6">
        <v>1005</v>
      </c>
      <c r="I68" s="6">
        <v>862</v>
      </c>
      <c r="J68" s="6">
        <v>974</v>
      </c>
      <c r="K68" s="6">
        <v>2285</v>
      </c>
      <c r="L68" s="6">
        <v>116619</v>
      </c>
      <c r="M68" s="6" t="s">
        <v>34</v>
      </c>
      <c r="N68" s="8">
        <f t="shared" si="1"/>
        <v>0.12041777068916729</v>
      </c>
    </row>
    <row r="69" spans="1:14" hidden="1" x14ac:dyDescent="0.25">
      <c r="A69" s="1" t="s">
        <v>109</v>
      </c>
      <c r="B69" s="4" t="s">
        <v>20</v>
      </c>
      <c r="C69" s="5">
        <v>45745</v>
      </c>
      <c r="D69" s="4" t="s">
        <v>31</v>
      </c>
      <c r="E69" s="4" t="s">
        <v>43</v>
      </c>
      <c r="F69" s="4" t="s">
        <v>44</v>
      </c>
      <c r="G69" s="4">
        <v>19461</v>
      </c>
      <c r="H69" s="4">
        <v>1382</v>
      </c>
      <c r="I69" s="4">
        <v>445</v>
      </c>
      <c r="J69" s="4">
        <v>1307</v>
      </c>
      <c r="K69" s="4">
        <v>84691</v>
      </c>
      <c r="L69" s="4">
        <v>151453</v>
      </c>
      <c r="M69" s="4" t="s">
        <v>34</v>
      </c>
      <c r="N69" s="9">
        <f t="shared" si="1"/>
        <v>0.14055845707909384</v>
      </c>
    </row>
    <row r="70" spans="1:14" hidden="1" x14ac:dyDescent="0.25">
      <c r="A70" s="2" t="s">
        <v>110</v>
      </c>
      <c r="B70" s="6" t="s">
        <v>25</v>
      </c>
      <c r="C70" s="7">
        <v>45634</v>
      </c>
      <c r="D70" s="6" t="s">
        <v>31</v>
      </c>
      <c r="E70" s="6" t="s">
        <v>21</v>
      </c>
      <c r="F70" s="6" t="s">
        <v>22</v>
      </c>
      <c r="G70" s="6">
        <v>10427</v>
      </c>
      <c r="H70" s="6">
        <v>1014</v>
      </c>
      <c r="I70" s="6">
        <v>166</v>
      </c>
      <c r="J70" s="6">
        <v>1649</v>
      </c>
      <c r="K70" s="6">
        <v>15145</v>
      </c>
      <c r="L70" s="6">
        <v>59816</v>
      </c>
      <c r="M70" s="6" t="s">
        <v>29</v>
      </c>
      <c r="N70" s="8">
        <f t="shared" si="1"/>
        <v>0.19404507155276179</v>
      </c>
    </row>
    <row r="71" spans="1:14" hidden="1" x14ac:dyDescent="0.25">
      <c r="A71" s="1" t="s">
        <v>111</v>
      </c>
      <c r="B71" s="4" t="s">
        <v>20</v>
      </c>
      <c r="C71" s="5">
        <v>45724</v>
      </c>
      <c r="D71" s="4" t="s">
        <v>26</v>
      </c>
      <c r="E71" s="4" t="s">
        <v>43</v>
      </c>
      <c r="F71" s="4" t="s">
        <v>44</v>
      </c>
      <c r="G71" s="4">
        <v>10580</v>
      </c>
      <c r="H71" s="4">
        <v>427</v>
      </c>
      <c r="I71" s="4">
        <v>790</v>
      </c>
      <c r="J71" s="4">
        <v>2814</v>
      </c>
      <c r="K71" s="4">
        <v>24916</v>
      </c>
      <c r="L71" s="4">
        <v>213312</v>
      </c>
      <c r="M71" s="4" t="s">
        <v>52</v>
      </c>
      <c r="N71" s="9">
        <f t="shared" si="1"/>
        <v>5.530396789678968E-2</v>
      </c>
    </row>
    <row r="72" spans="1:14" hidden="1" x14ac:dyDescent="0.25">
      <c r="A72" s="2" t="s">
        <v>112</v>
      </c>
      <c r="B72" s="6" t="s">
        <v>47</v>
      </c>
      <c r="C72" s="7">
        <v>45749</v>
      </c>
      <c r="D72" s="6" t="s">
        <v>26</v>
      </c>
      <c r="E72" s="6" t="s">
        <v>48</v>
      </c>
      <c r="F72" s="6" t="s">
        <v>32</v>
      </c>
      <c r="G72" s="6">
        <v>6858</v>
      </c>
      <c r="H72" s="6">
        <v>415</v>
      </c>
      <c r="I72" s="6">
        <v>366</v>
      </c>
      <c r="J72" s="6">
        <v>2761</v>
      </c>
      <c r="K72" s="6">
        <v>2988</v>
      </c>
      <c r="L72" s="6">
        <v>177348</v>
      </c>
      <c r="M72" s="6" t="s">
        <v>18</v>
      </c>
      <c r="N72" s="8">
        <f t="shared" si="1"/>
        <v>4.3073505198818141E-2</v>
      </c>
    </row>
    <row r="73" spans="1:14" hidden="1" x14ac:dyDescent="0.25">
      <c r="A73" s="1" t="s">
        <v>113</v>
      </c>
      <c r="B73" s="4" t="s">
        <v>47</v>
      </c>
      <c r="C73" s="5">
        <v>45537</v>
      </c>
      <c r="D73" s="4" t="s">
        <v>39</v>
      </c>
      <c r="E73" s="4" t="s">
        <v>32</v>
      </c>
      <c r="F73" s="4" t="s">
        <v>33</v>
      </c>
      <c r="G73" s="4">
        <v>12040</v>
      </c>
      <c r="H73" s="4">
        <v>1147</v>
      </c>
      <c r="I73" s="4">
        <v>210</v>
      </c>
      <c r="J73" s="4">
        <v>885</v>
      </c>
      <c r="K73" s="4">
        <v>30360</v>
      </c>
      <c r="L73" s="4">
        <v>119530</v>
      </c>
      <c r="M73" s="4" t="s">
        <v>34</v>
      </c>
      <c r="N73" s="9">
        <f t="shared" si="1"/>
        <v>0.1120806492094035</v>
      </c>
    </row>
    <row r="74" spans="1:14" hidden="1" x14ac:dyDescent="0.25">
      <c r="A74" s="2" t="s">
        <v>114</v>
      </c>
      <c r="B74" s="6" t="s">
        <v>47</v>
      </c>
      <c r="C74" s="7">
        <v>45719</v>
      </c>
      <c r="D74" s="6" t="s">
        <v>39</v>
      </c>
      <c r="E74" s="6" t="s">
        <v>32</v>
      </c>
      <c r="F74" s="6" t="s">
        <v>57</v>
      </c>
      <c r="G74" s="6">
        <v>24928</v>
      </c>
      <c r="H74" s="6">
        <v>214</v>
      </c>
      <c r="I74" s="6">
        <v>765</v>
      </c>
      <c r="J74" s="6">
        <v>1556</v>
      </c>
      <c r="K74" s="6">
        <v>5239</v>
      </c>
      <c r="L74" s="6">
        <v>194571</v>
      </c>
      <c r="M74" s="6" t="s">
        <v>52</v>
      </c>
      <c r="N74" s="8">
        <f t="shared" si="1"/>
        <v>0.13314933880177415</v>
      </c>
    </row>
    <row r="75" spans="1:14" hidden="1" x14ac:dyDescent="0.25">
      <c r="A75" s="1" t="s">
        <v>115</v>
      </c>
      <c r="B75" s="4" t="s">
        <v>25</v>
      </c>
      <c r="C75" s="5">
        <v>45921</v>
      </c>
      <c r="D75" s="4" t="s">
        <v>31</v>
      </c>
      <c r="E75" s="4" t="s">
        <v>16</v>
      </c>
      <c r="F75" s="4" t="s">
        <v>17</v>
      </c>
      <c r="G75" s="4">
        <v>23103</v>
      </c>
      <c r="H75" s="4">
        <v>1380</v>
      </c>
      <c r="I75" s="4">
        <v>191</v>
      </c>
      <c r="J75" s="4">
        <v>1547</v>
      </c>
      <c r="K75" s="4">
        <v>77798</v>
      </c>
      <c r="L75" s="4">
        <v>148856</v>
      </c>
      <c r="M75" s="4" t="s">
        <v>23</v>
      </c>
      <c r="N75" s="9">
        <f t="shared" si="1"/>
        <v>0.16575751061428495</v>
      </c>
    </row>
    <row r="76" spans="1:14" hidden="1" x14ac:dyDescent="0.25">
      <c r="A76" s="2" t="s">
        <v>116</v>
      </c>
      <c r="B76" s="6" t="s">
        <v>47</v>
      </c>
      <c r="C76" s="7">
        <v>45593</v>
      </c>
      <c r="D76" s="6" t="s">
        <v>39</v>
      </c>
      <c r="E76" s="6" t="s">
        <v>32</v>
      </c>
      <c r="F76" s="6" t="s">
        <v>33</v>
      </c>
      <c r="G76" s="6">
        <v>21198</v>
      </c>
      <c r="H76" s="6">
        <v>1484</v>
      </c>
      <c r="I76" s="6">
        <v>174</v>
      </c>
      <c r="J76" s="6">
        <v>1293</v>
      </c>
      <c r="K76" s="6">
        <v>16330</v>
      </c>
      <c r="L76" s="6">
        <v>111635</v>
      </c>
      <c r="M76" s="6" t="s">
        <v>34</v>
      </c>
      <c r="N76" s="8">
        <f t="shared" si="1"/>
        <v>0.20473865723115511</v>
      </c>
    </row>
    <row r="77" spans="1:14" hidden="1" x14ac:dyDescent="0.25">
      <c r="A77" s="1" t="s">
        <v>117</v>
      </c>
      <c r="B77" s="4" t="s">
        <v>25</v>
      </c>
      <c r="C77" s="5">
        <v>45505</v>
      </c>
      <c r="D77" s="4" t="s">
        <v>15</v>
      </c>
      <c r="E77" s="4" t="s">
        <v>27</v>
      </c>
      <c r="F77" s="4" t="s">
        <v>28</v>
      </c>
      <c r="G77" s="4">
        <v>21758</v>
      </c>
      <c r="H77" s="4">
        <v>1380</v>
      </c>
      <c r="I77" s="4">
        <v>188</v>
      </c>
      <c r="J77" s="4">
        <v>1735</v>
      </c>
      <c r="K77" s="4">
        <v>20998</v>
      </c>
      <c r="L77" s="4">
        <v>147803</v>
      </c>
      <c r="M77" s="4" t="s">
        <v>52</v>
      </c>
      <c r="N77" s="9">
        <f t="shared" si="1"/>
        <v>0.15781817689762725</v>
      </c>
    </row>
    <row r="78" spans="1:14" hidden="1" x14ac:dyDescent="0.25">
      <c r="A78" s="2" t="s">
        <v>118</v>
      </c>
      <c r="B78" s="6" t="s">
        <v>47</v>
      </c>
      <c r="C78" s="7">
        <v>45603</v>
      </c>
      <c r="D78" s="6" t="s">
        <v>39</v>
      </c>
      <c r="E78" s="6" t="s">
        <v>37</v>
      </c>
      <c r="F78" s="6"/>
      <c r="G78" s="6">
        <v>17254</v>
      </c>
      <c r="H78" s="6">
        <v>246</v>
      </c>
      <c r="I78" s="6">
        <v>952</v>
      </c>
      <c r="J78" s="6">
        <v>871</v>
      </c>
      <c r="K78" s="6">
        <v>14957</v>
      </c>
      <c r="L78" s="6">
        <v>75946</v>
      </c>
      <c r="M78" s="6" t="s">
        <v>52</v>
      </c>
      <c r="N78" s="8">
        <f t="shared" si="1"/>
        <v>0.24296210465330631</v>
      </c>
    </row>
    <row r="79" spans="1:14" hidden="1" x14ac:dyDescent="0.25">
      <c r="A79" s="1" t="s">
        <v>119</v>
      </c>
      <c r="B79" s="4" t="s">
        <v>20</v>
      </c>
      <c r="C79" s="5">
        <v>45720</v>
      </c>
      <c r="D79" s="4" t="s">
        <v>39</v>
      </c>
      <c r="E79" s="4" t="s">
        <v>48</v>
      </c>
      <c r="F79" s="4" t="s">
        <v>32</v>
      </c>
      <c r="G79" s="4">
        <v>13470</v>
      </c>
      <c r="H79" s="4">
        <v>523</v>
      </c>
      <c r="I79" s="4">
        <v>280</v>
      </c>
      <c r="J79" s="4">
        <v>2682</v>
      </c>
      <c r="K79" s="4">
        <v>8538</v>
      </c>
      <c r="L79" s="4">
        <v>95204</v>
      </c>
      <c r="M79" s="4" t="s">
        <v>18</v>
      </c>
      <c r="N79" s="9">
        <f t="shared" ref="N79:N142" si="2">(G79+H79+I79)/L79</f>
        <v>0.14992017142136885</v>
      </c>
    </row>
    <row r="80" spans="1:14" hidden="1" x14ac:dyDescent="0.25">
      <c r="A80" s="2" t="s">
        <v>120</v>
      </c>
      <c r="B80" s="6" t="s">
        <v>20</v>
      </c>
      <c r="C80" s="7">
        <v>45460</v>
      </c>
      <c r="D80" s="6" t="s">
        <v>15</v>
      </c>
      <c r="E80" s="6" t="s">
        <v>40</v>
      </c>
      <c r="F80" s="6" t="s">
        <v>41</v>
      </c>
      <c r="G80" s="6">
        <v>3252</v>
      </c>
      <c r="H80" s="6">
        <v>1043</v>
      </c>
      <c r="I80" s="6">
        <v>647</v>
      </c>
      <c r="J80" s="6">
        <v>1545</v>
      </c>
      <c r="K80" s="6">
        <v>18859</v>
      </c>
      <c r="L80" s="6">
        <v>222958</v>
      </c>
      <c r="M80" s="6" t="s">
        <v>18</v>
      </c>
      <c r="N80" s="8">
        <f t="shared" si="2"/>
        <v>2.2165609666394567E-2</v>
      </c>
    </row>
    <row r="81" spans="1:14" hidden="1" x14ac:dyDescent="0.25">
      <c r="A81" s="1" t="s">
        <v>121</v>
      </c>
      <c r="B81" s="4" t="s">
        <v>14</v>
      </c>
      <c r="C81" s="5">
        <v>45922</v>
      </c>
      <c r="D81" s="4" t="s">
        <v>31</v>
      </c>
      <c r="E81" s="4" t="s">
        <v>122</v>
      </c>
      <c r="F81" s="4" t="s">
        <v>123</v>
      </c>
      <c r="G81" s="4">
        <v>8996</v>
      </c>
      <c r="H81" s="4">
        <v>329</v>
      </c>
      <c r="I81" s="4">
        <v>378</v>
      </c>
      <c r="J81" s="4">
        <v>2384</v>
      </c>
      <c r="K81" s="4">
        <v>39404</v>
      </c>
      <c r="L81" s="4">
        <v>242724</v>
      </c>
      <c r="M81" s="4" t="s">
        <v>23</v>
      </c>
      <c r="N81" s="9">
        <f t="shared" si="2"/>
        <v>3.9975445361810122E-2</v>
      </c>
    </row>
    <row r="82" spans="1:14" hidden="1" x14ac:dyDescent="0.25">
      <c r="A82" s="2" t="s">
        <v>124</v>
      </c>
      <c r="B82" s="6" t="s">
        <v>20</v>
      </c>
      <c r="C82" s="7">
        <v>45456</v>
      </c>
      <c r="D82" s="6" t="s">
        <v>15</v>
      </c>
      <c r="E82" s="6" t="s">
        <v>16</v>
      </c>
      <c r="F82" s="6" t="s">
        <v>17</v>
      </c>
      <c r="G82" s="6">
        <v>14173</v>
      </c>
      <c r="H82" s="6">
        <v>294</v>
      </c>
      <c r="I82" s="6">
        <v>257</v>
      </c>
      <c r="J82" s="6">
        <v>1288</v>
      </c>
      <c r="K82" s="6">
        <v>39466</v>
      </c>
      <c r="L82" s="6">
        <v>55563</v>
      </c>
      <c r="M82" s="6" t="s">
        <v>52</v>
      </c>
      <c r="N82" s="8">
        <f t="shared" si="2"/>
        <v>0.26499649047027696</v>
      </c>
    </row>
    <row r="83" spans="1:14" hidden="1" x14ac:dyDescent="0.25">
      <c r="A83" s="1" t="s">
        <v>125</v>
      </c>
      <c r="B83" s="4" t="s">
        <v>14</v>
      </c>
      <c r="C83" s="5">
        <v>45584</v>
      </c>
      <c r="D83" s="4" t="s">
        <v>39</v>
      </c>
      <c r="E83" s="4" t="s">
        <v>32</v>
      </c>
      <c r="F83" s="4" t="s">
        <v>33</v>
      </c>
      <c r="G83" s="4">
        <v>6673</v>
      </c>
      <c r="H83" s="4">
        <v>826</v>
      </c>
      <c r="I83" s="4">
        <v>321</v>
      </c>
      <c r="J83" s="4">
        <v>577</v>
      </c>
      <c r="K83" s="4">
        <v>19262</v>
      </c>
      <c r="L83" s="4">
        <v>132324</v>
      </c>
      <c r="M83" s="4" t="s">
        <v>52</v>
      </c>
      <c r="N83" s="9">
        <f t="shared" si="2"/>
        <v>5.9097367068710133E-2</v>
      </c>
    </row>
    <row r="84" spans="1:14" x14ac:dyDescent="0.25">
      <c r="A84" s="24" t="s">
        <v>245</v>
      </c>
      <c r="B84" s="24" t="s">
        <v>14</v>
      </c>
      <c r="C84" s="25">
        <v>45672</v>
      </c>
      <c r="D84" s="24" t="s">
        <v>26</v>
      </c>
      <c r="E84" s="24" t="s">
        <v>37</v>
      </c>
      <c r="F84" s="24"/>
      <c r="G84" s="24">
        <v>20360</v>
      </c>
      <c r="H84" s="24">
        <v>254</v>
      </c>
      <c r="I84" s="24">
        <v>726</v>
      </c>
      <c r="J84" s="24">
        <v>1995</v>
      </c>
      <c r="K84" s="24">
        <v>14280</v>
      </c>
      <c r="L84" s="24">
        <v>43726</v>
      </c>
      <c r="M84" s="24" t="s">
        <v>34</v>
      </c>
      <c r="N84" s="48">
        <f t="shared" si="2"/>
        <v>0.48803915290673738</v>
      </c>
    </row>
    <row r="85" spans="1:14" hidden="1" x14ac:dyDescent="0.25">
      <c r="A85" s="13" t="s">
        <v>127</v>
      </c>
      <c r="B85" s="14" t="s">
        <v>25</v>
      </c>
      <c r="C85" s="15">
        <v>45580</v>
      </c>
      <c r="D85" s="14" t="s">
        <v>39</v>
      </c>
      <c r="E85" s="14" t="s">
        <v>37</v>
      </c>
      <c r="F85" s="14"/>
      <c r="G85" s="14">
        <v>17781</v>
      </c>
      <c r="H85" s="14">
        <v>993</v>
      </c>
      <c r="I85" s="14">
        <v>627</v>
      </c>
      <c r="J85" s="14">
        <v>2187</v>
      </c>
      <c r="K85" s="14">
        <v>9609</v>
      </c>
      <c r="L85" s="14">
        <v>66155</v>
      </c>
      <c r="M85" s="14" t="s">
        <v>34</v>
      </c>
      <c r="N85" s="16">
        <f t="shared" si="2"/>
        <v>0.29326581513113142</v>
      </c>
    </row>
    <row r="86" spans="1:14" hidden="1" x14ac:dyDescent="0.25">
      <c r="A86" s="2" t="s">
        <v>128</v>
      </c>
      <c r="B86" s="6" t="s">
        <v>20</v>
      </c>
      <c r="C86" s="7">
        <v>45635</v>
      </c>
      <c r="D86" s="6" t="s">
        <v>15</v>
      </c>
      <c r="E86" s="6" t="s">
        <v>21</v>
      </c>
      <c r="F86" s="6" t="s">
        <v>22</v>
      </c>
      <c r="G86" s="6">
        <v>15051</v>
      </c>
      <c r="H86" s="6">
        <v>268</v>
      </c>
      <c r="I86" s="6">
        <v>251</v>
      </c>
      <c r="J86" s="6">
        <v>783</v>
      </c>
      <c r="K86" s="6">
        <v>34154</v>
      </c>
      <c r="L86" s="6">
        <v>119671</v>
      </c>
      <c r="M86" s="6" t="s">
        <v>34</v>
      </c>
      <c r="N86" s="8">
        <f t="shared" si="2"/>
        <v>0.13010670922779954</v>
      </c>
    </row>
    <row r="87" spans="1:14" hidden="1" x14ac:dyDescent="0.25">
      <c r="A87" s="1" t="s">
        <v>129</v>
      </c>
      <c r="B87" s="4" t="s">
        <v>14</v>
      </c>
      <c r="C87" s="5">
        <v>45766</v>
      </c>
      <c r="D87" s="4" t="s">
        <v>15</v>
      </c>
      <c r="E87" s="4" t="s">
        <v>40</v>
      </c>
      <c r="F87" s="4" t="s">
        <v>41</v>
      </c>
      <c r="G87" s="4">
        <v>8881</v>
      </c>
      <c r="H87" s="4">
        <v>210</v>
      </c>
      <c r="I87" s="4">
        <v>673</v>
      </c>
      <c r="J87" s="4">
        <v>1565</v>
      </c>
      <c r="K87" s="4">
        <v>24847</v>
      </c>
      <c r="L87" s="4">
        <v>156891</v>
      </c>
      <c r="M87" s="4" t="s">
        <v>29</v>
      </c>
      <c r="N87" s="9">
        <f t="shared" si="2"/>
        <v>6.223429004850501E-2</v>
      </c>
    </row>
    <row r="88" spans="1:14" hidden="1" x14ac:dyDescent="0.25">
      <c r="A88" s="2" t="s">
        <v>130</v>
      </c>
      <c r="B88" s="6" t="s">
        <v>14</v>
      </c>
      <c r="C88" s="7">
        <v>45684</v>
      </c>
      <c r="D88" s="6" t="s">
        <v>39</v>
      </c>
      <c r="E88" s="6" t="s">
        <v>48</v>
      </c>
      <c r="F88" s="6" t="s">
        <v>32</v>
      </c>
      <c r="G88" s="6">
        <v>8949</v>
      </c>
      <c r="H88" s="6">
        <v>1477</v>
      </c>
      <c r="I88" s="6">
        <v>424</v>
      </c>
      <c r="J88" s="6">
        <v>1030</v>
      </c>
      <c r="K88" s="6">
        <v>58052</v>
      </c>
      <c r="L88" s="6">
        <v>123310</v>
      </c>
      <c r="M88" s="6" t="s">
        <v>18</v>
      </c>
      <c r="N88" s="8">
        <f t="shared" si="2"/>
        <v>8.7989619657773091E-2</v>
      </c>
    </row>
    <row r="89" spans="1:14" hidden="1" x14ac:dyDescent="0.25">
      <c r="A89" s="1" t="s">
        <v>131</v>
      </c>
      <c r="B89" s="4" t="s">
        <v>47</v>
      </c>
      <c r="C89" s="5">
        <v>45449</v>
      </c>
      <c r="D89" s="4" t="s">
        <v>26</v>
      </c>
      <c r="E89" s="4" t="s">
        <v>48</v>
      </c>
      <c r="F89" s="4" t="s">
        <v>32</v>
      </c>
      <c r="G89" s="4">
        <v>11521</v>
      </c>
      <c r="H89" s="4">
        <v>1071</v>
      </c>
      <c r="I89" s="4">
        <v>762</v>
      </c>
      <c r="J89" s="4">
        <v>2539</v>
      </c>
      <c r="K89" s="4">
        <v>12701</v>
      </c>
      <c r="L89" s="4">
        <v>238350</v>
      </c>
      <c r="M89" s="4" t="s">
        <v>29</v>
      </c>
      <c r="N89" s="9">
        <f t="shared" si="2"/>
        <v>5.6026851269142017E-2</v>
      </c>
    </row>
    <row r="90" spans="1:14" hidden="1" x14ac:dyDescent="0.25">
      <c r="A90" s="2" t="s">
        <v>132</v>
      </c>
      <c r="B90" s="6" t="s">
        <v>25</v>
      </c>
      <c r="C90" s="7">
        <v>45480</v>
      </c>
      <c r="D90" s="6" t="s">
        <v>26</v>
      </c>
      <c r="E90" s="6" t="s">
        <v>21</v>
      </c>
      <c r="F90" s="6" t="s">
        <v>22</v>
      </c>
      <c r="G90" s="6">
        <v>24625</v>
      </c>
      <c r="H90" s="6">
        <v>749</v>
      </c>
      <c r="I90" s="6">
        <v>193</v>
      </c>
      <c r="J90" s="6">
        <v>1340</v>
      </c>
      <c r="K90" s="6">
        <v>4890</v>
      </c>
      <c r="L90" s="6">
        <v>189381</v>
      </c>
      <c r="M90" s="6" t="s">
        <v>18</v>
      </c>
      <c r="N90" s="8">
        <f t="shared" si="2"/>
        <v>0.13500298340382616</v>
      </c>
    </row>
    <row r="91" spans="1:14" hidden="1" x14ac:dyDescent="0.25">
      <c r="A91" s="1" t="s">
        <v>133</v>
      </c>
      <c r="B91" s="4" t="s">
        <v>20</v>
      </c>
      <c r="C91" s="5">
        <v>45923</v>
      </c>
      <c r="D91" s="4" t="s">
        <v>15</v>
      </c>
      <c r="E91" s="4" t="s">
        <v>122</v>
      </c>
      <c r="F91" s="4" t="s">
        <v>123</v>
      </c>
      <c r="G91" s="4">
        <v>10017</v>
      </c>
      <c r="H91" s="4">
        <v>1357</v>
      </c>
      <c r="I91" s="4">
        <v>966</v>
      </c>
      <c r="J91" s="4">
        <v>2871</v>
      </c>
      <c r="K91" s="4">
        <v>14800</v>
      </c>
      <c r="L91" s="4">
        <v>171691</v>
      </c>
      <c r="M91" s="4" t="s">
        <v>23</v>
      </c>
      <c r="N91" s="9">
        <f t="shared" si="2"/>
        <v>7.1873307278774071E-2</v>
      </c>
    </row>
    <row r="92" spans="1:14" hidden="1" x14ac:dyDescent="0.25">
      <c r="A92" s="2" t="s">
        <v>134</v>
      </c>
      <c r="B92" s="6" t="s">
        <v>47</v>
      </c>
      <c r="C92" s="7">
        <v>45446</v>
      </c>
      <c r="D92" s="6" t="s">
        <v>15</v>
      </c>
      <c r="E92" s="6" t="s">
        <v>32</v>
      </c>
      <c r="F92" s="6" t="s">
        <v>57</v>
      </c>
      <c r="G92" s="6">
        <v>8941</v>
      </c>
      <c r="H92" s="6">
        <v>911</v>
      </c>
      <c r="I92" s="6">
        <v>166</v>
      </c>
      <c r="J92" s="6">
        <v>1217</v>
      </c>
      <c r="K92" s="6">
        <v>68817</v>
      </c>
      <c r="L92" s="6">
        <v>221180</v>
      </c>
      <c r="M92" s="6" t="s">
        <v>52</v>
      </c>
      <c r="N92" s="8">
        <f t="shared" si="2"/>
        <v>4.5293426168731353E-2</v>
      </c>
    </row>
    <row r="93" spans="1:14" hidden="1" x14ac:dyDescent="0.25">
      <c r="A93" s="1" t="s">
        <v>135</v>
      </c>
      <c r="B93" s="4" t="s">
        <v>20</v>
      </c>
      <c r="C93" s="5">
        <v>45924</v>
      </c>
      <c r="D93" s="4" t="s">
        <v>26</v>
      </c>
      <c r="E93" s="4" t="s">
        <v>40</v>
      </c>
      <c r="F93" s="4" t="s">
        <v>41</v>
      </c>
      <c r="G93" s="4">
        <v>12209</v>
      </c>
      <c r="H93" s="4">
        <v>222</v>
      </c>
      <c r="I93" s="4">
        <v>479</v>
      </c>
      <c r="J93" s="4">
        <v>2748</v>
      </c>
      <c r="K93" s="4">
        <v>24615</v>
      </c>
      <c r="L93" s="4">
        <v>74707</v>
      </c>
      <c r="M93" s="4" t="s">
        <v>23</v>
      </c>
      <c r="N93" s="9">
        <f t="shared" si="2"/>
        <v>0.17280843829895459</v>
      </c>
    </row>
    <row r="94" spans="1:14" hidden="1" x14ac:dyDescent="0.25">
      <c r="A94" s="2" t="s">
        <v>136</v>
      </c>
      <c r="B94" s="6" t="s">
        <v>20</v>
      </c>
      <c r="C94" s="7">
        <v>45586</v>
      </c>
      <c r="D94" s="6" t="s">
        <v>26</v>
      </c>
      <c r="E94" s="6" t="s">
        <v>21</v>
      </c>
      <c r="F94" s="6" t="s">
        <v>22</v>
      </c>
      <c r="G94" s="6">
        <v>19715</v>
      </c>
      <c r="H94" s="6">
        <v>1014</v>
      </c>
      <c r="I94" s="6">
        <v>718</v>
      </c>
      <c r="J94" s="6">
        <v>1185</v>
      </c>
      <c r="K94" s="6">
        <v>37625</v>
      </c>
      <c r="L94" s="6">
        <v>191409</v>
      </c>
      <c r="M94" s="6" t="s">
        <v>18</v>
      </c>
      <c r="N94" s="8">
        <f t="shared" si="2"/>
        <v>0.11204802282024356</v>
      </c>
    </row>
    <row r="95" spans="1:14" hidden="1" x14ac:dyDescent="0.25">
      <c r="A95" s="1" t="s">
        <v>137</v>
      </c>
      <c r="B95" s="4" t="s">
        <v>47</v>
      </c>
      <c r="C95" s="5">
        <v>45637</v>
      </c>
      <c r="D95" s="4" t="s">
        <v>39</v>
      </c>
      <c r="E95" s="4" t="s">
        <v>48</v>
      </c>
      <c r="F95" s="4" t="s">
        <v>32</v>
      </c>
      <c r="G95" s="4">
        <v>22645</v>
      </c>
      <c r="H95" s="4">
        <v>545</v>
      </c>
      <c r="I95" s="4">
        <v>972</v>
      </c>
      <c r="J95" s="4">
        <v>321</v>
      </c>
      <c r="K95" s="4">
        <v>8396</v>
      </c>
      <c r="L95" s="4">
        <v>121537</v>
      </c>
      <c r="M95" s="4" t="s">
        <v>52</v>
      </c>
      <c r="N95" s="9">
        <f t="shared" si="2"/>
        <v>0.19880365649966678</v>
      </c>
    </row>
    <row r="96" spans="1:14" hidden="1" x14ac:dyDescent="0.25">
      <c r="A96" s="2" t="s">
        <v>138</v>
      </c>
      <c r="B96" s="6" t="s">
        <v>47</v>
      </c>
      <c r="C96" s="7">
        <v>45603</v>
      </c>
      <c r="D96" s="6" t="s">
        <v>39</v>
      </c>
      <c r="E96" s="6" t="s">
        <v>48</v>
      </c>
      <c r="F96" s="6" t="s">
        <v>32</v>
      </c>
      <c r="G96" s="6">
        <v>11550</v>
      </c>
      <c r="H96" s="6">
        <v>501</v>
      </c>
      <c r="I96" s="6">
        <v>646</v>
      </c>
      <c r="J96" s="6">
        <v>773</v>
      </c>
      <c r="K96" s="6">
        <v>17841</v>
      </c>
      <c r="L96" s="6">
        <v>237576</v>
      </c>
      <c r="M96" s="6" t="s">
        <v>34</v>
      </c>
      <c r="N96" s="8">
        <f t="shared" si="2"/>
        <v>5.3443950567397383E-2</v>
      </c>
    </row>
    <row r="97" spans="1:14" hidden="1" x14ac:dyDescent="0.25">
      <c r="A97" s="1" t="s">
        <v>139</v>
      </c>
      <c r="B97" s="4" t="s">
        <v>47</v>
      </c>
      <c r="C97" s="5">
        <v>45604</v>
      </c>
      <c r="D97" s="4" t="s">
        <v>26</v>
      </c>
      <c r="E97" s="4" t="s">
        <v>32</v>
      </c>
      <c r="F97" s="4" t="s">
        <v>33</v>
      </c>
      <c r="G97" s="4">
        <v>23499</v>
      </c>
      <c r="H97" s="4">
        <v>562</v>
      </c>
      <c r="I97" s="4">
        <v>964</v>
      </c>
      <c r="J97" s="4">
        <v>2557</v>
      </c>
      <c r="K97" s="4">
        <v>56890</v>
      </c>
      <c r="L97" s="4">
        <v>218686</v>
      </c>
      <c r="M97" s="4" t="s">
        <v>34</v>
      </c>
      <c r="N97" s="9">
        <f t="shared" si="2"/>
        <v>0.11443347996671026</v>
      </c>
    </row>
    <row r="98" spans="1:14" hidden="1" x14ac:dyDescent="0.25">
      <c r="A98" s="2" t="s">
        <v>140</v>
      </c>
      <c r="B98" s="6" t="s">
        <v>47</v>
      </c>
      <c r="C98" s="7">
        <v>45545</v>
      </c>
      <c r="D98" s="6" t="s">
        <v>39</v>
      </c>
      <c r="E98" s="6" t="s">
        <v>43</v>
      </c>
      <c r="F98" s="6" t="s">
        <v>44</v>
      </c>
      <c r="G98" s="6">
        <v>6637</v>
      </c>
      <c r="H98" s="6">
        <v>595</v>
      </c>
      <c r="I98" s="6">
        <v>161</v>
      </c>
      <c r="J98" s="6">
        <v>2653</v>
      </c>
      <c r="K98" s="6">
        <v>19334</v>
      </c>
      <c r="L98" s="6">
        <v>131155</v>
      </c>
      <c r="M98" s="6" t="s">
        <v>29</v>
      </c>
      <c r="N98" s="8">
        <f t="shared" si="2"/>
        <v>5.6368419046166747E-2</v>
      </c>
    </row>
    <row r="99" spans="1:14" hidden="1" x14ac:dyDescent="0.25">
      <c r="A99" s="1" t="s">
        <v>141</v>
      </c>
      <c r="B99" s="4" t="s">
        <v>47</v>
      </c>
      <c r="C99" s="5">
        <v>45517</v>
      </c>
      <c r="D99" s="4" t="s">
        <v>39</v>
      </c>
      <c r="E99" s="4" t="s">
        <v>122</v>
      </c>
      <c r="F99" s="4" t="s">
        <v>123</v>
      </c>
      <c r="G99" s="4">
        <v>6854</v>
      </c>
      <c r="H99" s="4">
        <v>417</v>
      </c>
      <c r="I99" s="4">
        <v>467</v>
      </c>
      <c r="J99" s="4">
        <v>1003</v>
      </c>
      <c r="K99" s="4">
        <v>61333</v>
      </c>
      <c r="L99" s="4">
        <v>40281</v>
      </c>
      <c r="M99" s="4" t="s">
        <v>18</v>
      </c>
      <c r="N99" s="9">
        <f t="shared" si="2"/>
        <v>0.19210049402944315</v>
      </c>
    </row>
    <row r="100" spans="1:14" hidden="1" x14ac:dyDescent="0.25">
      <c r="A100" s="2" t="s">
        <v>142</v>
      </c>
      <c r="B100" s="6" t="s">
        <v>20</v>
      </c>
      <c r="C100" s="7">
        <v>45453</v>
      </c>
      <c r="D100" s="6" t="s">
        <v>31</v>
      </c>
      <c r="E100" s="6" t="s">
        <v>40</v>
      </c>
      <c r="F100" s="6" t="s">
        <v>41</v>
      </c>
      <c r="G100" s="6">
        <v>21561</v>
      </c>
      <c r="H100" s="6">
        <v>340</v>
      </c>
      <c r="I100" s="6">
        <v>741</v>
      </c>
      <c r="J100" s="6">
        <v>986</v>
      </c>
      <c r="K100" s="6">
        <v>24826</v>
      </c>
      <c r="L100" s="6">
        <v>198492</v>
      </c>
      <c r="M100" s="6" t="s">
        <v>18</v>
      </c>
      <c r="N100" s="8">
        <f t="shared" si="2"/>
        <v>0.11407008846704149</v>
      </c>
    </row>
    <row r="101" spans="1:14" hidden="1" x14ac:dyDescent="0.25">
      <c r="A101" s="1" t="s">
        <v>143</v>
      </c>
      <c r="B101" s="4" t="s">
        <v>47</v>
      </c>
      <c r="C101" s="5">
        <v>45475</v>
      </c>
      <c r="D101" s="4" t="s">
        <v>39</v>
      </c>
      <c r="E101" s="4" t="s">
        <v>40</v>
      </c>
      <c r="F101" s="4" t="s">
        <v>41</v>
      </c>
      <c r="G101" s="4">
        <v>12320</v>
      </c>
      <c r="H101" s="4">
        <v>1157</v>
      </c>
      <c r="I101" s="4">
        <v>365</v>
      </c>
      <c r="J101" s="4">
        <v>584</v>
      </c>
      <c r="K101" s="4">
        <v>66634</v>
      </c>
      <c r="L101" s="4">
        <v>210102</v>
      </c>
      <c r="M101" s="4" t="s">
        <v>34</v>
      </c>
      <c r="N101" s="9">
        <f t="shared" si="2"/>
        <v>6.5882285746922925E-2</v>
      </c>
    </row>
    <row r="102" spans="1:14" hidden="1" x14ac:dyDescent="0.25">
      <c r="A102" s="2" t="s">
        <v>144</v>
      </c>
      <c r="B102" s="6" t="s">
        <v>25</v>
      </c>
      <c r="C102" s="7">
        <v>45925</v>
      </c>
      <c r="D102" s="6" t="s">
        <v>15</v>
      </c>
      <c r="E102" s="6" t="s">
        <v>37</v>
      </c>
      <c r="F102" s="6"/>
      <c r="G102" s="6">
        <v>20564</v>
      </c>
      <c r="H102" s="6">
        <v>1433</v>
      </c>
      <c r="I102" s="6">
        <v>488</v>
      </c>
      <c r="J102" s="6">
        <v>1015</v>
      </c>
      <c r="K102" s="6">
        <v>24333</v>
      </c>
      <c r="L102" s="6">
        <v>172130</v>
      </c>
      <c r="M102" s="6" t="s">
        <v>23</v>
      </c>
      <c r="N102" s="8">
        <f t="shared" si="2"/>
        <v>0.13062801371056759</v>
      </c>
    </row>
    <row r="103" spans="1:14" hidden="1" x14ac:dyDescent="0.25">
      <c r="A103" s="1" t="s">
        <v>145</v>
      </c>
      <c r="B103" s="4" t="s">
        <v>14</v>
      </c>
      <c r="C103" s="5">
        <v>45583</v>
      </c>
      <c r="D103" s="4" t="s">
        <v>39</v>
      </c>
      <c r="E103" s="4" t="s">
        <v>21</v>
      </c>
      <c r="F103" s="4" t="s">
        <v>22</v>
      </c>
      <c r="G103" s="4">
        <v>6892</v>
      </c>
      <c r="H103" s="4">
        <v>1184</v>
      </c>
      <c r="I103" s="4">
        <v>925</v>
      </c>
      <c r="J103" s="4">
        <v>1062</v>
      </c>
      <c r="K103" s="4">
        <v>75008</v>
      </c>
      <c r="L103" s="4">
        <v>116260</v>
      </c>
      <c r="M103" s="4" t="s">
        <v>52</v>
      </c>
      <c r="N103" s="9">
        <f t="shared" si="2"/>
        <v>7.7421297092723204E-2</v>
      </c>
    </row>
    <row r="104" spans="1:14" hidden="1" x14ac:dyDescent="0.25">
      <c r="A104" s="2" t="s">
        <v>146</v>
      </c>
      <c r="B104" s="6" t="s">
        <v>47</v>
      </c>
      <c r="C104" s="7">
        <v>45926</v>
      </c>
      <c r="D104" s="6" t="s">
        <v>39</v>
      </c>
      <c r="E104" s="6" t="s">
        <v>37</v>
      </c>
      <c r="F104" s="6"/>
      <c r="G104" s="6">
        <v>9043</v>
      </c>
      <c r="H104" s="6">
        <v>1192</v>
      </c>
      <c r="I104" s="6">
        <v>810</v>
      </c>
      <c r="J104" s="6">
        <v>1550</v>
      </c>
      <c r="K104" s="6">
        <v>5221</v>
      </c>
      <c r="L104" s="6">
        <v>199476</v>
      </c>
      <c r="M104" s="6" t="s">
        <v>23</v>
      </c>
      <c r="N104" s="8">
        <f t="shared" si="2"/>
        <v>5.5370069582305642E-2</v>
      </c>
    </row>
    <row r="105" spans="1:14" hidden="1" x14ac:dyDescent="0.25">
      <c r="A105" s="1" t="s">
        <v>147</v>
      </c>
      <c r="B105" s="4" t="s">
        <v>47</v>
      </c>
      <c r="C105" s="5">
        <v>45927</v>
      </c>
      <c r="D105" s="4" t="s">
        <v>26</v>
      </c>
      <c r="E105" s="4" t="s">
        <v>21</v>
      </c>
      <c r="F105" s="4" t="s">
        <v>22</v>
      </c>
      <c r="G105" s="4">
        <v>18521</v>
      </c>
      <c r="H105" s="4">
        <v>1027</v>
      </c>
      <c r="I105" s="4">
        <v>230</v>
      </c>
      <c r="J105" s="4">
        <v>1247</v>
      </c>
      <c r="K105" s="4">
        <v>39588</v>
      </c>
      <c r="L105" s="4">
        <v>200928</v>
      </c>
      <c r="M105" s="4" t="s">
        <v>23</v>
      </c>
      <c r="N105" s="9">
        <f t="shared" si="2"/>
        <v>9.8433269628921807E-2</v>
      </c>
    </row>
    <row r="106" spans="1:14" hidden="1" x14ac:dyDescent="0.25">
      <c r="A106" s="2" t="s">
        <v>148</v>
      </c>
      <c r="B106" s="6" t="s">
        <v>20</v>
      </c>
      <c r="C106" s="7">
        <v>45739</v>
      </c>
      <c r="D106" s="6" t="s">
        <v>15</v>
      </c>
      <c r="E106" s="6" t="s">
        <v>27</v>
      </c>
      <c r="F106" s="6" t="s">
        <v>28</v>
      </c>
      <c r="G106" s="6">
        <v>24711</v>
      </c>
      <c r="H106" s="6">
        <v>882</v>
      </c>
      <c r="I106" s="6">
        <v>876</v>
      </c>
      <c r="J106" s="6">
        <v>2728</v>
      </c>
      <c r="K106" s="6">
        <v>32015</v>
      </c>
      <c r="L106" s="6">
        <v>180272</v>
      </c>
      <c r="M106" s="6" t="s">
        <v>34</v>
      </c>
      <c r="N106" s="8">
        <f t="shared" si="2"/>
        <v>0.1468281263867933</v>
      </c>
    </row>
    <row r="107" spans="1:14" hidden="1" x14ac:dyDescent="0.25">
      <c r="A107" s="1" t="s">
        <v>149</v>
      </c>
      <c r="B107" s="4" t="s">
        <v>47</v>
      </c>
      <c r="C107" s="5">
        <v>45457</v>
      </c>
      <c r="D107" s="4" t="s">
        <v>39</v>
      </c>
      <c r="E107" s="4" t="s">
        <v>48</v>
      </c>
      <c r="F107" s="4" t="s">
        <v>32</v>
      </c>
      <c r="G107" s="4">
        <v>21856</v>
      </c>
      <c r="H107" s="4">
        <v>1203</v>
      </c>
      <c r="I107" s="4">
        <v>634</v>
      </c>
      <c r="J107" s="4">
        <v>2807</v>
      </c>
      <c r="K107" s="4">
        <v>3647</v>
      </c>
      <c r="L107" s="4">
        <v>104178</v>
      </c>
      <c r="M107" s="4" t="s">
        <v>34</v>
      </c>
      <c r="N107" s="9">
        <f t="shared" si="2"/>
        <v>0.22742805582752595</v>
      </c>
    </row>
    <row r="108" spans="1:14" hidden="1" x14ac:dyDescent="0.25">
      <c r="A108" s="2" t="s">
        <v>150</v>
      </c>
      <c r="B108" s="6" t="s">
        <v>47</v>
      </c>
      <c r="C108" s="7">
        <v>45692</v>
      </c>
      <c r="D108" s="6" t="s">
        <v>39</v>
      </c>
      <c r="E108" s="6" t="s">
        <v>43</v>
      </c>
      <c r="F108" s="6" t="s">
        <v>44</v>
      </c>
      <c r="G108" s="6">
        <v>23833</v>
      </c>
      <c r="H108" s="6">
        <v>555</v>
      </c>
      <c r="I108" s="6">
        <v>523</v>
      </c>
      <c r="J108" s="6">
        <v>1330</v>
      </c>
      <c r="K108" s="6">
        <v>69141</v>
      </c>
      <c r="L108" s="6">
        <v>73997</v>
      </c>
      <c r="M108" s="6" t="s">
        <v>34</v>
      </c>
      <c r="N108" s="8">
        <f t="shared" si="2"/>
        <v>0.33664878305877266</v>
      </c>
    </row>
    <row r="109" spans="1:14" hidden="1" x14ac:dyDescent="0.25">
      <c r="A109" s="1" t="s">
        <v>151</v>
      </c>
      <c r="B109" s="4" t="s">
        <v>47</v>
      </c>
      <c r="C109" s="5">
        <v>45464</v>
      </c>
      <c r="D109" s="4" t="s">
        <v>31</v>
      </c>
      <c r="E109" s="4" t="s">
        <v>32</v>
      </c>
      <c r="F109" s="4" t="s">
        <v>33</v>
      </c>
      <c r="G109" s="4">
        <v>21216</v>
      </c>
      <c r="H109" s="4">
        <v>1207</v>
      </c>
      <c r="I109" s="4">
        <v>859</v>
      </c>
      <c r="J109" s="4">
        <v>328</v>
      </c>
      <c r="K109" s="4">
        <v>91296</v>
      </c>
      <c r="L109" s="4">
        <v>196683</v>
      </c>
      <c r="M109" s="4" t="s">
        <v>29</v>
      </c>
      <c r="N109" s="9">
        <f t="shared" si="2"/>
        <v>0.1183732198512327</v>
      </c>
    </row>
    <row r="110" spans="1:14" hidden="1" x14ac:dyDescent="0.25">
      <c r="A110" s="2" t="s">
        <v>152</v>
      </c>
      <c r="B110" s="6" t="s">
        <v>20</v>
      </c>
      <c r="C110" s="7">
        <v>45928</v>
      </c>
      <c r="D110" s="6" t="s">
        <v>39</v>
      </c>
      <c r="E110" s="6" t="s">
        <v>43</v>
      </c>
      <c r="F110" s="6" t="s">
        <v>44</v>
      </c>
      <c r="G110" s="6">
        <v>21963</v>
      </c>
      <c r="H110" s="6">
        <v>1356</v>
      </c>
      <c r="I110" s="6">
        <v>349</v>
      </c>
      <c r="J110" s="6">
        <v>1206</v>
      </c>
      <c r="K110" s="6">
        <v>51755</v>
      </c>
      <c r="L110" s="6">
        <v>159273</v>
      </c>
      <c r="M110" s="6" t="s">
        <v>23</v>
      </c>
      <c r="N110" s="8">
        <f t="shared" si="2"/>
        <v>0.14860020216860359</v>
      </c>
    </row>
    <row r="111" spans="1:14" hidden="1" x14ac:dyDescent="0.25">
      <c r="A111" s="1" t="s">
        <v>153</v>
      </c>
      <c r="B111" s="4" t="s">
        <v>47</v>
      </c>
      <c r="C111" s="5">
        <v>45512</v>
      </c>
      <c r="D111" s="4" t="s">
        <v>39</v>
      </c>
      <c r="E111" s="4" t="s">
        <v>43</v>
      </c>
      <c r="F111" s="4" t="s">
        <v>44</v>
      </c>
      <c r="G111" s="4">
        <v>24355</v>
      </c>
      <c r="H111" s="4">
        <v>1087</v>
      </c>
      <c r="I111" s="4">
        <v>686</v>
      </c>
      <c r="J111" s="4">
        <v>2426</v>
      </c>
      <c r="K111" s="4">
        <v>24963</v>
      </c>
      <c r="L111" s="4">
        <v>212307</v>
      </c>
      <c r="M111" s="4" t="s">
        <v>18</v>
      </c>
      <c r="N111" s="9">
        <f t="shared" si="2"/>
        <v>0.1230670679723231</v>
      </c>
    </row>
    <row r="112" spans="1:14" hidden="1" x14ac:dyDescent="0.25">
      <c r="A112" s="2" t="s">
        <v>154</v>
      </c>
      <c r="B112" s="6" t="s">
        <v>14</v>
      </c>
      <c r="C112" s="7">
        <v>45502</v>
      </c>
      <c r="D112" s="6" t="s">
        <v>31</v>
      </c>
      <c r="E112" s="6" t="s">
        <v>43</v>
      </c>
      <c r="F112" s="6" t="s">
        <v>44</v>
      </c>
      <c r="G112" s="6">
        <v>6164</v>
      </c>
      <c r="H112" s="6">
        <v>326</v>
      </c>
      <c r="I112" s="6">
        <v>615</v>
      </c>
      <c r="J112" s="6">
        <v>2806</v>
      </c>
      <c r="K112" s="6">
        <v>38579</v>
      </c>
      <c r="L112" s="6">
        <v>206129</v>
      </c>
      <c r="M112" s="6" t="s">
        <v>52</v>
      </c>
      <c r="N112" s="8">
        <f t="shared" si="2"/>
        <v>3.4468706489625425E-2</v>
      </c>
    </row>
    <row r="113" spans="1:14" hidden="1" x14ac:dyDescent="0.25">
      <c r="A113" s="1" t="s">
        <v>155</v>
      </c>
      <c r="B113" s="4" t="s">
        <v>20</v>
      </c>
      <c r="C113" s="5">
        <v>45619</v>
      </c>
      <c r="D113" s="4" t="s">
        <v>26</v>
      </c>
      <c r="E113" s="4" t="s">
        <v>37</v>
      </c>
      <c r="F113" s="4"/>
      <c r="G113" s="4">
        <v>9941</v>
      </c>
      <c r="H113" s="4">
        <v>1329</v>
      </c>
      <c r="I113" s="4">
        <v>238</v>
      </c>
      <c r="J113" s="4">
        <v>869</v>
      </c>
      <c r="K113" s="4">
        <v>40281</v>
      </c>
      <c r="L113" s="4">
        <v>172311</v>
      </c>
      <c r="M113" s="4" t="s">
        <v>29</v>
      </c>
      <c r="N113" s="9">
        <f t="shared" si="2"/>
        <v>6.6786217943137702E-2</v>
      </c>
    </row>
    <row r="114" spans="1:14" hidden="1" x14ac:dyDescent="0.25">
      <c r="A114" s="2" t="s">
        <v>156</v>
      </c>
      <c r="B114" s="6" t="s">
        <v>14</v>
      </c>
      <c r="C114" s="7">
        <v>45570</v>
      </c>
      <c r="D114" s="6" t="s">
        <v>39</v>
      </c>
      <c r="E114" s="6" t="s">
        <v>21</v>
      </c>
      <c r="F114" s="6" t="s">
        <v>22</v>
      </c>
      <c r="G114" s="6">
        <v>16388</v>
      </c>
      <c r="H114" s="6">
        <v>1208</v>
      </c>
      <c r="I114" s="6">
        <v>417</v>
      </c>
      <c r="J114" s="6">
        <v>2306</v>
      </c>
      <c r="K114" s="6">
        <v>16865</v>
      </c>
      <c r="L114" s="6">
        <v>236733</v>
      </c>
      <c r="M114" s="6" t="s">
        <v>18</v>
      </c>
      <c r="N114" s="8">
        <f t="shared" si="2"/>
        <v>7.6089940988370866E-2</v>
      </c>
    </row>
    <row r="115" spans="1:14" hidden="1" x14ac:dyDescent="0.25">
      <c r="A115" s="1" t="s">
        <v>157</v>
      </c>
      <c r="B115" s="4" t="s">
        <v>20</v>
      </c>
      <c r="C115" s="5">
        <v>45929</v>
      </c>
      <c r="D115" s="4" t="s">
        <v>31</v>
      </c>
      <c r="E115" s="4" t="s">
        <v>62</v>
      </c>
      <c r="F115" s="4" t="s">
        <v>37</v>
      </c>
      <c r="G115" s="4">
        <v>7569</v>
      </c>
      <c r="H115" s="4">
        <v>803</v>
      </c>
      <c r="I115" s="4">
        <v>804</v>
      </c>
      <c r="J115" s="4">
        <v>1753</v>
      </c>
      <c r="K115" s="4">
        <v>43582</v>
      </c>
      <c r="L115" s="4">
        <v>166945</v>
      </c>
      <c r="M115" s="4" t="s">
        <v>23</v>
      </c>
      <c r="N115" s="9">
        <f t="shared" si="2"/>
        <v>5.4964209769684629E-2</v>
      </c>
    </row>
    <row r="116" spans="1:14" hidden="1" x14ac:dyDescent="0.25">
      <c r="A116" s="2" t="s">
        <v>158</v>
      </c>
      <c r="B116" s="6" t="s">
        <v>47</v>
      </c>
      <c r="C116" s="7">
        <v>45610</v>
      </c>
      <c r="D116" s="6" t="s">
        <v>15</v>
      </c>
      <c r="E116" s="6" t="s">
        <v>27</v>
      </c>
      <c r="F116" s="6" t="s">
        <v>28</v>
      </c>
      <c r="G116" s="6">
        <v>6300</v>
      </c>
      <c r="H116" s="6">
        <v>1213</v>
      </c>
      <c r="I116" s="6">
        <v>720</v>
      </c>
      <c r="J116" s="6">
        <v>1037</v>
      </c>
      <c r="K116" s="6">
        <v>39569</v>
      </c>
      <c r="L116" s="6">
        <v>85272</v>
      </c>
      <c r="M116" s="6" t="s">
        <v>34</v>
      </c>
      <c r="N116" s="8">
        <f t="shared" si="2"/>
        <v>9.6549863964724647E-2</v>
      </c>
    </row>
    <row r="117" spans="1:14" hidden="1" x14ac:dyDescent="0.25">
      <c r="A117" s="1" t="s">
        <v>159</v>
      </c>
      <c r="B117" s="4" t="s">
        <v>14</v>
      </c>
      <c r="C117" s="5">
        <v>45930</v>
      </c>
      <c r="D117" s="4" t="s">
        <v>26</v>
      </c>
      <c r="E117" s="4" t="s">
        <v>16</v>
      </c>
      <c r="F117" s="4" t="s">
        <v>17</v>
      </c>
      <c r="G117" s="4">
        <v>8269</v>
      </c>
      <c r="H117" s="4">
        <v>250</v>
      </c>
      <c r="I117" s="4">
        <v>638</v>
      </c>
      <c r="J117" s="4">
        <v>815</v>
      </c>
      <c r="K117" s="4">
        <v>41991</v>
      </c>
      <c r="L117" s="4">
        <v>129393</v>
      </c>
      <c r="M117" s="4" t="s">
        <v>23</v>
      </c>
      <c r="N117" s="9">
        <f t="shared" si="2"/>
        <v>7.0768897853825175E-2</v>
      </c>
    </row>
    <row r="118" spans="1:14" hidden="1" x14ac:dyDescent="0.25">
      <c r="A118" s="2" t="s">
        <v>160</v>
      </c>
      <c r="B118" s="6" t="s">
        <v>20</v>
      </c>
      <c r="C118" s="7">
        <v>45734</v>
      </c>
      <c r="D118" s="6" t="s">
        <v>15</v>
      </c>
      <c r="E118" s="6" t="s">
        <v>43</v>
      </c>
      <c r="F118" s="6" t="s">
        <v>44</v>
      </c>
      <c r="G118" s="6">
        <v>5818</v>
      </c>
      <c r="H118" s="6">
        <v>1252</v>
      </c>
      <c r="I118" s="6">
        <v>687</v>
      </c>
      <c r="J118" s="6">
        <v>2300</v>
      </c>
      <c r="K118" s="6">
        <v>25081</v>
      </c>
      <c r="L118" s="6">
        <v>101212</v>
      </c>
      <c r="M118" s="6" t="s">
        <v>52</v>
      </c>
      <c r="N118" s="8">
        <f t="shared" si="2"/>
        <v>7.6641109749832043E-2</v>
      </c>
    </row>
    <row r="119" spans="1:14" hidden="1" x14ac:dyDescent="0.25">
      <c r="A119" s="1" t="s">
        <v>161</v>
      </c>
      <c r="B119" s="4" t="s">
        <v>25</v>
      </c>
      <c r="C119" s="5">
        <v>45600</v>
      </c>
      <c r="D119" s="4" t="s">
        <v>15</v>
      </c>
      <c r="E119" s="4" t="s">
        <v>32</v>
      </c>
      <c r="F119" s="4" t="s">
        <v>57</v>
      </c>
      <c r="G119" s="4">
        <v>14015</v>
      </c>
      <c r="H119" s="4">
        <v>978</v>
      </c>
      <c r="I119" s="4">
        <v>196</v>
      </c>
      <c r="J119" s="4">
        <v>2744</v>
      </c>
      <c r="K119" s="4">
        <v>20190</v>
      </c>
      <c r="L119" s="4">
        <v>186470</v>
      </c>
      <c r="M119" s="4" t="s">
        <v>29</v>
      </c>
      <c r="N119" s="9">
        <f t="shared" si="2"/>
        <v>8.1455462004611998E-2</v>
      </c>
    </row>
    <row r="120" spans="1:14" hidden="1" x14ac:dyDescent="0.25">
      <c r="A120" s="2" t="s">
        <v>162</v>
      </c>
      <c r="B120" s="6" t="s">
        <v>47</v>
      </c>
      <c r="C120" s="7">
        <v>45600</v>
      </c>
      <c r="D120" s="6" t="s">
        <v>31</v>
      </c>
      <c r="E120" s="6" t="s">
        <v>37</v>
      </c>
      <c r="F120" s="6"/>
      <c r="G120" s="6">
        <v>14234</v>
      </c>
      <c r="H120" s="6">
        <v>1013</v>
      </c>
      <c r="I120" s="6">
        <v>437</v>
      </c>
      <c r="J120" s="6">
        <v>338</v>
      </c>
      <c r="K120" s="6">
        <v>67754</v>
      </c>
      <c r="L120" s="6">
        <v>160030</v>
      </c>
      <c r="M120" s="6" t="s">
        <v>29</v>
      </c>
      <c r="N120" s="8">
        <f t="shared" si="2"/>
        <v>9.8006623758045364E-2</v>
      </c>
    </row>
    <row r="121" spans="1:14" hidden="1" x14ac:dyDescent="0.25">
      <c r="A121" s="1" t="s">
        <v>163</v>
      </c>
      <c r="B121" s="4" t="s">
        <v>20</v>
      </c>
      <c r="C121" s="5">
        <v>45695</v>
      </c>
      <c r="D121" s="4" t="s">
        <v>39</v>
      </c>
      <c r="E121" s="4" t="s">
        <v>122</v>
      </c>
      <c r="F121" s="4" t="s">
        <v>123</v>
      </c>
      <c r="G121" s="4">
        <v>20290</v>
      </c>
      <c r="H121" s="4">
        <v>619</v>
      </c>
      <c r="I121" s="4">
        <v>927</v>
      </c>
      <c r="J121" s="4">
        <v>1186</v>
      </c>
      <c r="K121" s="4">
        <v>8924</v>
      </c>
      <c r="L121" s="4">
        <v>96503</v>
      </c>
      <c r="M121" s="4" t="s">
        <v>52</v>
      </c>
      <c r="N121" s="9">
        <f t="shared" si="2"/>
        <v>0.22627275835984373</v>
      </c>
    </row>
    <row r="122" spans="1:14" hidden="1" x14ac:dyDescent="0.25">
      <c r="A122" s="2" t="s">
        <v>164</v>
      </c>
      <c r="B122" s="6" t="s">
        <v>25</v>
      </c>
      <c r="C122" s="7">
        <v>45586</v>
      </c>
      <c r="D122" s="6" t="s">
        <v>31</v>
      </c>
      <c r="E122" s="6" t="s">
        <v>32</v>
      </c>
      <c r="F122" s="6" t="s">
        <v>33</v>
      </c>
      <c r="G122" s="6">
        <v>8254</v>
      </c>
      <c r="H122" s="6">
        <v>1405</v>
      </c>
      <c r="I122" s="6">
        <v>165</v>
      </c>
      <c r="J122" s="6">
        <v>2504</v>
      </c>
      <c r="K122" s="6">
        <v>8081</v>
      </c>
      <c r="L122" s="6">
        <v>177710</v>
      </c>
      <c r="M122" s="6" t="s">
        <v>18</v>
      </c>
      <c r="N122" s="8">
        <f t="shared" si="2"/>
        <v>5.5281075910190762E-2</v>
      </c>
    </row>
    <row r="123" spans="1:14" x14ac:dyDescent="0.25">
      <c r="A123" s="24" t="s">
        <v>165</v>
      </c>
      <c r="B123" s="24" t="s">
        <v>20</v>
      </c>
      <c r="C123" s="25">
        <v>45502</v>
      </c>
      <c r="D123" s="24" t="s">
        <v>31</v>
      </c>
      <c r="E123" s="24" t="s">
        <v>16</v>
      </c>
      <c r="F123" s="24" t="s">
        <v>17</v>
      </c>
      <c r="G123" s="24">
        <v>19144</v>
      </c>
      <c r="H123" s="24">
        <v>1182</v>
      </c>
      <c r="I123" s="24">
        <v>860</v>
      </c>
      <c r="J123" s="24">
        <v>1398</v>
      </c>
      <c r="K123" s="24">
        <v>4185</v>
      </c>
      <c r="L123" s="24">
        <v>46570</v>
      </c>
      <c r="M123" s="24" t="s">
        <v>18</v>
      </c>
      <c r="N123" s="48">
        <f t="shared" si="2"/>
        <v>0.454928065278076</v>
      </c>
    </row>
    <row r="124" spans="1:14" hidden="1" x14ac:dyDescent="0.25">
      <c r="A124" s="17" t="s">
        <v>166</v>
      </c>
      <c r="B124" s="18" t="s">
        <v>25</v>
      </c>
      <c r="C124" s="19">
        <v>45567</v>
      </c>
      <c r="D124" s="18" t="s">
        <v>31</v>
      </c>
      <c r="E124" s="18" t="s">
        <v>62</v>
      </c>
      <c r="F124" s="18" t="s">
        <v>37</v>
      </c>
      <c r="G124" s="18">
        <v>9350</v>
      </c>
      <c r="H124" s="18">
        <v>1024</v>
      </c>
      <c r="I124" s="18">
        <v>550</v>
      </c>
      <c r="J124" s="18">
        <v>2123</v>
      </c>
      <c r="K124" s="18">
        <v>53916</v>
      </c>
      <c r="L124" s="18">
        <v>108785</v>
      </c>
      <c r="M124" s="18" t="s">
        <v>29</v>
      </c>
      <c r="N124" s="20">
        <f t="shared" si="2"/>
        <v>0.10041825619340902</v>
      </c>
    </row>
    <row r="125" spans="1:14" x14ac:dyDescent="0.25">
      <c r="A125" s="24" t="s">
        <v>171</v>
      </c>
      <c r="B125" s="24" t="s">
        <v>47</v>
      </c>
      <c r="C125" s="25">
        <v>45684</v>
      </c>
      <c r="D125" s="24" t="s">
        <v>15</v>
      </c>
      <c r="E125" s="24" t="s">
        <v>32</v>
      </c>
      <c r="F125" s="24" t="s">
        <v>57</v>
      </c>
      <c r="G125" s="24">
        <v>24415</v>
      </c>
      <c r="H125" s="24">
        <v>860</v>
      </c>
      <c r="I125" s="24">
        <v>931</v>
      </c>
      <c r="J125" s="24">
        <v>320</v>
      </c>
      <c r="K125" s="24">
        <v>65049</v>
      </c>
      <c r="L125" s="24">
        <v>62911</v>
      </c>
      <c r="M125" s="24" t="s">
        <v>18</v>
      </c>
      <c r="N125" s="48">
        <f t="shared" si="2"/>
        <v>0.41655672298962027</v>
      </c>
    </row>
    <row r="126" spans="1:14" hidden="1" x14ac:dyDescent="0.25">
      <c r="A126" s="17" t="s">
        <v>168</v>
      </c>
      <c r="B126" s="18" t="s">
        <v>14</v>
      </c>
      <c r="C126" s="19">
        <v>45753</v>
      </c>
      <c r="D126" s="18" t="s">
        <v>26</v>
      </c>
      <c r="E126" s="18" t="s">
        <v>62</v>
      </c>
      <c r="F126" s="18" t="s">
        <v>37</v>
      </c>
      <c r="G126" s="18">
        <v>8238</v>
      </c>
      <c r="H126" s="18">
        <v>766</v>
      </c>
      <c r="I126" s="18">
        <v>235</v>
      </c>
      <c r="J126" s="18">
        <v>1273</v>
      </c>
      <c r="K126" s="18">
        <v>4706</v>
      </c>
      <c r="L126" s="18">
        <v>119141</v>
      </c>
      <c r="M126" s="18" t="s">
        <v>34</v>
      </c>
      <c r="N126" s="20">
        <f t="shared" si="2"/>
        <v>7.7546772311798629E-2</v>
      </c>
    </row>
    <row r="127" spans="1:14" hidden="1" x14ac:dyDescent="0.25">
      <c r="A127" s="1" t="s">
        <v>169</v>
      </c>
      <c r="B127" s="4" t="s">
        <v>25</v>
      </c>
      <c r="C127" s="5">
        <v>45543</v>
      </c>
      <c r="D127" s="4" t="s">
        <v>39</v>
      </c>
      <c r="E127" s="4" t="s">
        <v>16</v>
      </c>
      <c r="F127" s="4" t="s">
        <v>17</v>
      </c>
      <c r="G127" s="4">
        <v>8090</v>
      </c>
      <c r="H127" s="4">
        <v>570</v>
      </c>
      <c r="I127" s="4">
        <v>399</v>
      </c>
      <c r="J127" s="4">
        <v>1862</v>
      </c>
      <c r="K127" s="4">
        <v>34088</v>
      </c>
      <c r="L127" s="4">
        <v>52115</v>
      </c>
      <c r="M127" s="4" t="s">
        <v>18</v>
      </c>
      <c r="N127" s="9">
        <f t="shared" si="2"/>
        <v>0.17382711311522595</v>
      </c>
    </row>
    <row r="128" spans="1:14" hidden="1" x14ac:dyDescent="0.25">
      <c r="A128" s="2" t="s">
        <v>170</v>
      </c>
      <c r="B128" s="6" t="s">
        <v>20</v>
      </c>
      <c r="C128" s="7">
        <v>45744</v>
      </c>
      <c r="D128" s="6" t="s">
        <v>15</v>
      </c>
      <c r="E128" s="6" t="s">
        <v>43</v>
      </c>
      <c r="F128" s="6" t="s">
        <v>44</v>
      </c>
      <c r="G128" s="6">
        <v>13637</v>
      </c>
      <c r="H128" s="6">
        <v>1135</v>
      </c>
      <c r="I128" s="6">
        <v>540</v>
      </c>
      <c r="J128" s="6">
        <v>1288</v>
      </c>
      <c r="K128" s="6">
        <v>45183</v>
      </c>
      <c r="L128" s="6">
        <v>79062</v>
      </c>
      <c r="M128" s="6" t="s">
        <v>52</v>
      </c>
      <c r="N128" s="8">
        <f t="shared" si="2"/>
        <v>0.19367079001290127</v>
      </c>
    </row>
    <row r="129" spans="1:14" x14ac:dyDescent="0.25">
      <c r="A129" s="24" t="s">
        <v>51</v>
      </c>
      <c r="B129" s="24" t="s">
        <v>14</v>
      </c>
      <c r="C129" s="25">
        <v>45614</v>
      </c>
      <c r="D129" s="24" t="s">
        <v>39</v>
      </c>
      <c r="E129" s="24" t="s">
        <v>40</v>
      </c>
      <c r="F129" s="24" t="s">
        <v>41</v>
      </c>
      <c r="G129" s="24">
        <v>21255</v>
      </c>
      <c r="H129" s="24">
        <v>1452</v>
      </c>
      <c r="I129" s="24">
        <v>625</v>
      </c>
      <c r="J129" s="24">
        <v>1624</v>
      </c>
      <c r="K129" s="24">
        <v>21282</v>
      </c>
      <c r="L129" s="24">
        <v>57778</v>
      </c>
      <c r="M129" s="24" t="s">
        <v>52</v>
      </c>
      <c r="N129" s="48">
        <f t="shared" si="2"/>
        <v>0.40382152376337016</v>
      </c>
    </row>
    <row r="130" spans="1:14" hidden="1" x14ac:dyDescent="0.25">
      <c r="A130" s="17" t="s">
        <v>172</v>
      </c>
      <c r="B130" s="18" t="s">
        <v>25</v>
      </c>
      <c r="C130" s="19">
        <v>45667</v>
      </c>
      <c r="D130" s="18" t="s">
        <v>39</v>
      </c>
      <c r="E130" s="18" t="s">
        <v>62</v>
      </c>
      <c r="F130" s="18" t="s">
        <v>37</v>
      </c>
      <c r="G130" s="18">
        <v>14647</v>
      </c>
      <c r="H130" s="18">
        <v>1168</v>
      </c>
      <c r="I130" s="18">
        <v>484</v>
      </c>
      <c r="J130" s="18">
        <v>2650</v>
      </c>
      <c r="K130" s="18">
        <v>27217</v>
      </c>
      <c r="L130" s="18">
        <v>144061</v>
      </c>
      <c r="M130" s="18" t="s">
        <v>34</v>
      </c>
      <c r="N130" s="20">
        <f t="shared" si="2"/>
        <v>0.11313957281984714</v>
      </c>
    </row>
    <row r="131" spans="1:14" hidden="1" x14ac:dyDescent="0.25">
      <c r="A131" s="1" t="s">
        <v>173</v>
      </c>
      <c r="B131" s="4" t="s">
        <v>20</v>
      </c>
      <c r="C131" s="5">
        <v>45494</v>
      </c>
      <c r="D131" s="4" t="s">
        <v>15</v>
      </c>
      <c r="E131" s="4" t="s">
        <v>32</v>
      </c>
      <c r="F131" s="4" t="s">
        <v>33</v>
      </c>
      <c r="G131" s="4">
        <v>11911</v>
      </c>
      <c r="H131" s="4">
        <v>1360</v>
      </c>
      <c r="I131" s="4">
        <v>778</v>
      </c>
      <c r="J131" s="4">
        <v>1168</v>
      </c>
      <c r="K131" s="4">
        <v>16483</v>
      </c>
      <c r="L131" s="4">
        <v>72556</v>
      </c>
      <c r="M131" s="4" t="s">
        <v>29</v>
      </c>
      <c r="N131" s="9">
        <f t="shared" si="2"/>
        <v>0.19362974805667346</v>
      </c>
    </row>
    <row r="132" spans="1:14" hidden="1" x14ac:dyDescent="0.25">
      <c r="A132" s="2" t="s">
        <v>174</v>
      </c>
      <c r="B132" s="6" t="s">
        <v>20</v>
      </c>
      <c r="C132" s="7">
        <v>45564</v>
      </c>
      <c r="D132" s="6" t="s">
        <v>39</v>
      </c>
      <c r="E132" s="6" t="s">
        <v>21</v>
      </c>
      <c r="F132" s="6" t="s">
        <v>22</v>
      </c>
      <c r="G132" s="6">
        <v>10472</v>
      </c>
      <c r="H132" s="6">
        <v>401</v>
      </c>
      <c r="I132" s="6">
        <v>668</v>
      </c>
      <c r="J132" s="6">
        <v>383</v>
      </c>
      <c r="K132" s="6">
        <v>37571</v>
      </c>
      <c r="L132" s="6">
        <v>249203</v>
      </c>
      <c r="M132" s="6" t="s">
        <v>29</v>
      </c>
      <c r="N132" s="8">
        <f t="shared" si="2"/>
        <v>4.6311641513143903E-2</v>
      </c>
    </row>
    <row r="133" spans="1:14" hidden="1" x14ac:dyDescent="0.25">
      <c r="A133" s="1" t="s">
        <v>175</v>
      </c>
      <c r="B133" s="4" t="s">
        <v>20</v>
      </c>
      <c r="C133" s="5">
        <v>45586</v>
      </c>
      <c r="D133" s="4" t="s">
        <v>15</v>
      </c>
      <c r="E133" s="4" t="s">
        <v>48</v>
      </c>
      <c r="F133" s="4" t="s">
        <v>32</v>
      </c>
      <c r="G133" s="4">
        <v>20271</v>
      </c>
      <c r="H133" s="4">
        <v>512</v>
      </c>
      <c r="I133" s="4">
        <v>286</v>
      </c>
      <c r="J133" s="4">
        <v>1982</v>
      </c>
      <c r="K133" s="4">
        <v>43225</v>
      </c>
      <c r="L133" s="4">
        <v>168335</v>
      </c>
      <c r="M133" s="4" t="s">
        <v>34</v>
      </c>
      <c r="N133" s="9">
        <f t="shared" si="2"/>
        <v>0.12516113701844536</v>
      </c>
    </row>
    <row r="134" spans="1:14" hidden="1" x14ac:dyDescent="0.25">
      <c r="A134" s="2" t="s">
        <v>176</v>
      </c>
      <c r="B134" s="6" t="s">
        <v>25</v>
      </c>
      <c r="C134" s="7">
        <v>45720</v>
      </c>
      <c r="D134" s="6" t="s">
        <v>31</v>
      </c>
      <c r="E134" s="6" t="s">
        <v>21</v>
      </c>
      <c r="F134" s="6" t="s">
        <v>22</v>
      </c>
      <c r="G134" s="6">
        <v>5266</v>
      </c>
      <c r="H134" s="6">
        <v>316</v>
      </c>
      <c r="I134" s="6">
        <v>837</v>
      </c>
      <c r="J134" s="6">
        <v>2276</v>
      </c>
      <c r="K134" s="6">
        <v>20967</v>
      </c>
      <c r="L134" s="6">
        <v>41969</v>
      </c>
      <c r="M134" s="6" t="s">
        <v>52</v>
      </c>
      <c r="N134" s="8">
        <f t="shared" si="2"/>
        <v>0.1529462222116324</v>
      </c>
    </row>
    <row r="135" spans="1:14" hidden="1" x14ac:dyDescent="0.25">
      <c r="A135" s="1" t="s">
        <v>177</v>
      </c>
      <c r="B135" s="4" t="s">
        <v>25</v>
      </c>
      <c r="C135" s="5">
        <v>45694</v>
      </c>
      <c r="D135" s="4" t="s">
        <v>15</v>
      </c>
      <c r="E135" s="4" t="s">
        <v>16</v>
      </c>
      <c r="F135" s="4" t="s">
        <v>17</v>
      </c>
      <c r="G135" s="4">
        <v>2666</v>
      </c>
      <c r="H135" s="4">
        <v>1136</v>
      </c>
      <c r="I135" s="4">
        <v>989</v>
      </c>
      <c r="J135" s="4">
        <v>1710</v>
      </c>
      <c r="K135" s="4">
        <v>36467</v>
      </c>
      <c r="L135" s="4">
        <v>83753</v>
      </c>
      <c r="M135" s="4" t="s">
        <v>29</v>
      </c>
      <c r="N135" s="9">
        <f t="shared" si="2"/>
        <v>5.7203921053574198E-2</v>
      </c>
    </row>
    <row r="136" spans="1:14" hidden="1" x14ac:dyDescent="0.25">
      <c r="A136" s="2" t="s">
        <v>178</v>
      </c>
      <c r="B136" s="6" t="s">
        <v>25</v>
      </c>
      <c r="C136" s="7">
        <v>45931</v>
      </c>
      <c r="D136" s="6" t="s">
        <v>39</v>
      </c>
      <c r="E136" s="6" t="s">
        <v>37</v>
      </c>
      <c r="F136" s="6"/>
      <c r="G136" s="6">
        <v>6188</v>
      </c>
      <c r="H136" s="6">
        <v>774</v>
      </c>
      <c r="I136" s="6">
        <v>647</v>
      </c>
      <c r="J136" s="6">
        <v>1830</v>
      </c>
      <c r="K136" s="6">
        <v>55436</v>
      </c>
      <c r="L136" s="6">
        <v>175542</v>
      </c>
      <c r="M136" s="6" t="s">
        <v>23</v>
      </c>
      <c r="N136" s="8">
        <f t="shared" si="2"/>
        <v>4.3345752013763089E-2</v>
      </c>
    </row>
    <row r="137" spans="1:14" hidden="1" x14ac:dyDescent="0.25">
      <c r="A137" s="1" t="s">
        <v>179</v>
      </c>
      <c r="B137" s="4" t="s">
        <v>14</v>
      </c>
      <c r="C137" s="5">
        <v>45624</v>
      </c>
      <c r="D137" s="4" t="s">
        <v>39</v>
      </c>
      <c r="E137" s="4" t="s">
        <v>48</v>
      </c>
      <c r="F137" s="4" t="s">
        <v>32</v>
      </c>
      <c r="G137" s="4">
        <v>19055</v>
      </c>
      <c r="H137" s="4">
        <v>443</v>
      </c>
      <c r="I137" s="4">
        <v>976</v>
      </c>
      <c r="J137" s="4">
        <v>869</v>
      </c>
      <c r="K137" s="4">
        <v>75437</v>
      </c>
      <c r="L137" s="4">
        <v>161863</v>
      </c>
      <c r="M137" s="4" t="s">
        <v>29</v>
      </c>
      <c r="N137" s="9">
        <f t="shared" si="2"/>
        <v>0.12648968572187591</v>
      </c>
    </row>
    <row r="138" spans="1:14" hidden="1" x14ac:dyDescent="0.25">
      <c r="A138" s="2" t="s">
        <v>180</v>
      </c>
      <c r="B138" s="6" t="s">
        <v>25</v>
      </c>
      <c r="C138" s="7">
        <v>45932</v>
      </c>
      <c r="D138" s="6" t="s">
        <v>39</v>
      </c>
      <c r="E138" s="6" t="s">
        <v>27</v>
      </c>
      <c r="F138" s="6" t="s">
        <v>28</v>
      </c>
      <c r="G138" s="6">
        <v>12161</v>
      </c>
      <c r="H138" s="6">
        <v>736</v>
      </c>
      <c r="I138" s="6">
        <v>876</v>
      </c>
      <c r="J138" s="6">
        <v>1233</v>
      </c>
      <c r="K138" s="6">
        <v>21337</v>
      </c>
      <c r="L138" s="6">
        <v>50225</v>
      </c>
      <c r="M138" s="6" t="s">
        <v>23</v>
      </c>
      <c r="N138" s="8">
        <f t="shared" si="2"/>
        <v>0.27422598307615731</v>
      </c>
    </row>
    <row r="139" spans="1:14" hidden="1" x14ac:dyDescent="0.25">
      <c r="A139" s="1" t="s">
        <v>181</v>
      </c>
      <c r="B139" s="4" t="s">
        <v>25</v>
      </c>
      <c r="C139" s="5">
        <v>45504</v>
      </c>
      <c r="D139" s="4" t="s">
        <v>39</v>
      </c>
      <c r="E139" s="4" t="s">
        <v>32</v>
      </c>
      <c r="F139" s="4" t="s">
        <v>33</v>
      </c>
      <c r="G139" s="4">
        <v>13314</v>
      </c>
      <c r="H139" s="4">
        <v>274</v>
      </c>
      <c r="I139" s="4">
        <v>626</v>
      </c>
      <c r="J139" s="4">
        <v>2280</v>
      </c>
      <c r="K139" s="4">
        <v>14639</v>
      </c>
      <c r="L139" s="4">
        <v>163008</v>
      </c>
      <c r="M139" s="4" t="s">
        <v>34</v>
      </c>
      <c r="N139" s="9">
        <f t="shared" si="2"/>
        <v>8.7198174322732622E-2</v>
      </c>
    </row>
    <row r="140" spans="1:14" hidden="1" x14ac:dyDescent="0.25">
      <c r="A140" s="2" t="s">
        <v>182</v>
      </c>
      <c r="B140" s="6" t="s">
        <v>25</v>
      </c>
      <c r="C140" s="7">
        <v>45745</v>
      </c>
      <c r="D140" s="6" t="s">
        <v>39</v>
      </c>
      <c r="E140" s="6" t="s">
        <v>27</v>
      </c>
      <c r="F140" s="6" t="s">
        <v>28</v>
      </c>
      <c r="G140" s="6">
        <v>23508</v>
      </c>
      <c r="H140" s="6">
        <v>585</v>
      </c>
      <c r="I140" s="6">
        <v>743</v>
      </c>
      <c r="J140" s="6">
        <v>2155</v>
      </c>
      <c r="K140" s="6">
        <v>3704</v>
      </c>
      <c r="L140" s="6">
        <v>194268</v>
      </c>
      <c r="M140" s="6" t="s">
        <v>34</v>
      </c>
      <c r="N140" s="8">
        <f t="shared" si="2"/>
        <v>0.1278440093067309</v>
      </c>
    </row>
    <row r="141" spans="1:14" hidden="1" x14ac:dyDescent="0.25">
      <c r="A141" s="1" t="s">
        <v>183</v>
      </c>
      <c r="B141" s="4" t="s">
        <v>14</v>
      </c>
      <c r="C141" s="5">
        <v>45594</v>
      </c>
      <c r="D141" s="4" t="s">
        <v>26</v>
      </c>
      <c r="E141" s="4" t="s">
        <v>32</v>
      </c>
      <c r="F141" s="4" t="s">
        <v>57</v>
      </c>
      <c r="G141" s="4">
        <v>23969</v>
      </c>
      <c r="H141" s="4">
        <v>1433</v>
      </c>
      <c r="I141" s="4">
        <v>372</v>
      </c>
      <c r="J141" s="4">
        <v>1092</v>
      </c>
      <c r="K141" s="4">
        <v>32147</v>
      </c>
      <c r="L141" s="4">
        <v>145823</v>
      </c>
      <c r="M141" s="4" t="s">
        <v>29</v>
      </c>
      <c r="N141" s="9">
        <f t="shared" si="2"/>
        <v>0.17674852389540743</v>
      </c>
    </row>
    <row r="142" spans="1:14" hidden="1" x14ac:dyDescent="0.25">
      <c r="A142" s="2" t="s">
        <v>184</v>
      </c>
      <c r="B142" s="6" t="s">
        <v>25</v>
      </c>
      <c r="C142" s="7">
        <v>45488</v>
      </c>
      <c r="D142" s="6" t="s">
        <v>26</v>
      </c>
      <c r="E142" s="6" t="s">
        <v>40</v>
      </c>
      <c r="F142" s="6" t="s">
        <v>41</v>
      </c>
      <c r="G142" s="6">
        <v>14891</v>
      </c>
      <c r="H142" s="6">
        <v>674</v>
      </c>
      <c r="I142" s="6">
        <v>521</v>
      </c>
      <c r="J142" s="6">
        <v>1091</v>
      </c>
      <c r="K142" s="6">
        <v>18101</v>
      </c>
      <c r="L142" s="6">
        <v>53669</v>
      </c>
      <c r="M142" s="6" t="s">
        <v>18</v>
      </c>
      <c r="N142" s="8">
        <f t="shared" si="2"/>
        <v>0.29972609886526674</v>
      </c>
    </row>
    <row r="143" spans="1:14" hidden="1" x14ac:dyDescent="0.25">
      <c r="A143" s="1" t="s">
        <v>185</v>
      </c>
      <c r="B143" s="4" t="s">
        <v>20</v>
      </c>
      <c r="C143" s="5">
        <v>45933</v>
      </c>
      <c r="D143" s="4" t="s">
        <v>15</v>
      </c>
      <c r="E143" s="4" t="s">
        <v>48</v>
      </c>
      <c r="F143" s="4" t="s">
        <v>32</v>
      </c>
      <c r="G143" s="4">
        <v>6777</v>
      </c>
      <c r="H143" s="4">
        <v>617</v>
      </c>
      <c r="I143" s="4">
        <v>551</v>
      </c>
      <c r="J143" s="4">
        <v>2109</v>
      </c>
      <c r="K143" s="4">
        <v>18559</v>
      </c>
      <c r="L143" s="4">
        <v>208452</v>
      </c>
      <c r="M143" s="4" t="s">
        <v>23</v>
      </c>
      <c r="N143" s="9">
        <f t="shared" ref="N143:N206" si="3">(G143+H143+I143)/L143</f>
        <v>3.8114290100358834E-2</v>
      </c>
    </row>
    <row r="144" spans="1:14" hidden="1" x14ac:dyDescent="0.25">
      <c r="A144" s="2" t="s">
        <v>186</v>
      </c>
      <c r="B144" s="6" t="s">
        <v>25</v>
      </c>
      <c r="C144" s="7">
        <v>45741</v>
      </c>
      <c r="D144" s="6" t="s">
        <v>39</v>
      </c>
      <c r="E144" s="6" t="s">
        <v>27</v>
      </c>
      <c r="F144" s="6" t="s">
        <v>28</v>
      </c>
      <c r="G144" s="6">
        <v>5900</v>
      </c>
      <c r="H144" s="6">
        <v>546</v>
      </c>
      <c r="I144" s="6">
        <v>592</v>
      </c>
      <c r="J144" s="6">
        <v>1594</v>
      </c>
      <c r="K144" s="6">
        <v>38627</v>
      </c>
      <c r="L144" s="6">
        <v>164398</v>
      </c>
      <c r="M144" s="6" t="s">
        <v>52</v>
      </c>
      <c r="N144" s="8">
        <f t="shared" si="3"/>
        <v>4.2810739790021778E-2</v>
      </c>
    </row>
    <row r="145" spans="1:14" hidden="1" x14ac:dyDescent="0.25">
      <c r="A145" s="1" t="s">
        <v>187</v>
      </c>
      <c r="B145" s="4" t="s">
        <v>20</v>
      </c>
      <c r="C145" s="5">
        <v>45567</v>
      </c>
      <c r="D145" s="4" t="s">
        <v>15</v>
      </c>
      <c r="E145" s="4" t="s">
        <v>27</v>
      </c>
      <c r="F145" s="4" t="s">
        <v>28</v>
      </c>
      <c r="G145" s="4">
        <v>15716</v>
      </c>
      <c r="H145" s="4">
        <v>839</v>
      </c>
      <c r="I145" s="4">
        <v>639</v>
      </c>
      <c r="J145" s="4">
        <v>2839</v>
      </c>
      <c r="K145" s="4">
        <v>349</v>
      </c>
      <c r="L145" s="4">
        <v>150677</v>
      </c>
      <c r="M145" s="4" t="s">
        <v>29</v>
      </c>
      <c r="N145" s="9">
        <f t="shared" si="3"/>
        <v>0.11411164278556117</v>
      </c>
    </row>
    <row r="146" spans="1:14" hidden="1" x14ac:dyDescent="0.25">
      <c r="A146" s="2" t="s">
        <v>188</v>
      </c>
      <c r="B146" s="6" t="s">
        <v>20</v>
      </c>
      <c r="C146" s="7">
        <v>45593</v>
      </c>
      <c r="D146" s="6" t="s">
        <v>39</v>
      </c>
      <c r="E146" s="6" t="s">
        <v>62</v>
      </c>
      <c r="F146" s="6" t="s">
        <v>37</v>
      </c>
      <c r="G146" s="6">
        <v>8981</v>
      </c>
      <c r="H146" s="6">
        <v>1138</v>
      </c>
      <c r="I146" s="6">
        <v>764</v>
      </c>
      <c r="J146" s="6">
        <v>2555</v>
      </c>
      <c r="K146" s="6">
        <v>92810</v>
      </c>
      <c r="L146" s="6">
        <v>88320</v>
      </c>
      <c r="M146" s="6" t="s">
        <v>52</v>
      </c>
      <c r="N146" s="8">
        <f t="shared" si="3"/>
        <v>0.1232223731884058</v>
      </c>
    </row>
    <row r="147" spans="1:14" hidden="1" x14ac:dyDescent="0.25">
      <c r="A147" s="1" t="s">
        <v>189</v>
      </c>
      <c r="B147" s="4" t="s">
        <v>20</v>
      </c>
      <c r="C147" s="5">
        <v>45516</v>
      </c>
      <c r="D147" s="4" t="s">
        <v>39</v>
      </c>
      <c r="E147" s="4" t="s">
        <v>21</v>
      </c>
      <c r="F147" s="4" t="s">
        <v>22</v>
      </c>
      <c r="G147" s="4">
        <v>8376</v>
      </c>
      <c r="H147" s="4">
        <v>1154</v>
      </c>
      <c r="I147" s="4">
        <v>422</v>
      </c>
      <c r="J147" s="4">
        <v>1907</v>
      </c>
      <c r="K147" s="4">
        <v>36874</v>
      </c>
      <c r="L147" s="4">
        <v>218486</v>
      </c>
      <c r="M147" s="4" t="s">
        <v>29</v>
      </c>
      <c r="N147" s="9">
        <f t="shared" si="3"/>
        <v>4.5549829279679245E-2</v>
      </c>
    </row>
    <row r="148" spans="1:14" hidden="1" x14ac:dyDescent="0.25">
      <c r="A148" s="2" t="s">
        <v>190</v>
      </c>
      <c r="B148" s="6" t="s">
        <v>14</v>
      </c>
      <c r="C148" s="7">
        <v>45448</v>
      </c>
      <c r="D148" s="6" t="s">
        <v>26</v>
      </c>
      <c r="E148" s="6" t="s">
        <v>62</v>
      </c>
      <c r="F148" s="6" t="s">
        <v>37</v>
      </c>
      <c r="G148" s="6">
        <v>18907</v>
      </c>
      <c r="H148" s="6">
        <v>1075</v>
      </c>
      <c r="I148" s="6">
        <v>675</v>
      </c>
      <c r="J148" s="6">
        <v>1383</v>
      </c>
      <c r="K148" s="6">
        <v>17875</v>
      </c>
      <c r="L148" s="6">
        <v>186649</v>
      </c>
      <c r="M148" s="6" t="s">
        <v>18</v>
      </c>
      <c r="N148" s="8">
        <f t="shared" si="3"/>
        <v>0.11067297440650634</v>
      </c>
    </row>
    <row r="149" spans="1:14" hidden="1" x14ac:dyDescent="0.25">
      <c r="A149" s="1" t="s">
        <v>191</v>
      </c>
      <c r="B149" s="4" t="s">
        <v>14</v>
      </c>
      <c r="C149" s="5">
        <v>45586</v>
      </c>
      <c r="D149" s="4" t="s">
        <v>26</v>
      </c>
      <c r="E149" s="4" t="s">
        <v>48</v>
      </c>
      <c r="F149" s="4" t="s">
        <v>32</v>
      </c>
      <c r="G149" s="4">
        <v>20777</v>
      </c>
      <c r="H149" s="4">
        <v>962</v>
      </c>
      <c r="I149" s="4">
        <v>308</v>
      </c>
      <c r="J149" s="4">
        <v>2777</v>
      </c>
      <c r="K149" s="4">
        <v>25529</v>
      </c>
      <c r="L149" s="4">
        <v>165354</v>
      </c>
      <c r="M149" s="4" t="s">
        <v>18</v>
      </c>
      <c r="N149" s="9">
        <f t="shared" si="3"/>
        <v>0.13333212380710477</v>
      </c>
    </row>
    <row r="150" spans="1:14" hidden="1" x14ac:dyDescent="0.25">
      <c r="A150" s="2" t="s">
        <v>192</v>
      </c>
      <c r="B150" s="6" t="s">
        <v>14</v>
      </c>
      <c r="C150" s="7">
        <v>45762</v>
      </c>
      <c r="D150" s="6" t="s">
        <v>31</v>
      </c>
      <c r="E150" s="6" t="s">
        <v>48</v>
      </c>
      <c r="F150" s="6" t="s">
        <v>32</v>
      </c>
      <c r="G150" s="6">
        <v>20977</v>
      </c>
      <c r="H150" s="6">
        <v>1402</v>
      </c>
      <c r="I150" s="6">
        <v>301</v>
      </c>
      <c r="J150" s="6">
        <v>1284</v>
      </c>
      <c r="K150" s="6">
        <v>24620</v>
      </c>
      <c r="L150" s="6">
        <v>128009</v>
      </c>
      <c r="M150" s="6" t="s">
        <v>18</v>
      </c>
      <c r="N150" s="8">
        <f t="shared" si="3"/>
        <v>0.17717504237983267</v>
      </c>
    </row>
    <row r="151" spans="1:14" hidden="1" x14ac:dyDescent="0.25">
      <c r="A151" s="1" t="s">
        <v>193</v>
      </c>
      <c r="B151" s="4" t="s">
        <v>25</v>
      </c>
      <c r="C151" s="5">
        <v>45459</v>
      </c>
      <c r="D151" s="4" t="s">
        <v>26</v>
      </c>
      <c r="E151" s="4" t="s">
        <v>16</v>
      </c>
      <c r="F151" s="4" t="s">
        <v>17</v>
      </c>
      <c r="G151" s="4">
        <v>12160</v>
      </c>
      <c r="H151" s="4">
        <v>1405</v>
      </c>
      <c r="I151" s="4">
        <v>769</v>
      </c>
      <c r="J151" s="4">
        <v>1980</v>
      </c>
      <c r="K151" s="4">
        <v>33174</v>
      </c>
      <c r="L151" s="4">
        <v>226481</v>
      </c>
      <c r="M151" s="4" t="s">
        <v>18</v>
      </c>
      <c r="N151" s="9">
        <f t="shared" si="3"/>
        <v>6.329007731332871E-2</v>
      </c>
    </row>
    <row r="152" spans="1:14" hidden="1" x14ac:dyDescent="0.25">
      <c r="A152" s="2" t="s">
        <v>194</v>
      </c>
      <c r="B152" s="6" t="s">
        <v>20</v>
      </c>
      <c r="C152" s="7">
        <v>45526</v>
      </c>
      <c r="D152" s="6" t="s">
        <v>31</v>
      </c>
      <c r="E152" s="6" t="s">
        <v>62</v>
      </c>
      <c r="F152" s="6" t="s">
        <v>37</v>
      </c>
      <c r="G152" s="6">
        <v>16124</v>
      </c>
      <c r="H152" s="6">
        <v>863</v>
      </c>
      <c r="I152" s="6">
        <v>337</v>
      </c>
      <c r="J152" s="6">
        <v>819</v>
      </c>
      <c r="K152" s="6">
        <v>85788</v>
      </c>
      <c r="L152" s="6">
        <v>68625</v>
      </c>
      <c r="M152" s="6" t="s">
        <v>34</v>
      </c>
      <c r="N152" s="8">
        <f t="shared" si="3"/>
        <v>0.25244444444444447</v>
      </c>
    </row>
    <row r="153" spans="1:14" hidden="1" x14ac:dyDescent="0.25">
      <c r="A153" s="1" t="s">
        <v>195</v>
      </c>
      <c r="B153" s="4" t="s">
        <v>14</v>
      </c>
      <c r="C153" s="5">
        <v>45499</v>
      </c>
      <c r="D153" s="4" t="s">
        <v>31</v>
      </c>
      <c r="E153" s="4" t="s">
        <v>71</v>
      </c>
      <c r="F153" s="4"/>
      <c r="G153" s="4">
        <v>18282</v>
      </c>
      <c r="H153" s="4">
        <v>224</v>
      </c>
      <c r="I153" s="4">
        <v>962</v>
      </c>
      <c r="J153" s="4">
        <v>890</v>
      </c>
      <c r="K153" s="4">
        <v>35105</v>
      </c>
      <c r="L153" s="4">
        <v>64089</v>
      </c>
      <c r="M153" s="4" t="s">
        <v>34</v>
      </c>
      <c r="N153" s="9">
        <f t="shared" si="3"/>
        <v>0.30376507669022768</v>
      </c>
    </row>
    <row r="154" spans="1:14" hidden="1" x14ac:dyDescent="0.25">
      <c r="A154" s="2" t="s">
        <v>196</v>
      </c>
      <c r="B154" s="6" t="s">
        <v>14</v>
      </c>
      <c r="C154" s="7">
        <v>45934</v>
      </c>
      <c r="D154" s="6" t="s">
        <v>31</v>
      </c>
      <c r="E154" s="6" t="s">
        <v>122</v>
      </c>
      <c r="F154" s="6" t="s">
        <v>123</v>
      </c>
      <c r="G154" s="6">
        <v>12488</v>
      </c>
      <c r="H154" s="6">
        <v>1403</v>
      </c>
      <c r="I154" s="6">
        <v>247</v>
      </c>
      <c r="J154" s="6">
        <v>1350</v>
      </c>
      <c r="K154" s="6">
        <v>28370</v>
      </c>
      <c r="L154" s="6">
        <v>76487</v>
      </c>
      <c r="M154" s="6" t="s">
        <v>23</v>
      </c>
      <c r="N154" s="8">
        <f t="shared" si="3"/>
        <v>0.18484186855282597</v>
      </c>
    </row>
    <row r="155" spans="1:14" hidden="1" x14ac:dyDescent="0.25">
      <c r="A155" s="1" t="s">
        <v>197</v>
      </c>
      <c r="B155" s="4" t="s">
        <v>25</v>
      </c>
      <c r="C155" s="5">
        <v>45658</v>
      </c>
      <c r="D155" s="4" t="s">
        <v>31</v>
      </c>
      <c r="E155" s="4" t="s">
        <v>21</v>
      </c>
      <c r="F155" s="4" t="s">
        <v>22</v>
      </c>
      <c r="G155" s="4">
        <v>24574</v>
      </c>
      <c r="H155" s="4">
        <v>909</v>
      </c>
      <c r="I155" s="4">
        <v>280</v>
      </c>
      <c r="J155" s="4">
        <v>2009</v>
      </c>
      <c r="K155" s="4">
        <v>6221</v>
      </c>
      <c r="L155" s="4">
        <v>236910</v>
      </c>
      <c r="M155" s="4" t="s">
        <v>52</v>
      </c>
      <c r="N155" s="9">
        <f t="shared" si="3"/>
        <v>0.10874593727575872</v>
      </c>
    </row>
    <row r="156" spans="1:14" hidden="1" x14ac:dyDescent="0.25">
      <c r="A156" s="2" t="s">
        <v>198</v>
      </c>
      <c r="B156" s="6" t="s">
        <v>14</v>
      </c>
      <c r="C156" s="7">
        <v>45574</v>
      </c>
      <c r="D156" s="6" t="s">
        <v>31</v>
      </c>
      <c r="E156" s="6" t="s">
        <v>48</v>
      </c>
      <c r="F156" s="6" t="s">
        <v>32</v>
      </c>
      <c r="G156" s="6">
        <v>7240</v>
      </c>
      <c r="H156" s="6">
        <v>1384</v>
      </c>
      <c r="I156" s="6">
        <v>954</v>
      </c>
      <c r="J156" s="6">
        <v>2335</v>
      </c>
      <c r="K156" s="6">
        <v>6757</v>
      </c>
      <c r="L156" s="6">
        <v>150448</v>
      </c>
      <c r="M156" s="6" t="s">
        <v>29</v>
      </c>
      <c r="N156" s="8">
        <f t="shared" si="3"/>
        <v>6.3663192598106988E-2</v>
      </c>
    </row>
    <row r="157" spans="1:14" hidden="1" x14ac:dyDescent="0.25">
      <c r="A157" s="1" t="s">
        <v>199</v>
      </c>
      <c r="B157" s="4" t="s">
        <v>25</v>
      </c>
      <c r="C157" s="5">
        <v>45647</v>
      </c>
      <c r="D157" s="4" t="s">
        <v>15</v>
      </c>
      <c r="E157" s="4" t="s">
        <v>16</v>
      </c>
      <c r="F157" s="4" t="s">
        <v>17</v>
      </c>
      <c r="G157" s="4">
        <v>12453</v>
      </c>
      <c r="H157" s="4">
        <v>376</v>
      </c>
      <c r="I157" s="4">
        <v>320</v>
      </c>
      <c r="J157" s="4">
        <v>2546</v>
      </c>
      <c r="K157" s="4">
        <v>22617</v>
      </c>
      <c r="L157" s="4">
        <v>90138</v>
      </c>
      <c r="M157" s="4" t="s">
        <v>29</v>
      </c>
      <c r="N157" s="9">
        <f t="shared" si="3"/>
        <v>0.14587632297144379</v>
      </c>
    </row>
    <row r="158" spans="1:14" hidden="1" x14ac:dyDescent="0.25">
      <c r="A158" s="2" t="s">
        <v>200</v>
      </c>
      <c r="B158" s="6" t="s">
        <v>47</v>
      </c>
      <c r="C158" s="7">
        <v>45587</v>
      </c>
      <c r="D158" s="6" t="s">
        <v>26</v>
      </c>
      <c r="E158" s="6" t="s">
        <v>40</v>
      </c>
      <c r="F158" s="6" t="s">
        <v>41</v>
      </c>
      <c r="G158" s="6">
        <v>12478</v>
      </c>
      <c r="H158" s="6">
        <v>484</v>
      </c>
      <c r="I158" s="6">
        <v>332</v>
      </c>
      <c r="J158" s="6">
        <v>2734</v>
      </c>
      <c r="K158" s="6">
        <v>43338</v>
      </c>
      <c r="L158" s="6">
        <v>213895</v>
      </c>
      <c r="M158" s="6" t="s">
        <v>34</v>
      </c>
      <c r="N158" s="8">
        <f t="shared" si="3"/>
        <v>6.2151990462610156E-2</v>
      </c>
    </row>
    <row r="159" spans="1:14" hidden="1" x14ac:dyDescent="0.25">
      <c r="A159" s="1" t="s">
        <v>201</v>
      </c>
      <c r="B159" s="4" t="s">
        <v>14</v>
      </c>
      <c r="C159" s="5">
        <v>45496</v>
      </c>
      <c r="D159" s="4" t="s">
        <v>31</v>
      </c>
      <c r="E159" s="4" t="s">
        <v>62</v>
      </c>
      <c r="F159" s="4" t="s">
        <v>37</v>
      </c>
      <c r="G159" s="4">
        <v>24877</v>
      </c>
      <c r="H159" s="4">
        <v>262</v>
      </c>
      <c r="I159" s="4">
        <v>513</v>
      </c>
      <c r="J159" s="4">
        <v>648</v>
      </c>
      <c r="K159" s="4">
        <v>47544</v>
      </c>
      <c r="L159" s="4">
        <v>208280</v>
      </c>
      <c r="M159" s="4" t="s">
        <v>29</v>
      </c>
      <c r="N159" s="9">
        <f t="shared" si="3"/>
        <v>0.12316112924908777</v>
      </c>
    </row>
    <row r="160" spans="1:14" hidden="1" x14ac:dyDescent="0.25">
      <c r="A160" s="2" t="s">
        <v>202</v>
      </c>
      <c r="B160" s="6" t="s">
        <v>47</v>
      </c>
      <c r="C160" s="7">
        <v>45515</v>
      </c>
      <c r="D160" s="6" t="s">
        <v>39</v>
      </c>
      <c r="E160" s="6" t="s">
        <v>21</v>
      </c>
      <c r="F160" s="6" t="s">
        <v>22</v>
      </c>
      <c r="G160" s="6">
        <v>14394</v>
      </c>
      <c r="H160" s="6">
        <v>1202</v>
      </c>
      <c r="I160" s="6">
        <v>188</v>
      </c>
      <c r="J160" s="6">
        <v>1259</v>
      </c>
      <c r="K160" s="6">
        <v>21925</v>
      </c>
      <c r="L160" s="6">
        <v>94061</v>
      </c>
      <c r="M160" s="6" t="s">
        <v>34</v>
      </c>
      <c r="N160" s="8">
        <f t="shared" si="3"/>
        <v>0.1678059982351878</v>
      </c>
    </row>
    <row r="161" spans="1:14" hidden="1" x14ac:dyDescent="0.25">
      <c r="A161" s="1" t="s">
        <v>203</v>
      </c>
      <c r="B161" s="4" t="s">
        <v>25</v>
      </c>
      <c r="C161" s="5">
        <v>45935</v>
      </c>
      <c r="D161" s="4" t="s">
        <v>26</v>
      </c>
      <c r="E161" s="4" t="s">
        <v>40</v>
      </c>
      <c r="F161" s="4" t="s">
        <v>41</v>
      </c>
      <c r="G161" s="4">
        <v>21262</v>
      </c>
      <c r="H161" s="4">
        <v>861</v>
      </c>
      <c r="I161" s="4">
        <v>676</v>
      </c>
      <c r="J161" s="4">
        <v>2263</v>
      </c>
      <c r="K161" s="4">
        <v>12085</v>
      </c>
      <c r="L161" s="4">
        <v>201731</v>
      </c>
      <c r="M161" s="4" t="s">
        <v>23</v>
      </c>
      <c r="N161" s="9">
        <f t="shared" si="3"/>
        <v>0.11301683925623726</v>
      </c>
    </row>
    <row r="162" spans="1:14" hidden="1" x14ac:dyDescent="0.25">
      <c r="A162" s="2" t="s">
        <v>204</v>
      </c>
      <c r="B162" s="6" t="s">
        <v>20</v>
      </c>
      <c r="C162" s="7">
        <v>45528</v>
      </c>
      <c r="D162" s="6" t="s">
        <v>26</v>
      </c>
      <c r="E162" s="6" t="s">
        <v>62</v>
      </c>
      <c r="F162" s="6" t="s">
        <v>37</v>
      </c>
      <c r="G162" s="6">
        <v>22527</v>
      </c>
      <c r="H162" s="6">
        <v>865</v>
      </c>
      <c r="I162" s="6">
        <v>646</v>
      </c>
      <c r="J162" s="6">
        <v>992</v>
      </c>
      <c r="K162" s="6">
        <v>18654</v>
      </c>
      <c r="L162" s="6">
        <v>141376</v>
      </c>
      <c r="M162" s="6" t="s">
        <v>52</v>
      </c>
      <c r="N162" s="8">
        <f t="shared" si="3"/>
        <v>0.17002885921231325</v>
      </c>
    </row>
    <row r="163" spans="1:14" hidden="1" x14ac:dyDescent="0.25">
      <c r="A163" s="1" t="s">
        <v>205</v>
      </c>
      <c r="B163" s="4" t="s">
        <v>14</v>
      </c>
      <c r="C163" s="5">
        <v>45936</v>
      </c>
      <c r="D163" s="4" t="s">
        <v>31</v>
      </c>
      <c r="E163" s="4" t="s">
        <v>27</v>
      </c>
      <c r="F163" s="4" t="s">
        <v>28</v>
      </c>
      <c r="G163" s="4">
        <v>22028</v>
      </c>
      <c r="H163" s="4">
        <v>355</v>
      </c>
      <c r="I163" s="4">
        <v>665</v>
      </c>
      <c r="J163" s="4">
        <v>1859</v>
      </c>
      <c r="K163" s="4">
        <v>50565</v>
      </c>
      <c r="L163" s="4">
        <v>202962</v>
      </c>
      <c r="M163" s="4" t="s">
        <v>23</v>
      </c>
      <c r="N163" s="9">
        <f t="shared" si="3"/>
        <v>0.11355820301337197</v>
      </c>
    </row>
    <row r="164" spans="1:14" hidden="1" x14ac:dyDescent="0.25">
      <c r="A164" s="2" t="s">
        <v>206</v>
      </c>
      <c r="B164" s="6" t="s">
        <v>25</v>
      </c>
      <c r="C164" s="7">
        <v>45748</v>
      </c>
      <c r="D164" s="6" t="s">
        <v>15</v>
      </c>
      <c r="E164" s="6" t="s">
        <v>40</v>
      </c>
      <c r="F164" s="6" t="s">
        <v>41</v>
      </c>
      <c r="G164" s="6">
        <v>6432</v>
      </c>
      <c r="H164" s="6">
        <v>1272</v>
      </c>
      <c r="I164" s="6">
        <v>498</v>
      </c>
      <c r="J164" s="6">
        <v>677</v>
      </c>
      <c r="K164" s="6">
        <v>47305</v>
      </c>
      <c r="L164" s="6">
        <v>119134</v>
      </c>
      <c r="M164" s="6" t="s">
        <v>18</v>
      </c>
      <c r="N164" s="8">
        <f t="shared" si="3"/>
        <v>6.8846844729464299E-2</v>
      </c>
    </row>
    <row r="165" spans="1:14" hidden="1" x14ac:dyDescent="0.25">
      <c r="A165" s="1" t="s">
        <v>207</v>
      </c>
      <c r="B165" s="4" t="s">
        <v>20</v>
      </c>
      <c r="C165" s="5">
        <v>45755</v>
      </c>
      <c r="D165" s="4" t="s">
        <v>31</v>
      </c>
      <c r="E165" s="4" t="s">
        <v>16</v>
      </c>
      <c r="F165" s="4" t="s">
        <v>17</v>
      </c>
      <c r="G165" s="4">
        <v>15568</v>
      </c>
      <c r="H165" s="4">
        <v>1166</v>
      </c>
      <c r="I165" s="4">
        <v>546</v>
      </c>
      <c r="J165" s="4">
        <v>826</v>
      </c>
      <c r="K165" s="4">
        <v>21836</v>
      </c>
      <c r="L165" s="4">
        <v>87055</v>
      </c>
      <c r="M165" s="4" t="s">
        <v>18</v>
      </c>
      <c r="N165" s="9">
        <f t="shared" si="3"/>
        <v>0.19849520418126471</v>
      </c>
    </row>
    <row r="166" spans="1:14" hidden="1" x14ac:dyDescent="0.25">
      <c r="A166" s="2" t="s">
        <v>208</v>
      </c>
      <c r="B166" s="6" t="s">
        <v>20</v>
      </c>
      <c r="C166" s="7">
        <v>45715</v>
      </c>
      <c r="D166" s="6" t="s">
        <v>15</v>
      </c>
      <c r="E166" s="6" t="s">
        <v>21</v>
      </c>
      <c r="F166" s="6" t="s">
        <v>22</v>
      </c>
      <c r="G166" s="6">
        <v>16178</v>
      </c>
      <c r="H166" s="6">
        <v>1048</v>
      </c>
      <c r="I166" s="6">
        <v>871</v>
      </c>
      <c r="J166" s="6">
        <v>2553</v>
      </c>
      <c r="K166" s="6">
        <v>39025</v>
      </c>
      <c r="L166" s="6">
        <v>59508</v>
      </c>
      <c r="M166" s="6" t="s">
        <v>18</v>
      </c>
      <c r="N166" s="8">
        <f t="shared" si="3"/>
        <v>0.30411037171472743</v>
      </c>
    </row>
    <row r="167" spans="1:14" hidden="1" x14ac:dyDescent="0.25">
      <c r="A167" s="1" t="s">
        <v>209</v>
      </c>
      <c r="B167" s="4" t="s">
        <v>47</v>
      </c>
      <c r="C167" s="5">
        <v>45937</v>
      </c>
      <c r="D167" s="4" t="s">
        <v>39</v>
      </c>
      <c r="E167" s="4" t="s">
        <v>43</v>
      </c>
      <c r="F167" s="4" t="s">
        <v>44</v>
      </c>
      <c r="G167" s="4">
        <v>19660</v>
      </c>
      <c r="H167" s="4">
        <v>1307</v>
      </c>
      <c r="I167" s="4">
        <v>310</v>
      </c>
      <c r="J167" s="4">
        <v>2802</v>
      </c>
      <c r="K167" s="4">
        <v>22171</v>
      </c>
      <c r="L167" s="4">
        <v>213359</v>
      </c>
      <c r="M167" s="4" t="s">
        <v>23</v>
      </c>
      <c r="N167" s="9">
        <f t="shared" si="3"/>
        <v>9.9723939463533293E-2</v>
      </c>
    </row>
    <row r="168" spans="1:14" hidden="1" x14ac:dyDescent="0.25">
      <c r="A168" s="2" t="s">
        <v>210</v>
      </c>
      <c r="B168" s="6" t="s">
        <v>25</v>
      </c>
      <c r="C168" s="7">
        <v>45704</v>
      </c>
      <c r="D168" s="6" t="s">
        <v>26</v>
      </c>
      <c r="E168" s="6" t="s">
        <v>32</v>
      </c>
      <c r="F168" s="6" t="s">
        <v>57</v>
      </c>
      <c r="G168" s="6">
        <v>24195</v>
      </c>
      <c r="H168" s="6">
        <v>888</v>
      </c>
      <c r="I168" s="6">
        <v>165</v>
      </c>
      <c r="J168" s="6">
        <v>1559</v>
      </c>
      <c r="K168" s="6">
        <v>11596</v>
      </c>
      <c r="L168" s="6">
        <v>249988</v>
      </c>
      <c r="M168" s="6" t="s">
        <v>29</v>
      </c>
      <c r="N168" s="8">
        <f t="shared" si="3"/>
        <v>0.10099684784869674</v>
      </c>
    </row>
    <row r="169" spans="1:14" hidden="1" x14ac:dyDescent="0.25">
      <c r="A169" s="1" t="s">
        <v>211</v>
      </c>
      <c r="B169" s="4" t="s">
        <v>20</v>
      </c>
      <c r="C169" s="5">
        <v>45624</v>
      </c>
      <c r="D169" s="4" t="s">
        <v>39</v>
      </c>
      <c r="E169" s="4" t="s">
        <v>32</v>
      </c>
      <c r="F169" s="4" t="s">
        <v>57</v>
      </c>
      <c r="G169" s="4">
        <v>2302</v>
      </c>
      <c r="H169" s="4">
        <v>347</v>
      </c>
      <c r="I169" s="4">
        <v>642</v>
      </c>
      <c r="J169" s="4">
        <v>2175</v>
      </c>
      <c r="K169" s="4">
        <v>56378</v>
      </c>
      <c r="L169" s="4">
        <v>198056</v>
      </c>
      <c r="M169" s="4" t="s">
        <v>52</v>
      </c>
      <c r="N169" s="9">
        <f t="shared" si="3"/>
        <v>1.6616512501514722E-2</v>
      </c>
    </row>
    <row r="170" spans="1:14" hidden="1" x14ac:dyDescent="0.25">
      <c r="A170" s="2" t="s">
        <v>212</v>
      </c>
      <c r="B170" s="6" t="s">
        <v>14</v>
      </c>
      <c r="C170" s="7">
        <v>45608</v>
      </c>
      <c r="D170" s="6" t="s">
        <v>15</v>
      </c>
      <c r="E170" s="6" t="s">
        <v>21</v>
      </c>
      <c r="F170" s="6" t="s">
        <v>22</v>
      </c>
      <c r="G170" s="6">
        <v>19022</v>
      </c>
      <c r="H170" s="6">
        <v>541</v>
      </c>
      <c r="I170" s="6">
        <v>575</v>
      </c>
      <c r="J170" s="6">
        <v>2063</v>
      </c>
      <c r="K170" s="6">
        <v>42743</v>
      </c>
      <c r="L170" s="6">
        <v>150169</v>
      </c>
      <c r="M170" s="6" t="s">
        <v>18</v>
      </c>
      <c r="N170" s="8">
        <f t="shared" si="3"/>
        <v>0.13410224480418728</v>
      </c>
    </row>
    <row r="171" spans="1:14" hidden="1" x14ac:dyDescent="0.25">
      <c r="A171" s="1" t="s">
        <v>213</v>
      </c>
      <c r="B171" s="4" t="s">
        <v>14</v>
      </c>
      <c r="C171" s="5">
        <v>45629</v>
      </c>
      <c r="D171" s="4" t="s">
        <v>15</v>
      </c>
      <c r="E171" s="4" t="s">
        <v>40</v>
      </c>
      <c r="F171" s="4" t="s">
        <v>41</v>
      </c>
      <c r="G171" s="4">
        <v>2055</v>
      </c>
      <c r="H171" s="4">
        <v>675</v>
      </c>
      <c r="I171" s="4">
        <v>257</v>
      </c>
      <c r="J171" s="4">
        <v>820</v>
      </c>
      <c r="K171" s="4">
        <v>33534</v>
      </c>
      <c r="L171" s="4">
        <v>48125</v>
      </c>
      <c r="M171" s="4" t="s">
        <v>18</v>
      </c>
      <c r="N171" s="9">
        <f t="shared" si="3"/>
        <v>6.2067532467532466E-2</v>
      </c>
    </row>
    <row r="172" spans="1:14" hidden="1" x14ac:dyDescent="0.25">
      <c r="A172" s="2" t="s">
        <v>214</v>
      </c>
      <c r="B172" s="6" t="s">
        <v>47</v>
      </c>
      <c r="C172" s="7">
        <v>45775</v>
      </c>
      <c r="D172" s="6" t="s">
        <v>39</v>
      </c>
      <c r="E172" s="6" t="s">
        <v>62</v>
      </c>
      <c r="F172" s="6" t="s">
        <v>37</v>
      </c>
      <c r="G172" s="6">
        <v>15013</v>
      </c>
      <c r="H172" s="6">
        <v>1286</v>
      </c>
      <c r="I172" s="6">
        <v>599</v>
      </c>
      <c r="J172" s="6">
        <v>2001</v>
      </c>
      <c r="K172" s="6">
        <v>67839</v>
      </c>
      <c r="L172" s="6">
        <v>76059</v>
      </c>
      <c r="M172" s="6" t="s">
        <v>18</v>
      </c>
      <c r="N172" s="8">
        <f t="shared" si="3"/>
        <v>0.22216963147030594</v>
      </c>
    </row>
    <row r="173" spans="1:14" hidden="1" x14ac:dyDescent="0.25">
      <c r="A173" s="1" t="s">
        <v>215</v>
      </c>
      <c r="B173" s="4" t="s">
        <v>20</v>
      </c>
      <c r="C173" s="5">
        <v>45657</v>
      </c>
      <c r="D173" s="4" t="s">
        <v>15</v>
      </c>
      <c r="E173" s="4" t="s">
        <v>16</v>
      </c>
      <c r="F173" s="4" t="s">
        <v>17</v>
      </c>
      <c r="G173" s="4">
        <v>10717</v>
      </c>
      <c r="H173" s="4">
        <v>760</v>
      </c>
      <c r="I173" s="4">
        <v>460</v>
      </c>
      <c r="J173" s="4">
        <v>1316</v>
      </c>
      <c r="K173" s="4">
        <v>18164</v>
      </c>
      <c r="L173" s="4">
        <v>240641</v>
      </c>
      <c r="M173" s="4" t="s">
        <v>52</v>
      </c>
      <c r="N173" s="9">
        <f t="shared" si="3"/>
        <v>4.9605013277039242E-2</v>
      </c>
    </row>
    <row r="174" spans="1:14" hidden="1" x14ac:dyDescent="0.25">
      <c r="A174" s="2" t="s">
        <v>216</v>
      </c>
      <c r="B174" s="6" t="s">
        <v>25</v>
      </c>
      <c r="C174" s="7">
        <v>45518</v>
      </c>
      <c r="D174" s="6" t="s">
        <v>39</v>
      </c>
      <c r="E174" s="6" t="s">
        <v>122</v>
      </c>
      <c r="F174" s="6" t="s">
        <v>123</v>
      </c>
      <c r="G174" s="6">
        <v>10150</v>
      </c>
      <c r="H174" s="6">
        <v>526</v>
      </c>
      <c r="I174" s="6">
        <v>888</v>
      </c>
      <c r="J174" s="6">
        <v>1313</v>
      </c>
      <c r="K174" s="6">
        <v>51605</v>
      </c>
      <c r="L174" s="6">
        <v>143409</v>
      </c>
      <c r="M174" s="6" t="s">
        <v>18</v>
      </c>
      <c r="N174" s="8">
        <f t="shared" si="3"/>
        <v>8.0636501195880311E-2</v>
      </c>
    </row>
    <row r="175" spans="1:14" hidden="1" x14ac:dyDescent="0.25">
      <c r="A175" s="1" t="s">
        <v>217</v>
      </c>
      <c r="B175" s="4" t="s">
        <v>14</v>
      </c>
      <c r="C175" s="5">
        <v>45631</v>
      </c>
      <c r="D175" s="4" t="s">
        <v>26</v>
      </c>
      <c r="E175" s="4" t="s">
        <v>32</v>
      </c>
      <c r="F175" s="4" t="s">
        <v>57</v>
      </c>
      <c r="G175" s="4">
        <v>4125</v>
      </c>
      <c r="H175" s="4">
        <v>1364</v>
      </c>
      <c r="I175" s="4">
        <v>319</v>
      </c>
      <c r="J175" s="4">
        <v>2848</v>
      </c>
      <c r="K175" s="4">
        <v>15379</v>
      </c>
      <c r="L175" s="4">
        <v>188159</v>
      </c>
      <c r="M175" s="4" t="s">
        <v>52</v>
      </c>
      <c r="N175" s="9">
        <f t="shared" si="3"/>
        <v>3.0867510988047343E-2</v>
      </c>
    </row>
    <row r="176" spans="1:14" hidden="1" x14ac:dyDescent="0.25">
      <c r="A176" s="2" t="s">
        <v>218</v>
      </c>
      <c r="B176" s="6" t="s">
        <v>20</v>
      </c>
      <c r="C176" s="7">
        <v>45465</v>
      </c>
      <c r="D176" s="6" t="s">
        <v>39</v>
      </c>
      <c r="E176" s="6" t="s">
        <v>16</v>
      </c>
      <c r="F176" s="6" t="s">
        <v>17</v>
      </c>
      <c r="G176" s="6">
        <v>13479</v>
      </c>
      <c r="H176" s="6">
        <v>1189</v>
      </c>
      <c r="I176" s="6">
        <v>695</v>
      </c>
      <c r="J176" s="6">
        <v>416</v>
      </c>
      <c r="K176" s="6">
        <v>30229</v>
      </c>
      <c r="L176" s="6">
        <v>45704</v>
      </c>
      <c r="M176" s="6" t="s">
        <v>18</v>
      </c>
      <c r="N176" s="8">
        <f t="shared" si="3"/>
        <v>0.33614125678277612</v>
      </c>
    </row>
    <row r="177" spans="1:14" hidden="1" x14ac:dyDescent="0.25">
      <c r="A177" s="1" t="s">
        <v>219</v>
      </c>
      <c r="B177" s="4" t="s">
        <v>20</v>
      </c>
      <c r="C177" s="5">
        <v>45938</v>
      </c>
      <c r="D177" s="4" t="s">
        <v>26</v>
      </c>
      <c r="E177" s="4" t="s">
        <v>32</v>
      </c>
      <c r="F177" s="4" t="s">
        <v>57</v>
      </c>
      <c r="G177" s="4">
        <v>17745</v>
      </c>
      <c r="H177" s="4">
        <v>414</v>
      </c>
      <c r="I177" s="4">
        <v>563</v>
      </c>
      <c r="J177" s="4">
        <v>2733</v>
      </c>
      <c r="K177" s="4">
        <v>995</v>
      </c>
      <c r="L177" s="4">
        <v>231648</v>
      </c>
      <c r="M177" s="4" t="s">
        <v>23</v>
      </c>
      <c r="N177" s="9">
        <f t="shared" si="3"/>
        <v>8.0820900676889074E-2</v>
      </c>
    </row>
    <row r="178" spans="1:14" hidden="1" x14ac:dyDescent="0.25">
      <c r="A178" s="2" t="s">
        <v>220</v>
      </c>
      <c r="B178" s="6" t="s">
        <v>47</v>
      </c>
      <c r="C178" s="7">
        <v>45939</v>
      </c>
      <c r="D178" s="6" t="s">
        <v>39</v>
      </c>
      <c r="E178" s="6" t="s">
        <v>27</v>
      </c>
      <c r="F178" s="6" t="s">
        <v>28</v>
      </c>
      <c r="G178" s="6">
        <v>18748</v>
      </c>
      <c r="H178" s="6">
        <v>634</v>
      </c>
      <c r="I178" s="6">
        <v>400</v>
      </c>
      <c r="J178" s="6">
        <v>1667</v>
      </c>
      <c r="K178" s="6">
        <v>75813</v>
      </c>
      <c r="L178" s="6">
        <v>244456</v>
      </c>
      <c r="M178" s="6" t="s">
        <v>23</v>
      </c>
      <c r="N178" s="8">
        <f t="shared" si="3"/>
        <v>8.0922538207284747E-2</v>
      </c>
    </row>
    <row r="179" spans="1:14" hidden="1" x14ac:dyDescent="0.25">
      <c r="A179" s="1" t="s">
        <v>221</v>
      </c>
      <c r="B179" s="4" t="s">
        <v>14</v>
      </c>
      <c r="C179" s="5">
        <v>45483</v>
      </c>
      <c r="D179" s="4" t="s">
        <v>15</v>
      </c>
      <c r="E179" s="4" t="s">
        <v>62</v>
      </c>
      <c r="F179" s="4" t="s">
        <v>37</v>
      </c>
      <c r="G179" s="4">
        <v>8809</v>
      </c>
      <c r="H179" s="4">
        <v>1151</v>
      </c>
      <c r="I179" s="4">
        <v>908</v>
      </c>
      <c r="J179" s="4">
        <v>883</v>
      </c>
      <c r="K179" s="4">
        <v>42921</v>
      </c>
      <c r="L179" s="4">
        <v>151279</v>
      </c>
      <c r="M179" s="4" t="s">
        <v>52</v>
      </c>
      <c r="N179" s="9">
        <f t="shared" si="3"/>
        <v>7.1840771025720687E-2</v>
      </c>
    </row>
    <row r="180" spans="1:14" hidden="1" x14ac:dyDescent="0.25">
      <c r="A180" s="2" t="s">
        <v>222</v>
      </c>
      <c r="B180" s="6" t="s">
        <v>14</v>
      </c>
      <c r="C180" s="7">
        <v>45940</v>
      </c>
      <c r="D180" s="6" t="s">
        <v>39</v>
      </c>
      <c r="E180" s="6" t="s">
        <v>27</v>
      </c>
      <c r="F180" s="6" t="s">
        <v>28</v>
      </c>
      <c r="G180" s="6">
        <v>6621</v>
      </c>
      <c r="H180" s="6">
        <v>922</v>
      </c>
      <c r="I180" s="6">
        <v>930</v>
      </c>
      <c r="J180" s="6">
        <v>694</v>
      </c>
      <c r="K180" s="6">
        <v>839</v>
      </c>
      <c r="L180" s="6">
        <v>243532</v>
      </c>
      <c r="M180" s="6" t="s">
        <v>23</v>
      </c>
      <c r="N180" s="8">
        <f t="shared" si="3"/>
        <v>3.479214230573395E-2</v>
      </c>
    </row>
    <row r="181" spans="1:14" hidden="1" x14ac:dyDescent="0.25">
      <c r="A181" s="1" t="s">
        <v>223</v>
      </c>
      <c r="B181" s="4" t="s">
        <v>25</v>
      </c>
      <c r="C181" s="5">
        <v>45488</v>
      </c>
      <c r="D181" s="4" t="s">
        <v>15</v>
      </c>
      <c r="E181" s="4" t="s">
        <v>32</v>
      </c>
      <c r="F181" s="4" t="s">
        <v>57</v>
      </c>
      <c r="G181" s="4">
        <v>17034</v>
      </c>
      <c r="H181" s="4">
        <v>231</v>
      </c>
      <c r="I181" s="4">
        <v>290</v>
      </c>
      <c r="J181" s="4">
        <v>1387</v>
      </c>
      <c r="K181" s="4">
        <v>63550</v>
      </c>
      <c r="L181" s="4">
        <v>198280</v>
      </c>
      <c r="M181" s="4" t="s">
        <v>52</v>
      </c>
      <c r="N181" s="9">
        <f t="shared" si="3"/>
        <v>8.8536413153116805E-2</v>
      </c>
    </row>
    <row r="182" spans="1:14" hidden="1" x14ac:dyDescent="0.25">
      <c r="A182" s="2" t="s">
        <v>224</v>
      </c>
      <c r="B182" s="6" t="s">
        <v>14</v>
      </c>
      <c r="C182" s="7">
        <v>45941</v>
      </c>
      <c r="D182" s="6" t="s">
        <v>39</v>
      </c>
      <c r="E182" s="6" t="s">
        <v>43</v>
      </c>
      <c r="F182" s="6" t="s">
        <v>44</v>
      </c>
      <c r="G182" s="6">
        <v>15623</v>
      </c>
      <c r="H182" s="6">
        <v>869</v>
      </c>
      <c r="I182" s="6">
        <v>423</v>
      </c>
      <c r="J182" s="6">
        <v>371</v>
      </c>
      <c r="K182" s="6">
        <v>47579</v>
      </c>
      <c r="L182" s="6">
        <v>158516</v>
      </c>
      <c r="M182" s="6" t="s">
        <v>23</v>
      </c>
      <c r="N182" s="8">
        <f t="shared" si="3"/>
        <v>0.10670847106916652</v>
      </c>
    </row>
    <row r="183" spans="1:14" hidden="1" x14ac:dyDescent="0.25">
      <c r="A183" s="1" t="s">
        <v>225</v>
      </c>
      <c r="B183" s="4" t="s">
        <v>25</v>
      </c>
      <c r="C183" s="5">
        <v>45942</v>
      </c>
      <c r="D183" s="4" t="s">
        <v>39</v>
      </c>
      <c r="E183" s="4" t="s">
        <v>43</v>
      </c>
      <c r="F183" s="4" t="s">
        <v>44</v>
      </c>
      <c r="G183" s="4">
        <v>7126</v>
      </c>
      <c r="H183" s="4">
        <v>484</v>
      </c>
      <c r="I183" s="4">
        <v>565</v>
      </c>
      <c r="J183" s="4">
        <v>573</v>
      </c>
      <c r="K183" s="4">
        <v>7389</v>
      </c>
      <c r="L183" s="4">
        <v>237096</v>
      </c>
      <c r="M183" s="4" t="s">
        <v>23</v>
      </c>
      <c r="N183" s="9">
        <f t="shared" si="3"/>
        <v>3.4479704423524646E-2</v>
      </c>
    </row>
    <row r="184" spans="1:14" hidden="1" x14ac:dyDescent="0.25">
      <c r="A184" s="2" t="s">
        <v>226</v>
      </c>
      <c r="B184" s="6" t="s">
        <v>14</v>
      </c>
      <c r="C184" s="7">
        <v>45504</v>
      </c>
      <c r="D184" s="6" t="s">
        <v>31</v>
      </c>
      <c r="E184" s="6" t="s">
        <v>27</v>
      </c>
      <c r="F184" s="6" t="s">
        <v>28</v>
      </c>
      <c r="G184" s="6">
        <v>7122</v>
      </c>
      <c r="H184" s="6">
        <v>628</v>
      </c>
      <c r="I184" s="6">
        <v>757</v>
      </c>
      <c r="J184" s="6">
        <v>2313</v>
      </c>
      <c r="K184" s="6">
        <v>50924</v>
      </c>
      <c r="L184" s="6">
        <v>210954</v>
      </c>
      <c r="M184" s="6" t="s">
        <v>52</v>
      </c>
      <c r="N184" s="8">
        <f t="shared" si="3"/>
        <v>4.0326327066564277E-2</v>
      </c>
    </row>
    <row r="185" spans="1:14" hidden="1" x14ac:dyDescent="0.25">
      <c r="A185" s="1" t="s">
        <v>227</v>
      </c>
      <c r="B185" s="4" t="s">
        <v>47</v>
      </c>
      <c r="C185" s="5">
        <v>45643</v>
      </c>
      <c r="D185" s="4" t="s">
        <v>15</v>
      </c>
      <c r="E185" s="4" t="s">
        <v>43</v>
      </c>
      <c r="F185" s="4" t="s">
        <v>44</v>
      </c>
      <c r="G185" s="4">
        <v>20030</v>
      </c>
      <c r="H185" s="4">
        <v>485</v>
      </c>
      <c r="I185" s="4">
        <v>888</v>
      </c>
      <c r="J185" s="4">
        <v>1643</v>
      </c>
      <c r="K185" s="4">
        <v>4322</v>
      </c>
      <c r="L185" s="4">
        <v>196995</v>
      </c>
      <c r="M185" s="4" t="s">
        <v>29</v>
      </c>
      <c r="N185" s="9">
        <f t="shared" si="3"/>
        <v>0.10864742759968526</v>
      </c>
    </row>
    <row r="186" spans="1:14" hidden="1" x14ac:dyDescent="0.25">
      <c r="A186" s="2" t="s">
        <v>228</v>
      </c>
      <c r="B186" s="6" t="s">
        <v>14</v>
      </c>
      <c r="C186" s="7">
        <v>45943</v>
      </c>
      <c r="D186" s="6" t="s">
        <v>31</v>
      </c>
      <c r="E186" s="6" t="s">
        <v>32</v>
      </c>
      <c r="F186" s="6" t="s">
        <v>57</v>
      </c>
      <c r="G186" s="6">
        <v>19302</v>
      </c>
      <c r="H186" s="6">
        <v>1367</v>
      </c>
      <c r="I186" s="6">
        <v>188</v>
      </c>
      <c r="J186" s="6">
        <v>637</v>
      </c>
      <c r="K186" s="6">
        <v>31404</v>
      </c>
      <c r="L186" s="6">
        <v>154044</v>
      </c>
      <c r="M186" s="6" t="s">
        <v>23</v>
      </c>
      <c r="N186" s="8">
        <f t="shared" si="3"/>
        <v>0.13539638025499209</v>
      </c>
    </row>
    <row r="187" spans="1:14" x14ac:dyDescent="0.25">
      <c r="A187" s="24" t="s">
        <v>167</v>
      </c>
      <c r="B187" s="24" t="s">
        <v>47</v>
      </c>
      <c r="C187" s="25">
        <v>45457</v>
      </c>
      <c r="D187" s="24" t="s">
        <v>31</v>
      </c>
      <c r="E187" s="24" t="s">
        <v>32</v>
      </c>
      <c r="F187" s="24" t="s">
        <v>57</v>
      </c>
      <c r="G187" s="24">
        <v>17183</v>
      </c>
      <c r="H187" s="24">
        <v>1224</v>
      </c>
      <c r="I187" s="24">
        <v>943</v>
      </c>
      <c r="J187" s="24">
        <v>2010</v>
      </c>
      <c r="K187" s="24">
        <v>21481</v>
      </c>
      <c r="L187" s="24">
        <v>49110</v>
      </c>
      <c r="M187" s="24" t="s">
        <v>29</v>
      </c>
      <c r="N187" s="48">
        <f t="shared" si="3"/>
        <v>0.39401343921808185</v>
      </c>
    </row>
    <row r="188" spans="1:14" hidden="1" x14ac:dyDescent="0.25">
      <c r="A188" s="17" t="s">
        <v>230</v>
      </c>
      <c r="B188" s="18" t="s">
        <v>25</v>
      </c>
      <c r="C188" s="19">
        <v>45528</v>
      </c>
      <c r="D188" s="18" t="s">
        <v>31</v>
      </c>
      <c r="E188" s="18" t="s">
        <v>27</v>
      </c>
      <c r="F188" s="18" t="s">
        <v>28</v>
      </c>
      <c r="G188" s="18">
        <v>24890</v>
      </c>
      <c r="H188" s="18">
        <v>217</v>
      </c>
      <c r="I188" s="18">
        <v>178</v>
      </c>
      <c r="J188" s="18">
        <v>906</v>
      </c>
      <c r="K188" s="18">
        <v>54826</v>
      </c>
      <c r="L188" s="18">
        <v>107203</v>
      </c>
      <c r="M188" s="18" t="s">
        <v>29</v>
      </c>
      <c r="N188" s="20">
        <f t="shared" si="3"/>
        <v>0.23586093672751696</v>
      </c>
    </row>
    <row r="189" spans="1:14" hidden="1" x14ac:dyDescent="0.25">
      <c r="A189" s="1" t="s">
        <v>231</v>
      </c>
      <c r="B189" s="4" t="s">
        <v>47</v>
      </c>
      <c r="C189" s="5">
        <v>45648</v>
      </c>
      <c r="D189" s="4" t="s">
        <v>26</v>
      </c>
      <c r="E189" s="4" t="s">
        <v>122</v>
      </c>
      <c r="F189" s="4" t="s">
        <v>123</v>
      </c>
      <c r="G189" s="4">
        <v>7870</v>
      </c>
      <c r="H189" s="4">
        <v>968</v>
      </c>
      <c r="I189" s="4">
        <v>626</v>
      </c>
      <c r="J189" s="4">
        <v>465</v>
      </c>
      <c r="K189" s="4">
        <v>27184</v>
      </c>
      <c r="L189" s="4">
        <v>44114</v>
      </c>
      <c r="M189" s="4" t="s">
        <v>52</v>
      </c>
      <c r="N189" s="9">
        <f t="shared" si="3"/>
        <v>0.2145350682323072</v>
      </c>
    </row>
    <row r="190" spans="1:14" hidden="1" x14ac:dyDescent="0.25">
      <c r="A190" s="2" t="s">
        <v>232</v>
      </c>
      <c r="B190" s="6" t="s">
        <v>14</v>
      </c>
      <c r="C190" s="7">
        <v>45449</v>
      </c>
      <c r="D190" s="6" t="s">
        <v>39</v>
      </c>
      <c r="E190" s="6" t="s">
        <v>122</v>
      </c>
      <c r="F190" s="6" t="s">
        <v>123</v>
      </c>
      <c r="G190" s="6">
        <v>3531</v>
      </c>
      <c r="H190" s="6">
        <v>789</v>
      </c>
      <c r="I190" s="6">
        <v>467</v>
      </c>
      <c r="J190" s="6">
        <v>1867</v>
      </c>
      <c r="K190" s="6">
        <v>40816</v>
      </c>
      <c r="L190" s="6">
        <v>236037</v>
      </c>
      <c r="M190" s="6" t="s">
        <v>29</v>
      </c>
      <c r="N190" s="8">
        <f t="shared" si="3"/>
        <v>2.0280718700881641E-2</v>
      </c>
    </row>
    <row r="191" spans="1:14" hidden="1" x14ac:dyDescent="0.25">
      <c r="A191" s="1" t="s">
        <v>233</v>
      </c>
      <c r="B191" s="4" t="s">
        <v>14</v>
      </c>
      <c r="C191" s="5">
        <v>45740</v>
      </c>
      <c r="D191" s="4" t="s">
        <v>15</v>
      </c>
      <c r="E191" s="4" t="s">
        <v>37</v>
      </c>
      <c r="F191" s="4"/>
      <c r="G191" s="4">
        <v>10172</v>
      </c>
      <c r="H191" s="4">
        <v>1398</v>
      </c>
      <c r="I191" s="4">
        <v>394</v>
      </c>
      <c r="J191" s="4">
        <v>2358</v>
      </c>
      <c r="K191" s="4">
        <v>59610</v>
      </c>
      <c r="L191" s="4">
        <v>76321</v>
      </c>
      <c r="M191" s="4" t="s">
        <v>34</v>
      </c>
      <c r="N191" s="9">
        <f t="shared" si="3"/>
        <v>0.15675895231980713</v>
      </c>
    </row>
    <row r="192" spans="1:14" hidden="1" x14ac:dyDescent="0.25">
      <c r="A192" s="2" t="s">
        <v>234</v>
      </c>
      <c r="B192" s="6" t="s">
        <v>47</v>
      </c>
      <c r="C192" s="7">
        <v>45569</v>
      </c>
      <c r="D192" s="6" t="s">
        <v>15</v>
      </c>
      <c r="E192" s="6" t="s">
        <v>40</v>
      </c>
      <c r="F192" s="6" t="s">
        <v>41</v>
      </c>
      <c r="G192" s="6">
        <v>21729</v>
      </c>
      <c r="H192" s="6">
        <v>1209</v>
      </c>
      <c r="I192" s="6">
        <v>897</v>
      </c>
      <c r="J192" s="6">
        <v>1624</v>
      </c>
      <c r="K192" s="6">
        <v>38771</v>
      </c>
      <c r="L192" s="6">
        <v>113297</v>
      </c>
      <c r="M192" s="6" t="s">
        <v>34</v>
      </c>
      <c r="N192" s="8">
        <f t="shared" si="3"/>
        <v>0.21037626768581694</v>
      </c>
    </row>
    <row r="193" spans="1:14" hidden="1" x14ac:dyDescent="0.25">
      <c r="A193" s="1" t="s">
        <v>235</v>
      </c>
      <c r="B193" s="4" t="s">
        <v>14</v>
      </c>
      <c r="C193" s="5">
        <v>45944</v>
      </c>
      <c r="D193" s="4" t="s">
        <v>39</v>
      </c>
      <c r="E193" s="4" t="s">
        <v>62</v>
      </c>
      <c r="F193" s="4" t="s">
        <v>37</v>
      </c>
      <c r="G193" s="4">
        <v>9673</v>
      </c>
      <c r="H193" s="4">
        <v>393</v>
      </c>
      <c r="I193" s="4">
        <v>846</v>
      </c>
      <c r="J193" s="4">
        <v>1028</v>
      </c>
      <c r="K193" s="4">
        <v>55556</v>
      </c>
      <c r="L193" s="4">
        <v>136652</v>
      </c>
      <c r="M193" s="4" t="s">
        <v>23</v>
      </c>
      <c r="N193" s="9">
        <f t="shared" si="3"/>
        <v>7.9852471972601938E-2</v>
      </c>
    </row>
    <row r="194" spans="1:14" hidden="1" x14ac:dyDescent="0.25">
      <c r="A194" s="2" t="s">
        <v>236</v>
      </c>
      <c r="B194" s="6" t="s">
        <v>14</v>
      </c>
      <c r="C194" s="7">
        <v>45945</v>
      </c>
      <c r="D194" s="6" t="s">
        <v>15</v>
      </c>
      <c r="E194" s="6" t="s">
        <v>43</v>
      </c>
      <c r="F194" s="6" t="s">
        <v>44</v>
      </c>
      <c r="G194" s="6">
        <v>8882</v>
      </c>
      <c r="H194" s="6">
        <v>701</v>
      </c>
      <c r="I194" s="6">
        <v>421</v>
      </c>
      <c r="J194" s="6">
        <v>2343</v>
      </c>
      <c r="K194" s="6">
        <v>13588</v>
      </c>
      <c r="L194" s="6">
        <v>139304</v>
      </c>
      <c r="M194" s="6" t="s">
        <v>23</v>
      </c>
      <c r="N194" s="8">
        <f t="shared" si="3"/>
        <v>7.1814161833113191E-2</v>
      </c>
    </row>
    <row r="195" spans="1:14" hidden="1" x14ac:dyDescent="0.25">
      <c r="A195" s="1" t="s">
        <v>237</v>
      </c>
      <c r="B195" s="4" t="s">
        <v>25</v>
      </c>
      <c r="C195" s="5">
        <v>45546</v>
      </c>
      <c r="D195" s="4" t="s">
        <v>15</v>
      </c>
      <c r="E195" s="4" t="s">
        <v>43</v>
      </c>
      <c r="F195" s="4" t="s">
        <v>44</v>
      </c>
      <c r="G195" s="4">
        <v>3906</v>
      </c>
      <c r="H195" s="4">
        <v>1187</v>
      </c>
      <c r="I195" s="4">
        <v>589</v>
      </c>
      <c r="J195" s="4">
        <v>401</v>
      </c>
      <c r="K195" s="4">
        <v>52687</v>
      </c>
      <c r="L195" s="4">
        <v>196498</v>
      </c>
      <c r="M195" s="4" t="s">
        <v>18</v>
      </c>
      <c r="N195" s="9">
        <f t="shared" si="3"/>
        <v>2.8916324848090057E-2</v>
      </c>
    </row>
    <row r="196" spans="1:14" hidden="1" x14ac:dyDescent="0.25">
      <c r="A196" s="2" t="s">
        <v>238</v>
      </c>
      <c r="B196" s="6" t="s">
        <v>14</v>
      </c>
      <c r="C196" s="7">
        <v>45567</v>
      </c>
      <c r="D196" s="6" t="s">
        <v>31</v>
      </c>
      <c r="E196" s="6" t="s">
        <v>40</v>
      </c>
      <c r="F196" s="6" t="s">
        <v>41</v>
      </c>
      <c r="G196" s="6">
        <v>5086</v>
      </c>
      <c r="H196" s="6">
        <v>1336</v>
      </c>
      <c r="I196" s="6">
        <v>897</v>
      </c>
      <c r="J196" s="6">
        <v>1715</v>
      </c>
      <c r="K196" s="6">
        <v>60592</v>
      </c>
      <c r="L196" s="6">
        <v>57772</v>
      </c>
      <c r="M196" s="6" t="s">
        <v>29</v>
      </c>
      <c r="N196" s="8">
        <f t="shared" si="3"/>
        <v>0.12668766876687668</v>
      </c>
    </row>
    <row r="197" spans="1:14" hidden="1" x14ac:dyDescent="0.25">
      <c r="A197" s="1" t="s">
        <v>239</v>
      </c>
      <c r="B197" s="4" t="s">
        <v>14</v>
      </c>
      <c r="C197" s="5">
        <v>45519</v>
      </c>
      <c r="D197" s="4" t="s">
        <v>15</v>
      </c>
      <c r="E197" s="4" t="s">
        <v>48</v>
      </c>
      <c r="F197" s="4" t="s">
        <v>32</v>
      </c>
      <c r="G197" s="4">
        <v>15503</v>
      </c>
      <c r="H197" s="4">
        <v>313</v>
      </c>
      <c r="I197" s="4">
        <v>388</v>
      </c>
      <c r="J197" s="4">
        <v>1078</v>
      </c>
      <c r="K197" s="4">
        <v>11500</v>
      </c>
      <c r="L197" s="4">
        <v>143754</v>
      </c>
      <c r="M197" s="4" t="s">
        <v>34</v>
      </c>
      <c r="N197" s="9">
        <f t="shared" si="3"/>
        <v>0.1127203416948398</v>
      </c>
    </row>
    <row r="198" spans="1:14" hidden="1" x14ac:dyDescent="0.25">
      <c r="A198" s="2" t="s">
        <v>240</v>
      </c>
      <c r="B198" s="6" t="s">
        <v>47</v>
      </c>
      <c r="C198" s="7">
        <v>45918</v>
      </c>
      <c r="D198" s="6" t="s">
        <v>26</v>
      </c>
      <c r="E198" s="6" t="s">
        <v>71</v>
      </c>
      <c r="F198" s="6"/>
      <c r="G198" s="6">
        <v>10152</v>
      </c>
      <c r="H198" s="6">
        <v>1445</v>
      </c>
      <c r="I198" s="6">
        <v>526</v>
      </c>
      <c r="J198" s="6">
        <v>513</v>
      </c>
      <c r="K198" s="6">
        <v>18959</v>
      </c>
      <c r="L198" s="6">
        <v>43712</v>
      </c>
      <c r="M198" s="6" t="s">
        <v>23</v>
      </c>
      <c r="N198" s="8">
        <f t="shared" si="3"/>
        <v>0.27733803074670571</v>
      </c>
    </row>
    <row r="199" spans="1:14" hidden="1" x14ac:dyDescent="0.25">
      <c r="A199" s="1" t="s">
        <v>241</v>
      </c>
      <c r="B199" s="4" t="s">
        <v>47</v>
      </c>
      <c r="C199" s="5">
        <v>45587</v>
      </c>
      <c r="D199" s="4" t="s">
        <v>26</v>
      </c>
      <c r="E199" s="4" t="s">
        <v>27</v>
      </c>
      <c r="F199" s="4" t="s">
        <v>28</v>
      </c>
      <c r="G199" s="4">
        <v>7750</v>
      </c>
      <c r="H199" s="4">
        <v>1146</v>
      </c>
      <c r="I199" s="4">
        <v>415</v>
      </c>
      <c r="J199" s="4">
        <v>1411</v>
      </c>
      <c r="K199" s="4">
        <v>85339</v>
      </c>
      <c r="L199" s="4">
        <v>172439</v>
      </c>
      <c r="M199" s="4" t="s">
        <v>29</v>
      </c>
      <c r="N199" s="9">
        <f t="shared" si="3"/>
        <v>5.3995905798572247E-2</v>
      </c>
    </row>
    <row r="200" spans="1:14" hidden="1" x14ac:dyDescent="0.25">
      <c r="A200" s="2" t="s">
        <v>242</v>
      </c>
      <c r="B200" s="6" t="s">
        <v>20</v>
      </c>
      <c r="C200" s="7">
        <v>45919</v>
      </c>
      <c r="D200" s="6" t="s">
        <v>39</v>
      </c>
      <c r="E200" s="6" t="s">
        <v>32</v>
      </c>
      <c r="F200" s="6" t="s">
        <v>33</v>
      </c>
      <c r="G200" s="6">
        <v>14772</v>
      </c>
      <c r="H200" s="6">
        <v>1030</v>
      </c>
      <c r="I200" s="6">
        <v>508</v>
      </c>
      <c r="J200" s="6">
        <v>1876</v>
      </c>
      <c r="K200" s="6">
        <v>8882</v>
      </c>
      <c r="L200" s="6">
        <v>155142</v>
      </c>
      <c r="M200" s="6" t="s">
        <v>23</v>
      </c>
      <c r="N200" s="8">
        <f t="shared" si="3"/>
        <v>0.10512949426976577</v>
      </c>
    </row>
    <row r="201" spans="1:14" hidden="1" x14ac:dyDescent="0.25">
      <c r="A201" s="1" t="s">
        <v>243</v>
      </c>
      <c r="B201" s="4" t="s">
        <v>25</v>
      </c>
      <c r="C201" s="5">
        <v>45920</v>
      </c>
      <c r="D201" s="4" t="s">
        <v>15</v>
      </c>
      <c r="E201" s="4" t="s">
        <v>43</v>
      </c>
      <c r="F201" s="4" t="s">
        <v>44</v>
      </c>
      <c r="G201" s="4">
        <v>12267</v>
      </c>
      <c r="H201" s="4">
        <v>1487</v>
      </c>
      <c r="I201" s="4">
        <v>489</v>
      </c>
      <c r="J201" s="4">
        <v>2748</v>
      </c>
      <c r="K201" s="4">
        <v>34685</v>
      </c>
      <c r="L201" s="4">
        <v>131736</v>
      </c>
      <c r="M201" s="4" t="s">
        <v>23</v>
      </c>
      <c r="N201" s="9">
        <f t="shared" si="3"/>
        <v>0.1081177506528208</v>
      </c>
    </row>
    <row r="202" spans="1:14" hidden="1" x14ac:dyDescent="0.25">
      <c r="A202" s="2" t="s">
        <v>244</v>
      </c>
      <c r="B202" s="6" t="s">
        <v>14</v>
      </c>
      <c r="C202" s="7">
        <v>45754</v>
      </c>
      <c r="D202" s="6" t="s">
        <v>39</v>
      </c>
      <c r="E202" s="6" t="s">
        <v>62</v>
      </c>
      <c r="F202" s="6" t="s">
        <v>37</v>
      </c>
      <c r="G202" s="6">
        <v>3062</v>
      </c>
      <c r="H202" s="6">
        <v>1124</v>
      </c>
      <c r="I202" s="6">
        <v>538</v>
      </c>
      <c r="J202" s="6">
        <v>2935</v>
      </c>
      <c r="K202" s="6">
        <v>69749</v>
      </c>
      <c r="L202" s="6">
        <v>91924</v>
      </c>
      <c r="M202" s="6" t="s">
        <v>34</v>
      </c>
      <c r="N202" s="8">
        <f t="shared" si="3"/>
        <v>5.1390278926069365E-2</v>
      </c>
    </row>
    <row r="203" spans="1:14" x14ac:dyDescent="0.25">
      <c r="A203" s="24" t="s">
        <v>331</v>
      </c>
      <c r="B203" s="24" t="s">
        <v>25</v>
      </c>
      <c r="C203" s="25">
        <v>45519</v>
      </c>
      <c r="D203" s="24" t="s">
        <v>31</v>
      </c>
      <c r="E203" s="24" t="s">
        <v>32</v>
      </c>
      <c r="F203" s="24" t="s">
        <v>33</v>
      </c>
      <c r="G203" s="24">
        <v>14977</v>
      </c>
      <c r="H203" s="24">
        <v>274</v>
      </c>
      <c r="I203" s="24">
        <v>798</v>
      </c>
      <c r="J203" s="24">
        <v>458</v>
      </c>
      <c r="K203" s="24">
        <v>6636</v>
      </c>
      <c r="L203" s="24">
        <v>43654</v>
      </c>
      <c r="M203" s="24" t="s">
        <v>18</v>
      </c>
      <c r="N203" s="48">
        <f t="shared" si="3"/>
        <v>0.36764099509781462</v>
      </c>
    </row>
    <row r="204" spans="1:14" hidden="1" x14ac:dyDescent="0.25">
      <c r="A204" s="17" t="s">
        <v>246</v>
      </c>
      <c r="B204" s="18" t="s">
        <v>20</v>
      </c>
      <c r="C204" s="19">
        <v>45921</v>
      </c>
      <c r="D204" s="18" t="s">
        <v>15</v>
      </c>
      <c r="E204" s="18" t="s">
        <v>122</v>
      </c>
      <c r="F204" s="18" t="s">
        <v>123</v>
      </c>
      <c r="G204" s="18">
        <v>19680</v>
      </c>
      <c r="H204" s="18">
        <v>999</v>
      </c>
      <c r="I204" s="18">
        <v>838</v>
      </c>
      <c r="J204" s="18">
        <v>891</v>
      </c>
      <c r="K204" s="18">
        <v>29576</v>
      </c>
      <c r="L204" s="18">
        <v>129152</v>
      </c>
      <c r="M204" s="18" t="s">
        <v>23</v>
      </c>
      <c r="N204" s="20">
        <f t="shared" si="3"/>
        <v>0.16660214321110009</v>
      </c>
    </row>
    <row r="205" spans="1:14" hidden="1" x14ac:dyDescent="0.25">
      <c r="A205" s="1" t="s">
        <v>247</v>
      </c>
      <c r="B205" s="4" t="s">
        <v>14</v>
      </c>
      <c r="C205" s="5">
        <v>45617</v>
      </c>
      <c r="D205" s="4" t="s">
        <v>15</v>
      </c>
      <c r="E205" s="4" t="s">
        <v>43</v>
      </c>
      <c r="F205" s="4" t="s">
        <v>44</v>
      </c>
      <c r="G205" s="4">
        <v>8229</v>
      </c>
      <c r="H205" s="4">
        <v>977</v>
      </c>
      <c r="I205" s="4">
        <v>152</v>
      </c>
      <c r="J205" s="4">
        <v>1633</v>
      </c>
      <c r="K205" s="4">
        <v>71447</v>
      </c>
      <c r="L205" s="4">
        <v>67723</v>
      </c>
      <c r="M205" s="4" t="s">
        <v>52</v>
      </c>
      <c r="N205" s="9">
        <f t="shared" si="3"/>
        <v>0.13818052950991538</v>
      </c>
    </row>
    <row r="206" spans="1:14" hidden="1" x14ac:dyDescent="0.25">
      <c r="A206" s="2" t="s">
        <v>248</v>
      </c>
      <c r="B206" s="6" t="s">
        <v>25</v>
      </c>
      <c r="C206" s="7">
        <v>45922</v>
      </c>
      <c r="D206" s="6" t="s">
        <v>39</v>
      </c>
      <c r="E206" s="6" t="s">
        <v>37</v>
      </c>
      <c r="F206" s="6"/>
      <c r="G206" s="6">
        <v>18509</v>
      </c>
      <c r="H206" s="6">
        <v>361</v>
      </c>
      <c r="I206" s="6">
        <v>578</v>
      </c>
      <c r="J206" s="6">
        <v>1409</v>
      </c>
      <c r="K206" s="6">
        <v>10569</v>
      </c>
      <c r="L206" s="6">
        <v>166969</v>
      </c>
      <c r="M206" s="6" t="s">
        <v>23</v>
      </c>
      <c r="N206" s="8">
        <f t="shared" si="3"/>
        <v>0.11647671124580011</v>
      </c>
    </row>
    <row r="207" spans="1:14" hidden="1" x14ac:dyDescent="0.25">
      <c r="A207" s="1" t="s">
        <v>249</v>
      </c>
      <c r="B207" s="4" t="s">
        <v>20</v>
      </c>
      <c r="C207" s="5">
        <v>45923</v>
      </c>
      <c r="D207" s="4" t="s">
        <v>26</v>
      </c>
      <c r="E207" s="4" t="s">
        <v>32</v>
      </c>
      <c r="F207" s="4" t="s">
        <v>57</v>
      </c>
      <c r="G207" s="4">
        <v>17147</v>
      </c>
      <c r="H207" s="4">
        <v>286</v>
      </c>
      <c r="I207" s="4">
        <v>291</v>
      </c>
      <c r="J207" s="4">
        <v>2439</v>
      </c>
      <c r="K207" s="4">
        <v>45631</v>
      </c>
      <c r="L207" s="4">
        <v>140494</v>
      </c>
      <c r="M207" s="4" t="s">
        <v>23</v>
      </c>
      <c r="N207" s="9">
        <f t="shared" ref="N207:N270" si="4">(G207+H207+I207)/L207</f>
        <v>0.12615485358805359</v>
      </c>
    </row>
    <row r="208" spans="1:14" hidden="1" x14ac:dyDescent="0.25">
      <c r="A208" s="2" t="s">
        <v>250</v>
      </c>
      <c r="B208" s="6" t="s">
        <v>25</v>
      </c>
      <c r="C208" s="7">
        <v>45467</v>
      </c>
      <c r="D208" s="6" t="s">
        <v>15</v>
      </c>
      <c r="E208" s="6" t="s">
        <v>32</v>
      </c>
      <c r="F208" s="6" t="s">
        <v>57</v>
      </c>
      <c r="G208" s="6">
        <v>6632</v>
      </c>
      <c r="H208" s="6">
        <v>254</v>
      </c>
      <c r="I208" s="6">
        <v>525</v>
      </c>
      <c r="J208" s="6">
        <v>1013</v>
      </c>
      <c r="K208" s="6">
        <v>13838</v>
      </c>
      <c r="L208" s="6">
        <v>180180</v>
      </c>
      <c r="M208" s="6" t="s">
        <v>18</v>
      </c>
      <c r="N208" s="8">
        <f t="shared" si="4"/>
        <v>4.1131091131091133E-2</v>
      </c>
    </row>
    <row r="209" spans="1:14" hidden="1" x14ac:dyDescent="0.25">
      <c r="A209" s="1" t="s">
        <v>251</v>
      </c>
      <c r="B209" s="4" t="s">
        <v>20</v>
      </c>
      <c r="C209" s="5">
        <v>45655</v>
      </c>
      <c r="D209" s="4" t="s">
        <v>39</v>
      </c>
      <c r="E209" s="4" t="s">
        <v>71</v>
      </c>
      <c r="F209" s="4"/>
      <c r="G209" s="4">
        <v>8288</v>
      </c>
      <c r="H209" s="4">
        <v>1401</v>
      </c>
      <c r="I209" s="4">
        <v>819</v>
      </c>
      <c r="J209" s="4">
        <v>1235</v>
      </c>
      <c r="K209" s="4">
        <v>33446</v>
      </c>
      <c r="L209" s="4">
        <v>248786</v>
      </c>
      <c r="M209" s="4" t="s">
        <v>18</v>
      </c>
      <c r="N209" s="9">
        <f t="shared" si="4"/>
        <v>4.2237103373984064E-2</v>
      </c>
    </row>
    <row r="210" spans="1:14" hidden="1" x14ac:dyDescent="0.25">
      <c r="A210" s="2" t="s">
        <v>252</v>
      </c>
      <c r="B210" s="6" t="s">
        <v>20</v>
      </c>
      <c r="C210" s="7">
        <v>45467</v>
      </c>
      <c r="D210" s="6" t="s">
        <v>26</v>
      </c>
      <c r="E210" s="6" t="s">
        <v>21</v>
      </c>
      <c r="F210" s="6" t="s">
        <v>22</v>
      </c>
      <c r="G210" s="6">
        <v>5596</v>
      </c>
      <c r="H210" s="6">
        <v>1231</v>
      </c>
      <c r="I210" s="6">
        <v>473</v>
      </c>
      <c r="J210" s="6">
        <v>2251</v>
      </c>
      <c r="K210" s="6">
        <v>43705</v>
      </c>
      <c r="L210" s="6">
        <v>75643</v>
      </c>
      <c r="M210" s="6" t="s">
        <v>18</v>
      </c>
      <c r="N210" s="8">
        <f t="shared" si="4"/>
        <v>9.6505955607260427E-2</v>
      </c>
    </row>
    <row r="211" spans="1:14" hidden="1" x14ac:dyDescent="0.25">
      <c r="A211" s="1" t="s">
        <v>253</v>
      </c>
      <c r="B211" s="4" t="s">
        <v>47</v>
      </c>
      <c r="C211" s="5">
        <v>45735</v>
      </c>
      <c r="D211" s="4" t="s">
        <v>39</v>
      </c>
      <c r="E211" s="4" t="s">
        <v>32</v>
      </c>
      <c r="F211" s="4" t="s">
        <v>33</v>
      </c>
      <c r="G211" s="4">
        <v>13475</v>
      </c>
      <c r="H211" s="4">
        <v>1032</v>
      </c>
      <c r="I211" s="4">
        <v>295</v>
      </c>
      <c r="J211" s="4">
        <v>541</v>
      </c>
      <c r="K211" s="4">
        <v>43666</v>
      </c>
      <c r="L211" s="4">
        <v>202396</v>
      </c>
      <c r="M211" s="4" t="s">
        <v>52</v>
      </c>
      <c r="N211" s="9">
        <f t="shared" si="4"/>
        <v>7.3133856400324118E-2</v>
      </c>
    </row>
    <row r="212" spans="1:14" hidden="1" x14ac:dyDescent="0.25">
      <c r="A212" s="2" t="s">
        <v>254</v>
      </c>
      <c r="B212" s="6" t="s">
        <v>25</v>
      </c>
      <c r="C212" s="7">
        <v>45707</v>
      </c>
      <c r="D212" s="6" t="s">
        <v>31</v>
      </c>
      <c r="E212" s="6" t="s">
        <v>48</v>
      </c>
      <c r="F212" s="6" t="s">
        <v>32</v>
      </c>
      <c r="G212" s="6">
        <v>8168</v>
      </c>
      <c r="H212" s="6">
        <v>512</v>
      </c>
      <c r="I212" s="6">
        <v>442</v>
      </c>
      <c r="J212" s="6">
        <v>2343</v>
      </c>
      <c r="K212" s="6">
        <v>2753</v>
      </c>
      <c r="L212" s="6">
        <v>143896</v>
      </c>
      <c r="M212" s="6" t="s">
        <v>52</v>
      </c>
      <c r="N212" s="8">
        <f t="shared" si="4"/>
        <v>6.3393006059932172E-2</v>
      </c>
    </row>
    <row r="213" spans="1:14" hidden="1" x14ac:dyDescent="0.25">
      <c r="A213" s="1" t="s">
        <v>255</v>
      </c>
      <c r="B213" s="4" t="s">
        <v>14</v>
      </c>
      <c r="C213" s="5">
        <v>45924</v>
      </c>
      <c r="D213" s="4" t="s">
        <v>15</v>
      </c>
      <c r="E213" s="4" t="s">
        <v>71</v>
      </c>
      <c r="F213" s="4"/>
      <c r="G213" s="4">
        <v>11795</v>
      </c>
      <c r="H213" s="4">
        <v>958</v>
      </c>
      <c r="I213" s="4">
        <v>814</v>
      </c>
      <c r="J213" s="4">
        <v>301</v>
      </c>
      <c r="K213" s="4">
        <v>12564</v>
      </c>
      <c r="L213" s="4">
        <v>179999</v>
      </c>
      <c r="M213" s="4" t="s">
        <v>23</v>
      </c>
      <c r="N213" s="9">
        <f t="shared" si="4"/>
        <v>7.5372640959116444E-2</v>
      </c>
    </row>
    <row r="214" spans="1:14" hidden="1" x14ac:dyDescent="0.25">
      <c r="A214" s="2" t="s">
        <v>256</v>
      </c>
      <c r="B214" s="6" t="s">
        <v>14</v>
      </c>
      <c r="C214" s="7">
        <v>45719</v>
      </c>
      <c r="D214" s="6" t="s">
        <v>31</v>
      </c>
      <c r="E214" s="6" t="s">
        <v>16</v>
      </c>
      <c r="F214" s="6" t="s">
        <v>17</v>
      </c>
      <c r="G214" s="6">
        <v>9561</v>
      </c>
      <c r="H214" s="6">
        <v>642</v>
      </c>
      <c r="I214" s="6">
        <v>581</v>
      </c>
      <c r="J214" s="6">
        <v>2572</v>
      </c>
      <c r="K214" s="6">
        <v>38552</v>
      </c>
      <c r="L214" s="6">
        <v>133680</v>
      </c>
      <c r="M214" s="6" t="s">
        <v>18</v>
      </c>
      <c r="N214" s="8">
        <f t="shared" si="4"/>
        <v>8.0670257330939563E-2</v>
      </c>
    </row>
    <row r="215" spans="1:14" hidden="1" x14ac:dyDescent="0.25">
      <c r="A215" s="1" t="s">
        <v>257</v>
      </c>
      <c r="B215" s="4" t="s">
        <v>25</v>
      </c>
      <c r="C215" s="5">
        <v>45778</v>
      </c>
      <c r="D215" s="4" t="s">
        <v>26</v>
      </c>
      <c r="E215" s="4" t="s">
        <v>48</v>
      </c>
      <c r="F215" s="4" t="s">
        <v>32</v>
      </c>
      <c r="G215" s="4">
        <v>10258</v>
      </c>
      <c r="H215" s="4">
        <v>527</v>
      </c>
      <c r="I215" s="4">
        <v>854</v>
      </c>
      <c r="J215" s="4">
        <v>2068</v>
      </c>
      <c r="K215" s="4">
        <v>45632</v>
      </c>
      <c r="L215" s="4">
        <v>136546</v>
      </c>
      <c r="M215" s="4" t="s">
        <v>52</v>
      </c>
      <c r="N215" s="9">
        <f t="shared" si="4"/>
        <v>8.5238674146441498E-2</v>
      </c>
    </row>
    <row r="216" spans="1:14" hidden="1" x14ac:dyDescent="0.25">
      <c r="A216" s="2" t="s">
        <v>258</v>
      </c>
      <c r="B216" s="6" t="s">
        <v>14</v>
      </c>
      <c r="C216" s="7">
        <v>45649</v>
      </c>
      <c r="D216" s="6" t="s">
        <v>31</v>
      </c>
      <c r="E216" s="6" t="s">
        <v>27</v>
      </c>
      <c r="F216" s="6" t="s">
        <v>28</v>
      </c>
      <c r="G216" s="6">
        <v>18616</v>
      </c>
      <c r="H216" s="6">
        <v>1277</v>
      </c>
      <c r="I216" s="6">
        <v>734</v>
      </c>
      <c r="J216" s="6">
        <v>2249</v>
      </c>
      <c r="K216" s="6">
        <v>3399</v>
      </c>
      <c r="L216" s="6">
        <v>193515</v>
      </c>
      <c r="M216" s="6" t="s">
        <v>34</v>
      </c>
      <c r="N216" s="8">
        <f t="shared" si="4"/>
        <v>0.10659122031883833</v>
      </c>
    </row>
    <row r="217" spans="1:14" hidden="1" x14ac:dyDescent="0.25">
      <c r="A217" s="1" t="s">
        <v>259</v>
      </c>
      <c r="B217" s="4" t="s">
        <v>14</v>
      </c>
      <c r="C217" s="5">
        <v>45925</v>
      </c>
      <c r="D217" s="4" t="s">
        <v>31</v>
      </c>
      <c r="E217" s="4" t="s">
        <v>62</v>
      </c>
      <c r="F217" s="4" t="s">
        <v>37</v>
      </c>
      <c r="G217" s="4">
        <v>8371</v>
      </c>
      <c r="H217" s="4">
        <v>960</v>
      </c>
      <c r="I217" s="4">
        <v>548</v>
      </c>
      <c r="J217" s="4">
        <v>2936</v>
      </c>
      <c r="K217" s="4">
        <v>82543</v>
      </c>
      <c r="L217" s="4">
        <v>119973</v>
      </c>
      <c r="M217" s="4" t="s">
        <v>23</v>
      </c>
      <c r="N217" s="9">
        <f t="shared" si="4"/>
        <v>8.2343527293641069E-2</v>
      </c>
    </row>
    <row r="218" spans="1:14" hidden="1" x14ac:dyDescent="0.25">
      <c r="A218" s="2" t="s">
        <v>260</v>
      </c>
      <c r="B218" s="6" t="s">
        <v>25</v>
      </c>
      <c r="C218" s="7">
        <v>45502</v>
      </c>
      <c r="D218" s="6" t="s">
        <v>26</v>
      </c>
      <c r="E218" s="6" t="s">
        <v>16</v>
      </c>
      <c r="F218" s="6" t="s">
        <v>17</v>
      </c>
      <c r="G218" s="6">
        <v>22590</v>
      </c>
      <c r="H218" s="6">
        <v>1462</v>
      </c>
      <c r="I218" s="6">
        <v>966</v>
      </c>
      <c r="J218" s="6">
        <v>2463</v>
      </c>
      <c r="K218" s="6">
        <v>29689</v>
      </c>
      <c r="L218" s="6">
        <v>103449</v>
      </c>
      <c r="M218" s="6" t="s">
        <v>29</v>
      </c>
      <c r="N218" s="8">
        <f t="shared" si="4"/>
        <v>0.24183897379385011</v>
      </c>
    </row>
    <row r="219" spans="1:14" hidden="1" x14ac:dyDescent="0.25">
      <c r="A219" s="1" t="s">
        <v>261</v>
      </c>
      <c r="B219" s="4" t="s">
        <v>20</v>
      </c>
      <c r="C219" s="5">
        <v>45926</v>
      </c>
      <c r="D219" s="4" t="s">
        <v>39</v>
      </c>
      <c r="E219" s="4" t="s">
        <v>16</v>
      </c>
      <c r="F219" s="4" t="s">
        <v>17</v>
      </c>
      <c r="G219" s="4">
        <v>16369</v>
      </c>
      <c r="H219" s="4">
        <v>1452</v>
      </c>
      <c r="I219" s="4">
        <v>493</v>
      </c>
      <c r="J219" s="4">
        <v>1217</v>
      </c>
      <c r="K219" s="4">
        <v>91440</v>
      </c>
      <c r="L219" s="4">
        <v>149834</v>
      </c>
      <c r="M219" s="4" t="s">
        <v>23</v>
      </c>
      <c r="N219" s="9">
        <f t="shared" si="4"/>
        <v>0.12222859965027964</v>
      </c>
    </row>
    <row r="220" spans="1:14" hidden="1" x14ac:dyDescent="0.25">
      <c r="A220" s="2" t="s">
        <v>262</v>
      </c>
      <c r="B220" s="6" t="s">
        <v>25</v>
      </c>
      <c r="C220" s="7">
        <v>45454</v>
      </c>
      <c r="D220" s="6" t="s">
        <v>31</v>
      </c>
      <c r="E220" s="6" t="s">
        <v>71</v>
      </c>
      <c r="F220" s="6"/>
      <c r="G220" s="6">
        <v>14910</v>
      </c>
      <c r="H220" s="6">
        <v>778</v>
      </c>
      <c r="I220" s="6">
        <v>289</v>
      </c>
      <c r="J220" s="6">
        <v>2541</v>
      </c>
      <c r="K220" s="6">
        <v>14309</v>
      </c>
      <c r="L220" s="6">
        <v>247815</v>
      </c>
      <c r="M220" s="6" t="s">
        <v>29</v>
      </c>
      <c r="N220" s="8">
        <f t="shared" si="4"/>
        <v>6.4471480741682297E-2</v>
      </c>
    </row>
    <row r="221" spans="1:14" hidden="1" x14ac:dyDescent="0.25">
      <c r="A221" s="1" t="s">
        <v>263</v>
      </c>
      <c r="B221" s="4" t="s">
        <v>20</v>
      </c>
      <c r="C221" s="5">
        <v>45685</v>
      </c>
      <c r="D221" s="4" t="s">
        <v>39</v>
      </c>
      <c r="E221" s="4" t="s">
        <v>40</v>
      </c>
      <c r="F221" s="4" t="s">
        <v>41</v>
      </c>
      <c r="G221" s="4">
        <v>9943</v>
      </c>
      <c r="H221" s="4">
        <v>1274</v>
      </c>
      <c r="I221" s="4">
        <v>336</v>
      </c>
      <c r="J221" s="4">
        <v>389</v>
      </c>
      <c r="K221" s="4">
        <v>6145</v>
      </c>
      <c r="L221" s="4">
        <v>231305</v>
      </c>
      <c r="M221" s="4" t="s">
        <v>18</v>
      </c>
      <c r="N221" s="9">
        <f t="shared" si="4"/>
        <v>4.9947039623008581E-2</v>
      </c>
    </row>
    <row r="222" spans="1:14" hidden="1" x14ac:dyDescent="0.25">
      <c r="A222" s="2" t="s">
        <v>264</v>
      </c>
      <c r="B222" s="6" t="s">
        <v>14</v>
      </c>
      <c r="C222" s="7">
        <v>45445</v>
      </c>
      <c r="D222" s="6" t="s">
        <v>31</v>
      </c>
      <c r="E222" s="6" t="s">
        <v>21</v>
      </c>
      <c r="F222" s="6" t="s">
        <v>22</v>
      </c>
      <c r="G222" s="6">
        <v>14199</v>
      </c>
      <c r="H222" s="6">
        <v>1206</v>
      </c>
      <c r="I222" s="6">
        <v>954</v>
      </c>
      <c r="J222" s="6">
        <v>2009</v>
      </c>
      <c r="K222" s="6">
        <v>8</v>
      </c>
      <c r="L222" s="6">
        <v>65537</v>
      </c>
      <c r="M222" s="6" t="s">
        <v>29</v>
      </c>
      <c r="N222" s="8">
        <f t="shared" si="4"/>
        <v>0.24961472145505592</v>
      </c>
    </row>
    <row r="223" spans="1:14" hidden="1" x14ac:dyDescent="0.25">
      <c r="A223" s="1" t="s">
        <v>265</v>
      </c>
      <c r="B223" s="4" t="s">
        <v>14</v>
      </c>
      <c r="C223" s="5">
        <v>45739</v>
      </c>
      <c r="D223" s="4" t="s">
        <v>39</v>
      </c>
      <c r="E223" s="4" t="s">
        <v>40</v>
      </c>
      <c r="F223" s="4" t="s">
        <v>41</v>
      </c>
      <c r="G223" s="4">
        <v>17728</v>
      </c>
      <c r="H223" s="4">
        <v>1487</v>
      </c>
      <c r="I223" s="4">
        <v>210</v>
      </c>
      <c r="J223" s="4">
        <v>2469</v>
      </c>
      <c r="K223" s="4">
        <v>30565</v>
      </c>
      <c r="L223" s="4">
        <v>117576</v>
      </c>
      <c r="M223" s="4" t="s">
        <v>18</v>
      </c>
      <c r="N223" s="9">
        <f t="shared" si="4"/>
        <v>0.16521228822208614</v>
      </c>
    </row>
    <row r="224" spans="1:14" hidden="1" x14ac:dyDescent="0.25">
      <c r="A224" s="2" t="s">
        <v>266</v>
      </c>
      <c r="B224" s="6" t="s">
        <v>14</v>
      </c>
      <c r="C224" s="7">
        <v>45573</v>
      </c>
      <c r="D224" s="6" t="s">
        <v>26</v>
      </c>
      <c r="E224" s="6" t="s">
        <v>71</v>
      </c>
      <c r="F224" s="6"/>
      <c r="G224" s="6">
        <v>8738</v>
      </c>
      <c r="H224" s="6">
        <v>295</v>
      </c>
      <c r="I224" s="6">
        <v>529</v>
      </c>
      <c r="J224" s="6">
        <v>442</v>
      </c>
      <c r="K224" s="6">
        <v>25286</v>
      </c>
      <c r="L224" s="6">
        <v>147522</v>
      </c>
      <c r="M224" s="6" t="s">
        <v>34</v>
      </c>
      <c r="N224" s="8">
        <f t="shared" si="4"/>
        <v>6.4817450956467515E-2</v>
      </c>
    </row>
    <row r="225" spans="1:14" hidden="1" x14ac:dyDescent="0.25">
      <c r="A225" s="1" t="s">
        <v>267</v>
      </c>
      <c r="B225" s="4" t="s">
        <v>47</v>
      </c>
      <c r="C225" s="5">
        <v>45608</v>
      </c>
      <c r="D225" s="4" t="s">
        <v>31</v>
      </c>
      <c r="E225" s="4" t="s">
        <v>27</v>
      </c>
      <c r="F225" s="4" t="s">
        <v>28</v>
      </c>
      <c r="G225" s="4">
        <v>17913</v>
      </c>
      <c r="H225" s="4">
        <v>1311</v>
      </c>
      <c r="I225" s="4">
        <v>859</v>
      </c>
      <c r="J225" s="4">
        <v>405</v>
      </c>
      <c r="K225" s="4">
        <v>59842</v>
      </c>
      <c r="L225" s="4">
        <v>62612</v>
      </c>
      <c r="M225" s="4" t="s">
        <v>29</v>
      </c>
      <c r="N225" s="9">
        <f t="shared" si="4"/>
        <v>0.32075321024723696</v>
      </c>
    </row>
    <row r="226" spans="1:14" hidden="1" x14ac:dyDescent="0.25">
      <c r="A226" s="2" t="s">
        <v>268</v>
      </c>
      <c r="B226" s="6" t="s">
        <v>20</v>
      </c>
      <c r="C226" s="7">
        <v>45907</v>
      </c>
      <c r="D226" s="6" t="s">
        <v>26</v>
      </c>
      <c r="E226" s="6" t="s">
        <v>122</v>
      </c>
      <c r="F226" s="6" t="s">
        <v>123</v>
      </c>
      <c r="G226" s="6">
        <v>4472</v>
      </c>
      <c r="H226" s="6">
        <v>1301</v>
      </c>
      <c r="I226" s="6">
        <v>956</v>
      </c>
      <c r="J226" s="6">
        <v>1186</v>
      </c>
      <c r="K226" s="6">
        <v>3363</v>
      </c>
      <c r="L226" s="6">
        <v>46471</v>
      </c>
      <c r="M226" s="6" t="s">
        <v>23</v>
      </c>
      <c r="N226" s="8">
        <f t="shared" si="4"/>
        <v>0.14479998278496267</v>
      </c>
    </row>
    <row r="227" spans="1:14" hidden="1" x14ac:dyDescent="0.25">
      <c r="A227" s="1" t="s">
        <v>269</v>
      </c>
      <c r="B227" s="4" t="s">
        <v>47</v>
      </c>
      <c r="C227" s="5">
        <v>45463</v>
      </c>
      <c r="D227" s="4" t="s">
        <v>31</v>
      </c>
      <c r="E227" s="4" t="s">
        <v>43</v>
      </c>
      <c r="F227" s="4" t="s">
        <v>44</v>
      </c>
      <c r="G227" s="4">
        <v>21123</v>
      </c>
      <c r="H227" s="4">
        <v>1343</v>
      </c>
      <c r="I227" s="4">
        <v>589</v>
      </c>
      <c r="J227" s="4">
        <v>727</v>
      </c>
      <c r="K227" s="4">
        <v>87833</v>
      </c>
      <c r="L227" s="4">
        <v>206703</v>
      </c>
      <c r="M227" s="4" t="s">
        <v>18</v>
      </c>
      <c r="N227" s="9">
        <f t="shared" si="4"/>
        <v>0.11153684271636116</v>
      </c>
    </row>
    <row r="228" spans="1:14" x14ac:dyDescent="0.25">
      <c r="A228" s="22" t="s">
        <v>270</v>
      </c>
      <c r="B228" s="22" t="s">
        <v>47</v>
      </c>
      <c r="C228" s="23">
        <v>45908</v>
      </c>
      <c r="D228" s="22" t="s">
        <v>26</v>
      </c>
      <c r="E228" s="22" t="s">
        <v>43</v>
      </c>
      <c r="F228" s="22" t="s">
        <v>44</v>
      </c>
      <c r="G228" s="22">
        <v>23785</v>
      </c>
      <c r="H228" s="22">
        <v>1013</v>
      </c>
      <c r="I228" s="22">
        <v>468</v>
      </c>
      <c r="J228" s="22">
        <v>1628</v>
      </c>
      <c r="K228" s="22">
        <v>8272</v>
      </c>
      <c r="L228" s="22">
        <v>71348</v>
      </c>
      <c r="M228" s="22" t="s">
        <v>23</v>
      </c>
      <c r="N228" s="47">
        <f t="shared" si="4"/>
        <v>0.35412345125301342</v>
      </c>
    </row>
    <row r="229" spans="1:14" hidden="1" x14ac:dyDescent="0.25">
      <c r="A229" s="13" t="s">
        <v>271</v>
      </c>
      <c r="B229" s="14" t="s">
        <v>25</v>
      </c>
      <c r="C229" s="15">
        <v>45455</v>
      </c>
      <c r="D229" s="14" t="s">
        <v>26</v>
      </c>
      <c r="E229" s="14" t="s">
        <v>21</v>
      </c>
      <c r="F229" s="14" t="s">
        <v>22</v>
      </c>
      <c r="G229" s="14">
        <v>17679</v>
      </c>
      <c r="H229" s="14">
        <v>690</v>
      </c>
      <c r="I229" s="14">
        <v>451</v>
      </c>
      <c r="J229" s="14">
        <v>2195</v>
      </c>
      <c r="K229" s="14">
        <v>4390</v>
      </c>
      <c r="L229" s="14">
        <v>235804</v>
      </c>
      <c r="M229" s="14" t="s">
        <v>52</v>
      </c>
      <c r="N229" s="16">
        <f t="shared" si="4"/>
        <v>7.9812047293514959E-2</v>
      </c>
    </row>
    <row r="230" spans="1:14" hidden="1" x14ac:dyDescent="0.25">
      <c r="A230" s="2" t="s">
        <v>272</v>
      </c>
      <c r="B230" s="6" t="s">
        <v>47</v>
      </c>
      <c r="C230" s="7">
        <v>45474</v>
      </c>
      <c r="D230" s="6" t="s">
        <v>31</v>
      </c>
      <c r="E230" s="6" t="s">
        <v>27</v>
      </c>
      <c r="F230" s="6" t="s">
        <v>28</v>
      </c>
      <c r="G230" s="6">
        <v>3761</v>
      </c>
      <c r="H230" s="6">
        <v>651</v>
      </c>
      <c r="I230" s="6">
        <v>493</v>
      </c>
      <c r="J230" s="6">
        <v>2294</v>
      </c>
      <c r="K230" s="6">
        <v>71696</v>
      </c>
      <c r="L230" s="6">
        <v>41177</v>
      </c>
      <c r="M230" s="6" t="s">
        <v>18</v>
      </c>
      <c r="N230" s="8">
        <f t="shared" si="4"/>
        <v>0.11911989702989532</v>
      </c>
    </row>
    <row r="231" spans="1:14" hidden="1" x14ac:dyDescent="0.25">
      <c r="A231" s="1" t="s">
        <v>273</v>
      </c>
      <c r="B231" s="4" t="s">
        <v>25</v>
      </c>
      <c r="C231" s="5">
        <v>45476</v>
      </c>
      <c r="D231" s="4" t="s">
        <v>31</v>
      </c>
      <c r="E231" s="4" t="s">
        <v>21</v>
      </c>
      <c r="F231" s="4" t="s">
        <v>22</v>
      </c>
      <c r="G231" s="4">
        <v>12167</v>
      </c>
      <c r="H231" s="4">
        <v>364</v>
      </c>
      <c r="I231" s="4">
        <v>160</v>
      </c>
      <c r="J231" s="4">
        <v>616</v>
      </c>
      <c r="K231" s="4">
        <v>42228</v>
      </c>
      <c r="L231" s="4">
        <v>175832</v>
      </c>
      <c r="M231" s="4" t="s">
        <v>29</v>
      </c>
      <c r="N231" s="9">
        <f t="shared" si="4"/>
        <v>7.2176850630146963E-2</v>
      </c>
    </row>
    <row r="232" spans="1:14" hidden="1" x14ac:dyDescent="0.25">
      <c r="A232" s="2" t="s">
        <v>274</v>
      </c>
      <c r="B232" s="6" t="s">
        <v>25</v>
      </c>
      <c r="C232" s="7">
        <v>45488</v>
      </c>
      <c r="D232" s="6" t="s">
        <v>31</v>
      </c>
      <c r="E232" s="6" t="s">
        <v>37</v>
      </c>
      <c r="F232" s="6"/>
      <c r="G232" s="6">
        <v>12554</v>
      </c>
      <c r="H232" s="6">
        <v>381</v>
      </c>
      <c r="I232" s="6">
        <v>211</v>
      </c>
      <c r="J232" s="6">
        <v>2286</v>
      </c>
      <c r="K232" s="6">
        <v>50567</v>
      </c>
      <c r="L232" s="6">
        <v>72779</v>
      </c>
      <c r="M232" s="6" t="s">
        <v>18</v>
      </c>
      <c r="N232" s="8">
        <f t="shared" si="4"/>
        <v>0.18062902760411656</v>
      </c>
    </row>
    <row r="233" spans="1:14" x14ac:dyDescent="0.25">
      <c r="A233" s="24" t="s">
        <v>275</v>
      </c>
      <c r="B233" s="24" t="s">
        <v>47</v>
      </c>
      <c r="C233" s="25">
        <v>45909</v>
      </c>
      <c r="D233" s="24" t="s">
        <v>15</v>
      </c>
      <c r="E233" s="24" t="s">
        <v>40</v>
      </c>
      <c r="F233" s="24" t="s">
        <v>41</v>
      </c>
      <c r="G233" s="24">
        <v>19260</v>
      </c>
      <c r="H233" s="24">
        <v>668</v>
      </c>
      <c r="I233" s="24">
        <v>994</v>
      </c>
      <c r="J233" s="24">
        <v>934</v>
      </c>
      <c r="K233" s="24">
        <v>20509</v>
      </c>
      <c r="L233" s="24">
        <v>61636</v>
      </c>
      <c r="M233" s="24" t="s">
        <v>23</v>
      </c>
      <c r="N233" s="48">
        <f t="shared" si="4"/>
        <v>0.33944448049841003</v>
      </c>
    </row>
    <row r="234" spans="1:14" hidden="1" x14ac:dyDescent="0.25">
      <c r="A234" s="17" t="s">
        <v>276</v>
      </c>
      <c r="B234" s="18" t="s">
        <v>20</v>
      </c>
      <c r="C234" s="19">
        <v>45776</v>
      </c>
      <c r="D234" s="18" t="s">
        <v>39</v>
      </c>
      <c r="E234" s="18" t="s">
        <v>43</v>
      </c>
      <c r="F234" s="18" t="s">
        <v>44</v>
      </c>
      <c r="G234" s="18">
        <v>16277</v>
      </c>
      <c r="H234" s="18">
        <v>1109</v>
      </c>
      <c r="I234" s="18">
        <v>375</v>
      </c>
      <c r="J234" s="18">
        <v>2225</v>
      </c>
      <c r="K234" s="18">
        <v>1044</v>
      </c>
      <c r="L234" s="18">
        <v>121889</v>
      </c>
      <c r="M234" s="18" t="s">
        <v>34</v>
      </c>
      <c r="N234" s="20">
        <f t="shared" si="4"/>
        <v>0.14571454356012437</v>
      </c>
    </row>
    <row r="235" spans="1:14" hidden="1" x14ac:dyDescent="0.25">
      <c r="A235" s="1" t="s">
        <v>277</v>
      </c>
      <c r="B235" s="4" t="s">
        <v>20</v>
      </c>
      <c r="C235" s="5">
        <v>45724</v>
      </c>
      <c r="D235" s="4" t="s">
        <v>15</v>
      </c>
      <c r="E235" s="4" t="s">
        <v>16</v>
      </c>
      <c r="F235" s="4" t="s">
        <v>17</v>
      </c>
      <c r="G235" s="4">
        <v>5812</v>
      </c>
      <c r="H235" s="4">
        <v>934</v>
      </c>
      <c r="I235" s="4">
        <v>302</v>
      </c>
      <c r="J235" s="4">
        <v>2356</v>
      </c>
      <c r="K235" s="4">
        <v>37437</v>
      </c>
      <c r="L235" s="4">
        <v>93551</v>
      </c>
      <c r="M235" s="4" t="s">
        <v>18</v>
      </c>
      <c r="N235" s="9">
        <f t="shared" si="4"/>
        <v>7.5338585370546551E-2</v>
      </c>
    </row>
    <row r="236" spans="1:14" hidden="1" x14ac:dyDescent="0.25">
      <c r="A236" s="2" t="s">
        <v>278</v>
      </c>
      <c r="B236" s="6" t="s">
        <v>20</v>
      </c>
      <c r="C236" s="7">
        <v>45444</v>
      </c>
      <c r="D236" s="6" t="s">
        <v>15</v>
      </c>
      <c r="E236" s="6" t="s">
        <v>40</v>
      </c>
      <c r="F236" s="6" t="s">
        <v>41</v>
      </c>
      <c r="G236" s="6">
        <v>19844</v>
      </c>
      <c r="H236" s="6">
        <v>1022</v>
      </c>
      <c r="I236" s="6">
        <v>860</v>
      </c>
      <c r="J236" s="6">
        <v>2570</v>
      </c>
      <c r="K236" s="6">
        <v>23719</v>
      </c>
      <c r="L236" s="6">
        <v>182628</v>
      </c>
      <c r="M236" s="6" t="s">
        <v>29</v>
      </c>
      <c r="N236" s="8">
        <f t="shared" si="4"/>
        <v>0.11896313818253498</v>
      </c>
    </row>
    <row r="237" spans="1:14" hidden="1" x14ac:dyDescent="0.25">
      <c r="A237" s="1" t="s">
        <v>279</v>
      </c>
      <c r="B237" s="4" t="s">
        <v>20</v>
      </c>
      <c r="C237" s="5">
        <v>45648</v>
      </c>
      <c r="D237" s="4" t="s">
        <v>26</v>
      </c>
      <c r="E237" s="4" t="s">
        <v>32</v>
      </c>
      <c r="F237" s="4" t="s">
        <v>33</v>
      </c>
      <c r="G237" s="4">
        <v>20117</v>
      </c>
      <c r="H237" s="4">
        <v>1143</v>
      </c>
      <c r="I237" s="4">
        <v>713</v>
      </c>
      <c r="J237" s="4">
        <v>1739</v>
      </c>
      <c r="K237" s="4">
        <v>34444</v>
      </c>
      <c r="L237" s="4">
        <v>198670</v>
      </c>
      <c r="M237" s="4" t="s">
        <v>52</v>
      </c>
      <c r="N237" s="9">
        <f t="shared" si="4"/>
        <v>0.11060049328031409</v>
      </c>
    </row>
    <row r="238" spans="1:14" hidden="1" x14ac:dyDescent="0.25">
      <c r="A238" s="2" t="s">
        <v>280</v>
      </c>
      <c r="B238" s="6" t="s">
        <v>20</v>
      </c>
      <c r="C238" s="7">
        <v>45523</v>
      </c>
      <c r="D238" s="6" t="s">
        <v>31</v>
      </c>
      <c r="E238" s="6" t="s">
        <v>62</v>
      </c>
      <c r="F238" s="6" t="s">
        <v>37</v>
      </c>
      <c r="G238" s="6">
        <v>3605</v>
      </c>
      <c r="H238" s="6">
        <v>206</v>
      </c>
      <c r="I238" s="6">
        <v>921</v>
      </c>
      <c r="J238" s="6">
        <v>852</v>
      </c>
      <c r="K238" s="6">
        <v>11660</v>
      </c>
      <c r="L238" s="6">
        <v>182635</v>
      </c>
      <c r="M238" s="6" t="s">
        <v>34</v>
      </c>
      <c r="N238" s="8">
        <f t="shared" si="4"/>
        <v>2.590960111698196E-2</v>
      </c>
    </row>
    <row r="239" spans="1:14" hidden="1" x14ac:dyDescent="0.25">
      <c r="A239" s="1" t="s">
        <v>281</v>
      </c>
      <c r="B239" s="4" t="s">
        <v>47</v>
      </c>
      <c r="C239" s="5">
        <v>45587</v>
      </c>
      <c r="D239" s="4" t="s">
        <v>39</v>
      </c>
      <c r="E239" s="4" t="s">
        <v>27</v>
      </c>
      <c r="F239" s="4" t="s">
        <v>28</v>
      </c>
      <c r="G239" s="4">
        <v>7622</v>
      </c>
      <c r="H239" s="4">
        <v>529</v>
      </c>
      <c r="I239" s="4">
        <v>720</v>
      </c>
      <c r="J239" s="4">
        <v>1015</v>
      </c>
      <c r="K239" s="4">
        <v>71322</v>
      </c>
      <c r="L239" s="4">
        <v>86819</v>
      </c>
      <c r="M239" s="4" t="s">
        <v>52</v>
      </c>
      <c r="N239" s="9">
        <f t="shared" si="4"/>
        <v>0.10217809465669957</v>
      </c>
    </row>
    <row r="240" spans="1:14" hidden="1" x14ac:dyDescent="0.25">
      <c r="A240" s="2" t="s">
        <v>282</v>
      </c>
      <c r="B240" s="6" t="s">
        <v>47</v>
      </c>
      <c r="C240" s="7">
        <v>45489</v>
      </c>
      <c r="D240" s="6" t="s">
        <v>26</v>
      </c>
      <c r="E240" s="6" t="s">
        <v>48</v>
      </c>
      <c r="F240" s="6" t="s">
        <v>32</v>
      </c>
      <c r="G240" s="6">
        <v>8767</v>
      </c>
      <c r="H240" s="6">
        <v>974</v>
      </c>
      <c r="I240" s="6">
        <v>733</v>
      </c>
      <c r="J240" s="6">
        <v>1587</v>
      </c>
      <c r="K240" s="6">
        <v>74927</v>
      </c>
      <c r="L240" s="6">
        <v>113770</v>
      </c>
      <c r="M240" s="6" t="s">
        <v>18</v>
      </c>
      <c r="N240" s="8">
        <f t="shared" si="4"/>
        <v>9.2062933989628198E-2</v>
      </c>
    </row>
    <row r="241" spans="1:14" hidden="1" x14ac:dyDescent="0.25">
      <c r="A241" s="1" t="s">
        <v>283</v>
      </c>
      <c r="B241" s="4" t="s">
        <v>14</v>
      </c>
      <c r="C241" s="5">
        <v>45910</v>
      </c>
      <c r="D241" s="4" t="s">
        <v>15</v>
      </c>
      <c r="E241" s="4" t="s">
        <v>21</v>
      </c>
      <c r="F241" s="4" t="s">
        <v>22</v>
      </c>
      <c r="G241" s="4">
        <v>13613</v>
      </c>
      <c r="H241" s="4">
        <v>350</v>
      </c>
      <c r="I241" s="4">
        <v>809</v>
      </c>
      <c r="J241" s="4">
        <v>2013</v>
      </c>
      <c r="K241" s="4">
        <v>20471</v>
      </c>
      <c r="L241" s="4">
        <v>198038</v>
      </c>
      <c r="M241" s="4" t="s">
        <v>23</v>
      </c>
      <c r="N241" s="9">
        <f t="shared" si="4"/>
        <v>7.4591745018632791E-2</v>
      </c>
    </row>
    <row r="242" spans="1:14" hidden="1" x14ac:dyDescent="0.25">
      <c r="A242" s="2" t="s">
        <v>284</v>
      </c>
      <c r="B242" s="6" t="s">
        <v>20</v>
      </c>
      <c r="C242" s="7">
        <v>45911</v>
      </c>
      <c r="D242" s="6" t="s">
        <v>31</v>
      </c>
      <c r="E242" s="6" t="s">
        <v>40</v>
      </c>
      <c r="F242" s="6" t="s">
        <v>41</v>
      </c>
      <c r="G242" s="6">
        <v>21901</v>
      </c>
      <c r="H242" s="6">
        <v>1308</v>
      </c>
      <c r="I242" s="6">
        <v>724</v>
      </c>
      <c r="J242" s="6">
        <v>2183</v>
      </c>
      <c r="K242" s="6">
        <v>15996</v>
      </c>
      <c r="L242" s="6">
        <v>230961</v>
      </c>
      <c r="M242" s="6" t="s">
        <v>23</v>
      </c>
      <c r="N242" s="8">
        <f t="shared" si="4"/>
        <v>0.10362355549205277</v>
      </c>
    </row>
    <row r="243" spans="1:14" hidden="1" x14ac:dyDescent="0.25">
      <c r="A243" s="1" t="s">
        <v>285</v>
      </c>
      <c r="B243" s="4" t="s">
        <v>47</v>
      </c>
      <c r="C243" s="5">
        <v>45675</v>
      </c>
      <c r="D243" s="4" t="s">
        <v>26</v>
      </c>
      <c r="E243" s="4" t="s">
        <v>62</v>
      </c>
      <c r="F243" s="4" t="s">
        <v>37</v>
      </c>
      <c r="G243" s="4">
        <v>12589</v>
      </c>
      <c r="H243" s="4">
        <v>346</v>
      </c>
      <c r="I243" s="4">
        <v>459</v>
      </c>
      <c r="J243" s="4">
        <v>1407</v>
      </c>
      <c r="K243" s="4">
        <v>29254</v>
      </c>
      <c r="L243" s="4">
        <v>198059</v>
      </c>
      <c r="M243" s="4" t="s">
        <v>29</v>
      </c>
      <c r="N243" s="9">
        <f t="shared" si="4"/>
        <v>6.7626313371268162E-2</v>
      </c>
    </row>
    <row r="244" spans="1:14" hidden="1" x14ac:dyDescent="0.25">
      <c r="A244" s="2" t="s">
        <v>286</v>
      </c>
      <c r="B244" s="6" t="s">
        <v>14</v>
      </c>
      <c r="C244" s="7">
        <v>45912</v>
      </c>
      <c r="D244" s="6" t="s">
        <v>31</v>
      </c>
      <c r="E244" s="6" t="s">
        <v>40</v>
      </c>
      <c r="F244" s="6" t="s">
        <v>41</v>
      </c>
      <c r="G244" s="6">
        <v>15918</v>
      </c>
      <c r="H244" s="6">
        <v>1114</v>
      </c>
      <c r="I244" s="6">
        <v>392</v>
      </c>
      <c r="J244" s="6">
        <v>1641</v>
      </c>
      <c r="K244" s="6">
        <v>28044</v>
      </c>
      <c r="L244" s="6">
        <v>118714</v>
      </c>
      <c r="M244" s="6" t="s">
        <v>23</v>
      </c>
      <c r="N244" s="8">
        <f t="shared" si="4"/>
        <v>0.14677291642097814</v>
      </c>
    </row>
    <row r="245" spans="1:14" hidden="1" x14ac:dyDescent="0.25">
      <c r="A245" s="1" t="s">
        <v>287</v>
      </c>
      <c r="B245" s="4" t="s">
        <v>20</v>
      </c>
      <c r="C245" s="5">
        <v>45722</v>
      </c>
      <c r="D245" s="4" t="s">
        <v>26</v>
      </c>
      <c r="E245" s="4" t="s">
        <v>48</v>
      </c>
      <c r="F245" s="4" t="s">
        <v>32</v>
      </c>
      <c r="G245" s="4">
        <v>22119</v>
      </c>
      <c r="H245" s="4">
        <v>899</v>
      </c>
      <c r="I245" s="4">
        <v>642</v>
      </c>
      <c r="J245" s="4">
        <v>410</v>
      </c>
      <c r="K245" s="4">
        <v>49490</v>
      </c>
      <c r="L245" s="4">
        <v>229420</v>
      </c>
      <c r="M245" s="4" t="s">
        <v>34</v>
      </c>
      <c r="N245" s="9">
        <f t="shared" si="4"/>
        <v>0.10312963124400662</v>
      </c>
    </row>
    <row r="246" spans="1:14" hidden="1" x14ac:dyDescent="0.25">
      <c r="A246" s="2" t="s">
        <v>288</v>
      </c>
      <c r="B246" s="6" t="s">
        <v>25</v>
      </c>
      <c r="C246" s="7">
        <v>45913</v>
      </c>
      <c r="D246" s="6" t="s">
        <v>31</v>
      </c>
      <c r="E246" s="6" t="s">
        <v>62</v>
      </c>
      <c r="F246" s="6" t="s">
        <v>37</v>
      </c>
      <c r="G246" s="6">
        <v>15046</v>
      </c>
      <c r="H246" s="6">
        <v>281</v>
      </c>
      <c r="I246" s="6">
        <v>515</v>
      </c>
      <c r="J246" s="6">
        <v>550</v>
      </c>
      <c r="K246" s="6">
        <v>22583</v>
      </c>
      <c r="L246" s="6">
        <v>64596</v>
      </c>
      <c r="M246" s="6" t="s">
        <v>23</v>
      </c>
      <c r="N246" s="8">
        <f t="shared" si="4"/>
        <v>0.24524738373893121</v>
      </c>
    </row>
    <row r="247" spans="1:14" hidden="1" x14ac:dyDescent="0.25">
      <c r="A247" s="1" t="s">
        <v>289</v>
      </c>
      <c r="B247" s="4" t="s">
        <v>14</v>
      </c>
      <c r="C247" s="5">
        <v>45669</v>
      </c>
      <c r="D247" s="4" t="s">
        <v>15</v>
      </c>
      <c r="E247" s="4" t="s">
        <v>32</v>
      </c>
      <c r="F247" s="4" t="s">
        <v>33</v>
      </c>
      <c r="G247" s="4">
        <v>4590</v>
      </c>
      <c r="H247" s="4">
        <v>713</v>
      </c>
      <c r="I247" s="4">
        <v>479</v>
      </c>
      <c r="J247" s="4">
        <v>2730</v>
      </c>
      <c r="K247" s="4">
        <v>41050</v>
      </c>
      <c r="L247" s="4">
        <v>204246</v>
      </c>
      <c r="M247" s="4" t="s">
        <v>29</v>
      </c>
      <c r="N247" s="9">
        <f t="shared" si="4"/>
        <v>2.8308999931455206E-2</v>
      </c>
    </row>
    <row r="248" spans="1:14" hidden="1" x14ac:dyDescent="0.25">
      <c r="A248" s="2" t="s">
        <v>290</v>
      </c>
      <c r="B248" s="6" t="s">
        <v>47</v>
      </c>
      <c r="C248" s="7">
        <v>45576</v>
      </c>
      <c r="D248" s="6" t="s">
        <v>39</v>
      </c>
      <c r="E248" s="6" t="s">
        <v>48</v>
      </c>
      <c r="F248" s="6" t="s">
        <v>32</v>
      </c>
      <c r="G248" s="6">
        <v>19447</v>
      </c>
      <c r="H248" s="6">
        <v>1014</v>
      </c>
      <c r="I248" s="6">
        <v>256</v>
      </c>
      <c r="J248" s="6">
        <v>2354</v>
      </c>
      <c r="K248" s="6">
        <v>5472</v>
      </c>
      <c r="L248" s="6">
        <v>104106</v>
      </c>
      <c r="M248" s="6" t="s">
        <v>18</v>
      </c>
      <c r="N248" s="8">
        <f t="shared" si="4"/>
        <v>0.19899909707413599</v>
      </c>
    </row>
    <row r="249" spans="1:14" hidden="1" x14ac:dyDescent="0.25">
      <c r="A249" s="1" t="s">
        <v>291</v>
      </c>
      <c r="B249" s="4" t="s">
        <v>25</v>
      </c>
      <c r="C249" s="5">
        <v>45531</v>
      </c>
      <c r="D249" s="4" t="s">
        <v>15</v>
      </c>
      <c r="E249" s="4" t="s">
        <v>71</v>
      </c>
      <c r="F249" s="4"/>
      <c r="G249" s="4">
        <v>6324</v>
      </c>
      <c r="H249" s="4">
        <v>908</v>
      </c>
      <c r="I249" s="4">
        <v>375</v>
      </c>
      <c r="J249" s="4">
        <v>758</v>
      </c>
      <c r="K249" s="4">
        <v>34850</v>
      </c>
      <c r="L249" s="4">
        <v>241039</v>
      </c>
      <c r="M249" s="4" t="s">
        <v>18</v>
      </c>
      <c r="N249" s="9">
        <f t="shared" si="4"/>
        <v>3.1559208260903839E-2</v>
      </c>
    </row>
    <row r="250" spans="1:14" hidden="1" x14ac:dyDescent="0.25">
      <c r="A250" s="2" t="s">
        <v>292</v>
      </c>
      <c r="B250" s="6" t="s">
        <v>25</v>
      </c>
      <c r="C250" s="7">
        <v>45914</v>
      </c>
      <c r="D250" s="6" t="s">
        <v>39</v>
      </c>
      <c r="E250" s="6" t="s">
        <v>32</v>
      </c>
      <c r="F250" s="6" t="s">
        <v>57</v>
      </c>
      <c r="G250" s="6">
        <v>12787</v>
      </c>
      <c r="H250" s="6">
        <v>945</v>
      </c>
      <c r="I250" s="6">
        <v>974</v>
      </c>
      <c r="J250" s="6">
        <v>1407</v>
      </c>
      <c r="K250" s="6">
        <v>4037</v>
      </c>
      <c r="L250" s="6">
        <v>99182</v>
      </c>
      <c r="M250" s="6" t="s">
        <v>23</v>
      </c>
      <c r="N250" s="8">
        <f t="shared" si="4"/>
        <v>0.14827287209372669</v>
      </c>
    </row>
    <row r="251" spans="1:14" hidden="1" x14ac:dyDescent="0.25">
      <c r="A251" s="1" t="s">
        <v>293</v>
      </c>
      <c r="B251" s="4" t="s">
        <v>25</v>
      </c>
      <c r="C251" s="5">
        <v>45491</v>
      </c>
      <c r="D251" s="4" t="s">
        <v>31</v>
      </c>
      <c r="E251" s="4" t="s">
        <v>71</v>
      </c>
      <c r="F251" s="4"/>
      <c r="G251" s="4">
        <v>11111</v>
      </c>
      <c r="H251" s="4">
        <v>1222</v>
      </c>
      <c r="I251" s="4">
        <v>367</v>
      </c>
      <c r="J251" s="4">
        <v>507</v>
      </c>
      <c r="K251" s="4">
        <v>14129</v>
      </c>
      <c r="L251" s="4">
        <v>127163</v>
      </c>
      <c r="M251" s="4" t="s">
        <v>52</v>
      </c>
      <c r="N251" s="9">
        <f t="shared" si="4"/>
        <v>9.9871818060284834E-2</v>
      </c>
    </row>
    <row r="252" spans="1:14" hidden="1" x14ac:dyDescent="0.25">
      <c r="A252" s="2" t="s">
        <v>294</v>
      </c>
      <c r="B252" s="6" t="s">
        <v>14</v>
      </c>
      <c r="C252" s="7">
        <v>45465</v>
      </c>
      <c r="D252" s="6" t="s">
        <v>26</v>
      </c>
      <c r="E252" s="6" t="s">
        <v>43</v>
      </c>
      <c r="F252" s="6" t="s">
        <v>44</v>
      </c>
      <c r="G252" s="6">
        <v>7342</v>
      </c>
      <c r="H252" s="6">
        <v>906</v>
      </c>
      <c r="I252" s="6">
        <v>902</v>
      </c>
      <c r="J252" s="6">
        <v>1199</v>
      </c>
      <c r="K252" s="6">
        <v>68488</v>
      </c>
      <c r="L252" s="6">
        <v>79310</v>
      </c>
      <c r="M252" s="6" t="s">
        <v>18</v>
      </c>
      <c r="N252" s="8">
        <f t="shared" si="4"/>
        <v>0.1153700668263775</v>
      </c>
    </row>
    <row r="253" spans="1:14" hidden="1" x14ac:dyDescent="0.25">
      <c r="A253" s="1" t="s">
        <v>295</v>
      </c>
      <c r="B253" s="4" t="s">
        <v>47</v>
      </c>
      <c r="C253" s="5">
        <v>45915</v>
      </c>
      <c r="D253" s="4" t="s">
        <v>15</v>
      </c>
      <c r="E253" s="4" t="s">
        <v>40</v>
      </c>
      <c r="F253" s="4" t="s">
        <v>41</v>
      </c>
      <c r="G253" s="4">
        <v>18389</v>
      </c>
      <c r="H253" s="4">
        <v>670</v>
      </c>
      <c r="I253" s="4">
        <v>655</v>
      </c>
      <c r="J253" s="4">
        <v>321</v>
      </c>
      <c r="K253" s="4">
        <v>21869</v>
      </c>
      <c r="L253" s="4">
        <v>96088</v>
      </c>
      <c r="M253" s="4" t="s">
        <v>23</v>
      </c>
      <c r="N253" s="9">
        <f t="shared" si="4"/>
        <v>0.2051660977437349</v>
      </c>
    </row>
    <row r="254" spans="1:14" hidden="1" x14ac:dyDescent="0.25">
      <c r="A254" s="2" t="s">
        <v>296</v>
      </c>
      <c r="B254" s="6" t="s">
        <v>25</v>
      </c>
      <c r="C254" s="7">
        <v>45775</v>
      </c>
      <c r="D254" s="6" t="s">
        <v>39</v>
      </c>
      <c r="E254" s="6" t="s">
        <v>32</v>
      </c>
      <c r="F254" s="6" t="s">
        <v>57</v>
      </c>
      <c r="G254" s="6">
        <v>10659</v>
      </c>
      <c r="H254" s="6">
        <v>1342</v>
      </c>
      <c r="I254" s="6">
        <v>408</v>
      </c>
      <c r="J254" s="6">
        <v>709</v>
      </c>
      <c r="K254" s="6">
        <v>16309</v>
      </c>
      <c r="L254" s="6">
        <v>168803</v>
      </c>
      <c r="M254" s="6" t="s">
        <v>29</v>
      </c>
      <c r="N254" s="8">
        <f t="shared" si="4"/>
        <v>7.3511726687321907E-2</v>
      </c>
    </row>
    <row r="255" spans="1:14" hidden="1" x14ac:dyDescent="0.25">
      <c r="A255" s="1" t="s">
        <v>297</v>
      </c>
      <c r="B255" s="4" t="s">
        <v>20</v>
      </c>
      <c r="C255" s="5">
        <v>45916</v>
      </c>
      <c r="D255" s="4" t="s">
        <v>15</v>
      </c>
      <c r="E255" s="4" t="s">
        <v>71</v>
      </c>
      <c r="F255" s="4"/>
      <c r="G255" s="4">
        <v>16043</v>
      </c>
      <c r="H255" s="4">
        <v>595</v>
      </c>
      <c r="I255" s="4">
        <v>923</v>
      </c>
      <c r="J255" s="4">
        <v>1194</v>
      </c>
      <c r="K255" s="4">
        <v>52613</v>
      </c>
      <c r="L255" s="4">
        <v>179978</v>
      </c>
      <c r="M255" s="4" t="s">
        <v>23</v>
      </c>
      <c r="N255" s="9">
        <f t="shared" si="4"/>
        <v>9.757303670448611E-2</v>
      </c>
    </row>
    <row r="256" spans="1:14" hidden="1" x14ac:dyDescent="0.25">
      <c r="A256" s="2" t="s">
        <v>298</v>
      </c>
      <c r="B256" s="6" t="s">
        <v>25</v>
      </c>
      <c r="C256" s="7">
        <v>45671</v>
      </c>
      <c r="D256" s="6" t="s">
        <v>39</v>
      </c>
      <c r="E256" s="6" t="s">
        <v>32</v>
      </c>
      <c r="F256" s="6" t="s">
        <v>57</v>
      </c>
      <c r="G256" s="6">
        <v>24350</v>
      </c>
      <c r="H256" s="6">
        <v>460</v>
      </c>
      <c r="I256" s="6">
        <v>666</v>
      </c>
      <c r="J256" s="6">
        <v>814</v>
      </c>
      <c r="K256" s="6">
        <v>21120</v>
      </c>
      <c r="L256" s="6">
        <v>76914</v>
      </c>
      <c r="M256" s="6" t="s">
        <v>18</v>
      </c>
      <c r="N256" s="8">
        <f t="shared" si="4"/>
        <v>0.33122708479600593</v>
      </c>
    </row>
    <row r="257" spans="1:14" hidden="1" x14ac:dyDescent="0.25">
      <c r="A257" s="1" t="s">
        <v>299</v>
      </c>
      <c r="B257" s="4" t="s">
        <v>25</v>
      </c>
      <c r="C257" s="5">
        <v>45750</v>
      </c>
      <c r="D257" s="4" t="s">
        <v>15</v>
      </c>
      <c r="E257" s="4" t="s">
        <v>122</v>
      </c>
      <c r="F257" s="4" t="s">
        <v>123</v>
      </c>
      <c r="G257" s="4">
        <v>10837</v>
      </c>
      <c r="H257" s="4">
        <v>1004</v>
      </c>
      <c r="I257" s="4">
        <v>922</v>
      </c>
      <c r="J257" s="4">
        <v>1108</v>
      </c>
      <c r="K257" s="4">
        <v>36807</v>
      </c>
      <c r="L257" s="4">
        <v>150350</v>
      </c>
      <c r="M257" s="4" t="s">
        <v>29</v>
      </c>
      <c r="N257" s="9">
        <f t="shared" si="4"/>
        <v>8.4888593282341204E-2</v>
      </c>
    </row>
    <row r="258" spans="1:14" hidden="1" x14ac:dyDescent="0.25">
      <c r="A258" s="2" t="s">
        <v>300</v>
      </c>
      <c r="B258" s="6" t="s">
        <v>14</v>
      </c>
      <c r="C258" s="7">
        <v>45917</v>
      </c>
      <c r="D258" s="6" t="s">
        <v>39</v>
      </c>
      <c r="E258" s="6" t="s">
        <v>40</v>
      </c>
      <c r="F258" s="6" t="s">
        <v>41</v>
      </c>
      <c r="G258" s="6">
        <v>2117</v>
      </c>
      <c r="H258" s="6">
        <v>1133</v>
      </c>
      <c r="I258" s="6">
        <v>203</v>
      </c>
      <c r="J258" s="6">
        <v>1173</v>
      </c>
      <c r="K258" s="6">
        <v>40125</v>
      </c>
      <c r="L258" s="6">
        <v>85379</v>
      </c>
      <c r="M258" s="6" t="s">
        <v>23</v>
      </c>
      <c r="N258" s="8">
        <f t="shared" si="4"/>
        <v>4.0443200318579509E-2</v>
      </c>
    </row>
    <row r="259" spans="1:14" hidden="1" x14ac:dyDescent="0.25">
      <c r="A259" s="1" t="s">
        <v>301</v>
      </c>
      <c r="B259" s="4" t="s">
        <v>14</v>
      </c>
      <c r="C259" s="5">
        <v>45753</v>
      </c>
      <c r="D259" s="4" t="s">
        <v>39</v>
      </c>
      <c r="E259" s="4" t="s">
        <v>32</v>
      </c>
      <c r="F259" s="4" t="s">
        <v>57</v>
      </c>
      <c r="G259" s="4">
        <v>15917</v>
      </c>
      <c r="H259" s="4">
        <v>1479</v>
      </c>
      <c r="I259" s="4">
        <v>196</v>
      </c>
      <c r="J259" s="4">
        <v>313</v>
      </c>
      <c r="K259" s="4">
        <v>48524</v>
      </c>
      <c r="L259" s="4">
        <v>249684</v>
      </c>
      <c r="M259" s="4" t="s">
        <v>34</v>
      </c>
      <c r="N259" s="9">
        <f t="shared" si="4"/>
        <v>7.0457057720959296E-2</v>
      </c>
    </row>
    <row r="260" spans="1:14" hidden="1" x14ac:dyDescent="0.25">
      <c r="A260" s="2" t="s">
        <v>302</v>
      </c>
      <c r="B260" s="6" t="s">
        <v>47</v>
      </c>
      <c r="C260" s="7">
        <v>45509</v>
      </c>
      <c r="D260" s="6" t="s">
        <v>31</v>
      </c>
      <c r="E260" s="6" t="s">
        <v>16</v>
      </c>
      <c r="F260" s="6" t="s">
        <v>17</v>
      </c>
      <c r="G260" s="6">
        <v>20935</v>
      </c>
      <c r="H260" s="6">
        <v>1104</v>
      </c>
      <c r="I260" s="6">
        <v>876</v>
      </c>
      <c r="J260" s="6">
        <v>1270</v>
      </c>
      <c r="K260" s="6">
        <v>21454</v>
      </c>
      <c r="L260" s="6">
        <v>208722</v>
      </c>
      <c r="M260" s="6" t="s">
        <v>29</v>
      </c>
      <c r="N260" s="8">
        <f t="shared" si="4"/>
        <v>0.10978718103506099</v>
      </c>
    </row>
    <row r="261" spans="1:14" hidden="1" x14ac:dyDescent="0.25">
      <c r="A261" s="1" t="s">
        <v>303</v>
      </c>
      <c r="B261" s="4" t="s">
        <v>20</v>
      </c>
      <c r="C261" s="5">
        <v>45698</v>
      </c>
      <c r="D261" s="4" t="s">
        <v>39</v>
      </c>
      <c r="E261" s="4" t="s">
        <v>21</v>
      </c>
      <c r="F261" s="4" t="s">
        <v>22</v>
      </c>
      <c r="G261" s="4">
        <v>16309</v>
      </c>
      <c r="H261" s="4">
        <v>1449</v>
      </c>
      <c r="I261" s="4">
        <v>838</v>
      </c>
      <c r="J261" s="4">
        <v>2434</v>
      </c>
      <c r="K261" s="4">
        <v>2940</v>
      </c>
      <c r="L261" s="4">
        <v>217953</v>
      </c>
      <c r="M261" s="4" t="s">
        <v>34</v>
      </c>
      <c r="N261" s="9">
        <f t="shared" si="4"/>
        <v>8.5321147219813445E-2</v>
      </c>
    </row>
    <row r="262" spans="1:14" hidden="1" x14ac:dyDescent="0.25">
      <c r="A262" s="2" t="s">
        <v>304</v>
      </c>
      <c r="B262" s="6" t="s">
        <v>14</v>
      </c>
      <c r="C262" s="7">
        <v>45700</v>
      </c>
      <c r="D262" s="6" t="s">
        <v>31</v>
      </c>
      <c r="E262" s="6" t="s">
        <v>21</v>
      </c>
      <c r="F262" s="6" t="s">
        <v>22</v>
      </c>
      <c r="G262" s="6">
        <v>15234</v>
      </c>
      <c r="H262" s="6">
        <v>1276</v>
      </c>
      <c r="I262" s="6">
        <v>670</v>
      </c>
      <c r="J262" s="6">
        <v>1860</v>
      </c>
      <c r="K262" s="6">
        <v>60397</v>
      </c>
      <c r="L262" s="6">
        <v>86413</v>
      </c>
      <c r="M262" s="6" t="s">
        <v>52</v>
      </c>
      <c r="N262" s="8">
        <f t="shared" si="4"/>
        <v>0.19881267864788862</v>
      </c>
    </row>
    <row r="263" spans="1:14" hidden="1" x14ac:dyDescent="0.25">
      <c r="A263" s="1" t="s">
        <v>305</v>
      </c>
      <c r="B263" s="4" t="s">
        <v>25</v>
      </c>
      <c r="C263" s="5">
        <v>45592</v>
      </c>
      <c r="D263" s="4" t="s">
        <v>39</v>
      </c>
      <c r="E263" s="4" t="s">
        <v>16</v>
      </c>
      <c r="F263" s="4" t="s">
        <v>17</v>
      </c>
      <c r="G263" s="4">
        <v>7560</v>
      </c>
      <c r="H263" s="4">
        <v>1139</v>
      </c>
      <c r="I263" s="4">
        <v>248</v>
      </c>
      <c r="J263" s="4">
        <v>1624</v>
      </c>
      <c r="K263" s="4">
        <v>72237</v>
      </c>
      <c r="L263" s="4">
        <v>177084</v>
      </c>
      <c r="M263" s="4" t="s">
        <v>29</v>
      </c>
      <c r="N263" s="9">
        <f t="shared" si="4"/>
        <v>5.0524045085947912E-2</v>
      </c>
    </row>
    <row r="264" spans="1:14" hidden="1" x14ac:dyDescent="0.25">
      <c r="A264" s="2" t="s">
        <v>306</v>
      </c>
      <c r="B264" s="6" t="s">
        <v>47</v>
      </c>
      <c r="C264" s="7">
        <v>45675</v>
      </c>
      <c r="D264" s="6" t="s">
        <v>26</v>
      </c>
      <c r="E264" s="6" t="s">
        <v>62</v>
      </c>
      <c r="F264" s="6" t="s">
        <v>37</v>
      </c>
      <c r="G264" s="6">
        <v>22673</v>
      </c>
      <c r="H264" s="6">
        <v>1053</v>
      </c>
      <c r="I264" s="6">
        <v>169</v>
      </c>
      <c r="J264" s="6">
        <v>1566</v>
      </c>
      <c r="K264" s="6">
        <v>9417</v>
      </c>
      <c r="L264" s="6">
        <v>221187</v>
      </c>
      <c r="M264" s="6" t="s">
        <v>34</v>
      </c>
      <c r="N264" s="8">
        <f t="shared" si="4"/>
        <v>0.10803076130152314</v>
      </c>
    </row>
    <row r="265" spans="1:14" hidden="1" x14ac:dyDescent="0.25">
      <c r="A265" s="1" t="s">
        <v>307</v>
      </c>
      <c r="B265" s="4" t="s">
        <v>25</v>
      </c>
      <c r="C265" s="5">
        <v>45524</v>
      </c>
      <c r="D265" s="4" t="s">
        <v>26</v>
      </c>
      <c r="E265" s="4" t="s">
        <v>37</v>
      </c>
      <c r="F265" s="4"/>
      <c r="G265" s="4">
        <v>2846</v>
      </c>
      <c r="H265" s="4">
        <v>792</v>
      </c>
      <c r="I265" s="4">
        <v>902</v>
      </c>
      <c r="J265" s="4">
        <v>2469</v>
      </c>
      <c r="K265" s="4">
        <v>12130</v>
      </c>
      <c r="L265" s="4">
        <v>47151</v>
      </c>
      <c r="M265" s="4" t="s">
        <v>18</v>
      </c>
      <c r="N265" s="9">
        <f t="shared" si="4"/>
        <v>9.6286399015927546E-2</v>
      </c>
    </row>
    <row r="266" spans="1:14" hidden="1" x14ac:dyDescent="0.25">
      <c r="A266" s="2" t="s">
        <v>308</v>
      </c>
      <c r="B266" s="6" t="s">
        <v>25</v>
      </c>
      <c r="C266" s="7">
        <v>45687</v>
      </c>
      <c r="D266" s="6" t="s">
        <v>26</v>
      </c>
      <c r="E266" s="6" t="s">
        <v>62</v>
      </c>
      <c r="F266" s="6" t="s">
        <v>37</v>
      </c>
      <c r="G266" s="6">
        <v>12954</v>
      </c>
      <c r="H266" s="6">
        <v>913</v>
      </c>
      <c r="I266" s="6">
        <v>722</v>
      </c>
      <c r="J266" s="6">
        <v>1049</v>
      </c>
      <c r="K266" s="6">
        <v>475</v>
      </c>
      <c r="L266" s="6">
        <v>97716</v>
      </c>
      <c r="M266" s="6" t="s">
        <v>18</v>
      </c>
      <c r="N266" s="8">
        <f t="shared" si="4"/>
        <v>0.14930001228048631</v>
      </c>
    </row>
    <row r="267" spans="1:14" hidden="1" x14ac:dyDescent="0.25">
      <c r="A267" s="1" t="s">
        <v>309</v>
      </c>
      <c r="B267" s="4" t="s">
        <v>14</v>
      </c>
      <c r="C267" s="5">
        <v>45708</v>
      </c>
      <c r="D267" s="4" t="s">
        <v>39</v>
      </c>
      <c r="E267" s="4" t="s">
        <v>48</v>
      </c>
      <c r="F267" s="4" t="s">
        <v>32</v>
      </c>
      <c r="G267" s="4">
        <v>15703</v>
      </c>
      <c r="H267" s="4">
        <v>1381</v>
      </c>
      <c r="I267" s="4">
        <v>639</v>
      </c>
      <c r="J267" s="4">
        <v>984</v>
      </c>
      <c r="K267" s="4">
        <v>10967</v>
      </c>
      <c r="L267" s="4">
        <v>133747</v>
      </c>
      <c r="M267" s="4" t="s">
        <v>52</v>
      </c>
      <c r="N267" s="9">
        <f t="shared" si="4"/>
        <v>0.13251138343289942</v>
      </c>
    </row>
    <row r="268" spans="1:14" hidden="1" x14ac:dyDescent="0.25">
      <c r="A268" s="2" t="s">
        <v>310</v>
      </c>
      <c r="B268" s="6" t="s">
        <v>47</v>
      </c>
      <c r="C268" s="7">
        <v>45621</v>
      </c>
      <c r="D268" s="6" t="s">
        <v>31</v>
      </c>
      <c r="E268" s="6" t="s">
        <v>48</v>
      </c>
      <c r="F268" s="6" t="s">
        <v>32</v>
      </c>
      <c r="G268" s="6">
        <v>17385</v>
      </c>
      <c r="H268" s="6">
        <v>831</v>
      </c>
      <c r="I268" s="6">
        <v>568</v>
      </c>
      <c r="J268" s="6">
        <v>2227</v>
      </c>
      <c r="K268" s="6">
        <v>49351</v>
      </c>
      <c r="L268" s="6">
        <v>207450</v>
      </c>
      <c r="M268" s="6" t="s">
        <v>29</v>
      </c>
      <c r="N268" s="8">
        <f t="shared" si="4"/>
        <v>9.0547119787900698E-2</v>
      </c>
    </row>
    <row r="269" spans="1:14" hidden="1" x14ac:dyDescent="0.25">
      <c r="A269" s="1" t="s">
        <v>311</v>
      </c>
      <c r="B269" s="4" t="s">
        <v>20</v>
      </c>
      <c r="C269" s="5">
        <v>45569</v>
      </c>
      <c r="D269" s="4" t="s">
        <v>31</v>
      </c>
      <c r="E269" s="4" t="s">
        <v>32</v>
      </c>
      <c r="F269" s="4" t="s">
        <v>57</v>
      </c>
      <c r="G269" s="4">
        <v>15746</v>
      </c>
      <c r="H269" s="4">
        <v>258</v>
      </c>
      <c r="I269" s="4">
        <v>839</v>
      </c>
      <c r="J269" s="4">
        <v>2656</v>
      </c>
      <c r="K269" s="4">
        <v>66614</v>
      </c>
      <c r="L269" s="4">
        <v>213724</v>
      </c>
      <c r="M269" s="4" t="s">
        <v>29</v>
      </c>
      <c r="N269" s="9">
        <f t="shared" si="4"/>
        <v>7.8807246729426739E-2</v>
      </c>
    </row>
    <row r="270" spans="1:14" hidden="1" x14ac:dyDescent="0.25">
      <c r="A270" s="2" t="s">
        <v>312</v>
      </c>
      <c r="B270" s="6" t="s">
        <v>20</v>
      </c>
      <c r="C270" s="7">
        <v>45760</v>
      </c>
      <c r="D270" s="6" t="s">
        <v>39</v>
      </c>
      <c r="E270" s="6" t="s">
        <v>71</v>
      </c>
      <c r="F270" s="6"/>
      <c r="G270" s="6">
        <v>24700</v>
      </c>
      <c r="H270" s="6">
        <v>327</v>
      </c>
      <c r="I270" s="6">
        <v>999</v>
      </c>
      <c r="J270" s="6">
        <v>994</v>
      </c>
      <c r="K270" s="6">
        <v>59400</v>
      </c>
      <c r="L270" s="6">
        <v>243502</v>
      </c>
      <c r="M270" s="6" t="s">
        <v>29</v>
      </c>
      <c r="N270" s="8">
        <f t="shared" si="4"/>
        <v>0.10688207899729776</v>
      </c>
    </row>
    <row r="271" spans="1:14" hidden="1" x14ac:dyDescent="0.25">
      <c r="A271" s="1" t="s">
        <v>313</v>
      </c>
      <c r="B271" s="4" t="s">
        <v>14</v>
      </c>
      <c r="C271" s="5">
        <v>45601</v>
      </c>
      <c r="D271" s="4" t="s">
        <v>26</v>
      </c>
      <c r="E271" s="4" t="s">
        <v>71</v>
      </c>
      <c r="F271" s="4"/>
      <c r="G271" s="4">
        <v>8469</v>
      </c>
      <c r="H271" s="4">
        <v>935</v>
      </c>
      <c r="I271" s="4">
        <v>211</v>
      </c>
      <c r="J271" s="4">
        <v>2635</v>
      </c>
      <c r="K271" s="4">
        <v>21890</v>
      </c>
      <c r="L271" s="4">
        <v>184539</v>
      </c>
      <c r="M271" s="4" t="s">
        <v>52</v>
      </c>
      <c r="N271" s="9">
        <f t="shared" ref="N271:N289" si="5">(G271+H271+I271)/L271</f>
        <v>5.2102807536618279E-2</v>
      </c>
    </row>
    <row r="272" spans="1:14" hidden="1" x14ac:dyDescent="0.25">
      <c r="A272" s="2" t="s">
        <v>314</v>
      </c>
      <c r="B272" s="6" t="s">
        <v>14</v>
      </c>
      <c r="C272" s="7">
        <v>45672</v>
      </c>
      <c r="D272" s="6" t="s">
        <v>26</v>
      </c>
      <c r="E272" s="6" t="s">
        <v>21</v>
      </c>
      <c r="F272" s="6" t="s">
        <v>22</v>
      </c>
      <c r="G272" s="6">
        <v>11333</v>
      </c>
      <c r="H272" s="6">
        <v>920</v>
      </c>
      <c r="I272" s="6">
        <v>294</v>
      </c>
      <c r="J272" s="6">
        <v>606</v>
      </c>
      <c r="K272" s="6">
        <v>59490</v>
      </c>
      <c r="L272" s="6">
        <v>202082</v>
      </c>
      <c r="M272" s="6" t="s">
        <v>29</v>
      </c>
      <c r="N272" s="8">
        <f t="shared" si="5"/>
        <v>6.2088657079799291E-2</v>
      </c>
    </row>
    <row r="273" spans="1:14" hidden="1" x14ac:dyDescent="0.25">
      <c r="A273" s="1" t="s">
        <v>315</v>
      </c>
      <c r="B273" s="4" t="s">
        <v>47</v>
      </c>
      <c r="C273" s="5">
        <v>45582</v>
      </c>
      <c r="D273" s="4" t="s">
        <v>31</v>
      </c>
      <c r="E273" s="4" t="s">
        <v>27</v>
      </c>
      <c r="F273" s="4" t="s">
        <v>28</v>
      </c>
      <c r="G273" s="4">
        <v>18608</v>
      </c>
      <c r="H273" s="4">
        <v>1338</v>
      </c>
      <c r="I273" s="4">
        <v>365</v>
      </c>
      <c r="J273" s="4">
        <v>2289</v>
      </c>
      <c r="K273" s="4">
        <v>20785</v>
      </c>
      <c r="L273" s="4">
        <v>161999</v>
      </c>
      <c r="M273" s="4" t="s">
        <v>18</v>
      </c>
      <c r="N273" s="9">
        <f t="shared" si="5"/>
        <v>0.12537731714393299</v>
      </c>
    </row>
    <row r="274" spans="1:14" hidden="1" x14ac:dyDescent="0.25">
      <c r="A274" s="2" t="s">
        <v>316</v>
      </c>
      <c r="B274" s="6" t="s">
        <v>20</v>
      </c>
      <c r="C274" s="7">
        <v>45743</v>
      </c>
      <c r="D274" s="6" t="s">
        <v>26</v>
      </c>
      <c r="E274" s="6" t="s">
        <v>62</v>
      </c>
      <c r="F274" s="6" t="s">
        <v>37</v>
      </c>
      <c r="G274" s="6">
        <v>14819</v>
      </c>
      <c r="H274" s="6">
        <v>1432</v>
      </c>
      <c r="I274" s="6">
        <v>152</v>
      </c>
      <c r="J274" s="6">
        <v>961</v>
      </c>
      <c r="K274" s="6">
        <v>39154</v>
      </c>
      <c r="L274" s="6">
        <v>154793</v>
      </c>
      <c r="M274" s="6" t="s">
        <v>34</v>
      </c>
      <c r="N274" s="8">
        <f t="shared" si="5"/>
        <v>0.10596732410380315</v>
      </c>
    </row>
    <row r="275" spans="1:14" hidden="1" x14ac:dyDescent="0.25">
      <c r="A275" s="1" t="s">
        <v>317</v>
      </c>
      <c r="B275" s="4" t="s">
        <v>20</v>
      </c>
      <c r="C275" s="5">
        <v>45577</v>
      </c>
      <c r="D275" s="4" t="s">
        <v>15</v>
      </c>
      <c r="E275" s="4" t="s">
        <v>122</v>
      </c>
      <c r="F275" s="4" t="s">
        <v>123</v>
      </c>
      <c r="G275" s="4">
        <v>6208</v>
      </c>
      <c r="H275" s="4">
        <v>725</v>
      </c>
      <c r="I275" s="4">
        <v>309</v>
      </c>
      <c r="J275" s="4">
        <v>848</v>
      </c>
      <c r="K275" s="4">
        <v>39319</v>
      </c>
      <c r="L275" s="4">
        <v>225763</v>
      </c>
      <c r="M275" s="4" t="s">
        <v>18</v>
      </c>
      <c r="N275" s="9">
        <f t="shared" si="5"/>
        <v>3.207788698768177E-2</v>
      </c>
    </row>
    <row r="276" spans="1:14" hidden="1" x14ac:dyDescent="0.25">
      <c r="A276" s="2" t="s">
        <v>318</v>
      </c>
      <c r="B276" s="6" t="s">
        <v>20</v>
      </c>
      <c r="C276" s="7">
        <v>45658</v>
      </c>
      <c r="D276" s="6" t="s">
        <v>31</v>
      </c>
      <c r="E276" s="6" t="s">
        <v>40</v>
      </c>
      <c r="F276" s="6" t="s">
        <v>41</v>
      </c>
      <c r="G276" s="6">
        <v>8283</v>
      </c>
      <c r="H276" s="6">
        <v>720</v>
      </c>
      <c r="I276" s="6">
        <v>888</v>
      </c>
      <c r="J276" s="6">
        <v>611</v>
      </c>
      <c r="K276" s="6">
        <v>52791</v>
      </c>
      <c r="L276" s="6">
        <v>235229</v>
      </c>
      <c r="M276" s="6" t="s">
        <v>18</v>
      </c>
      <c r="N276" s="8">
        <f t="shared" si="5"/>
        <v>4.2048386891072105E-2</v>
      </c>
    </row>
    <row r="277" spans="1:14" hidden="1" x14ac:dyDescent="0.25">
      <c r="A277" s="1" t="s">
        <v>319</v>
      </c>
      <c r="B277" s="4" t="s">
        <v>25</v>
      </c>
      <c r="C277" s="5">
        <v>45509</v>
      </c>
      <c r="D277" s="4" t="s">
        <v>26</v>
      </c>
      <c r="E277" s="4" t="s">
        <v>43</v>
      </c>
      <c r="F277" s="4" t="s">
        <v>44</v>
      </c>
      <c r="G277" s="4">
        <v>4048</v>
      </c>
      <c r="H277" s="4">
        <v>751</v>
      </c>
      <c r="I277" s="4">
        <v>930</v>
      </c>
      <c r="J277" s="4">
        <v>1382</v>
      </c>
      <c r="K277" s="4">
        <v>16844</v>
      </c>
      <c r="L277" s="4">
        <v>148177</v>
      </c>
      <c r="M277" s="4" t="s">
        <v>34</v>
      </c>
      <c r="N277" s="9">
        <f t="shared" si="5"/>
        <v>3.8663220337839206E-2</v>
      </c>
    </row>
    <row r="278" spans="1:14" hidden="1" x14ac:dyDescent="0.25">
      <c r="A278" s="2" t="s">
        <v>320</v>
      </c>
      <c r="B278" s="6" t="s">
        <v>20</v>
      </c>
      <c r="C278" s="7">
        <v>45450</v>
      </c>
      <c r="D278" s="6" t="s">
        <v>31</v>
      </c>
      <c r="E278" s="6" t="s">
        <v>32</v>
      </c>
      <c r="F278" s="6" t="s">
        <v>33</v>
      </c>
      <c r="G278" s="6">
        <v>8233</v>
      </c>
      <c r="H278" s="6">
        <v>436</v>
      </c>
      <c r="I278" s="6">
        <v>269</v>
      </c>
      <c r="J278" s="6">
        <v>2037</v>
      </c>
      <c r="K278" s="6">
        <v>8875</v>
      </c>
      <c r="L278" s="6">
        <v>52289</v>
      </c>
      <c r="M278" s="6" t="s">
        <v>18</v>
      </c>
      <c r="N278" s="8">
        <f t="shared" si="5"/>
        <v>0.17093461339861157</v>
      </c>
    </row>
    <row r="279" spans="1:14" hidden="1" x14ac:dyDescent="0.25">
      <c r="A279" s="1" t="s">
        <v>321</v>
      </c>
      <c r="B279" s="4" t="s">
        <v>25</v>
      </c>
      <c r="C279" s="5">
        <v>45753</v>
      </c>
      <c r="D279" s="4" t="s">
        <v>15</v>
      </c>
      <c r="E279" s="4" t="s">
        <v>71</v>
      </c>
      <c r="F279" s="4"/>
      <c r="G279" s="4">
        <v>14941</v>
      </c>
      <c r="H279" s="4">
        <v>1424</v>
      </c>
      <c r="I279" s="4">
        <v>238</v>
      </c>
      <c r="J279" s="4">
        <v>1054</v>
      </c>
      <c r="K279" s="4">
        <v>20516</v>
      </c>
      <c r="L279" s="4">
        <v>216048</v>
      </c>
      <c r="M279" s="4" t="s">
        <v>52</v>
      </c>
      <c r="N279" s="9">
        <f t="shared" si="5"/>
        <v>7.6848663260016298E-2</v>
      </c>
    </row>
    <row r="280" spans="1:14" hidden="1" x14ac:dyDescent="0.25">
      <c r="A280" s="2" t="s">
        <v>322</v>
      </c>
      <c r="B280" s="6" t="s">
        <v>47</v>
      </c>
      <c r="C280" s="7">
        <v>45622</v>
      </c>
      <c r="D280" s="6" t="s">
        <v>31</v>
      </c>
      <c r="E280" s="6" t="s">
        <v>40</v>
      </c>
      <c r="F280" s="6" t="s">
        <v>41</v>
      </c>
      <c r="G280" s="6">
        <v>14607</v>
      </c>
      <c r="H280" s="6">
        <v>1458</v>
      </c>
      <c r="I280" s="6">
        <v>478</v>
      </c>
      <c r="J280" s="6">
        <v>334</v>
      </c>
      <c r="K280" s="6">
        <v>49257</v>
      </c>
      <c r="L280" s="6">
        <v>214668</v>
      </c>
      <c r="M280" s="6" t="s">
        <v>34</v>
      </c>
      <c r="N280" s="8">
        <f t="shared" si="5"/>
        <v>7.7063185942944451E-2</v>
      </c>
    </row>
    <row r="281" spans="1:14" hidden="1" x14ac:dyDescent="0.25">
      <c r="A281" s="1" t="s">
        <v>323</v>
      </c>
      <c r="B281" s="4" t="s">
        <v>25</v>
      </c>
      <c r="C281" s="5">
        <v>45537</v>
      </c>
      <c r="D281" s="4" t="s">
        <v>31</v>
      </c>
      <c r="E281" s="4" t="s">
        <v>32</v>
      </c>
      <c r="F281" s="4" t="s">
        <v>33</v>
      </c>
      <c r="G281" s="4">
        <v>11765</v>
      </c>
      <c r="H281" s="4">
        <v>693</v>
      </c>
      <c r="I281" s="4">
        <v>729</v>
      </c>
      <c r="J281" s="4">
        <v>744</v>
      </c>
      <c r="K281" s="4">
        <v>97772</v>
      </c>
      <c r="L281" s="4">
        <v>194243</v>
      </c>
      <c r="M281" s="4" t="s">
        <v>18</v>
      </c>
      <c r="N281" s="9">
        <f t="shared" si="5"/>
        <v>6.7889190344053579E-2</v>
      </c>
    </row>
    <row r="282" spans="1:14" hidden="1" x14ac:dyDescent="0.25">
      <c r="A282" s="2" t="s">
        <v>324</v>
      </c>
      <c r="B282" s="6" t="s">
        <v>47</v>
      </c>
      <c r="C282" s="7">
        <v>45918</v>
      </c>
      <c r="D282" s="6" t="s">
        <v>31</v>
      </c>
      <c r="E282" s="6" t="s">
        <v>40</v>
      </c>
      <c r="F282" s="6" t="s">
        <v>41</v>
      </c>
      <c r="G282" s="6">
        <v>3828</v>
      </c>
      <c r="H282" s="6">
        <v>203</v>
      </c>
      <c r="I282" s="6">
        <v>506</v>
      </c>
      <c r="J282" s="6">
        <v>2440</v>
      </c>
      <c r="K282" s="6">
        <v>63650</v>
      </c>
      <c r="L282" s="6">
        <v>126365</v>
      </c>
      <c r="M282" s="6" t="s">
        <v>23</v>
      </c>
      <c r="N282" s="8">
        <f t="shared" si="5"/>
        <v>3.5903929094290347E-2</v>
      </c>
    </row>
    <row r="283" spans="1:14" hidden="1" x14ac:dyDescent="0.25">
      <c r="A283" s="1" t="s">
        <v>325</v>
      </c>
      <c r="B283" s="4" t="s">
        <v>20</v>
      </c>
      <c r="C283" s="5">
        <v>45738</v>
      </c>
      <c r="D283" s="4" t="s">
        <v>31</v>
      </c>
      <c r="E283" s="4" t="s">
        <v>32</v>
      </c>
      <c r="F283" s="4" t="s">
        <v>57</v>
      </c>
      <c r="G283" s="4">
        <v>3917</v>
      </c>
      <c r="H283" s="4">
        <v>865</v>
      </c>
      <c r="I283" s="4">
        <v>759</v>
      </c>
      <c r="J283" s="4">
        <v>2282</v>
      </c>
      <c r="K283" s="4">
        <v>56125</v>
      </c>
      <c r="L283" s="4">
        <v>154014</v>
      </c>
      <c r="M283" s="4" t="s">
        <v>18</v>
      </c>
      <c r="N283" s="9">
        <f t="shared" si="5"/>
        <v>3.5977248821535704E-2</v>
      </c>
    </row>
    <row r="284" spans="1:14" hidden="1" x14ac:dyDescent="0.25">
      <c r="A284" s="2" t="s">
        <v>326</v>
      </c>
      <c r="B284" s="6" t="s">
        <v>20</v>
      </c>
      <c r="C284" s="7">
        <v>45568</v>
      </c>
      <c r="D284" s="6" t="s">
        <v>15</v>
      </c>
      <c r="E284" s="6" t="s">
        <v>32</v>
      </c>
      <c r="F284" s="6" t="s">
        <v>33</v>
      </c>
      <c r="G284" s="6">
        <v>22618</v>
      </c>
      <c r="H284" s="6">
        <v>641</v>
      </c>
      <c r="I284" s="6">
        <v>416</v>
      </c>
      <c r="J284" s="6">
        <v>1530</v>
      </c>
      <c r="K284" s="6">
        <v>18395</v>
      </c>
      <c r="L284" s="6">
        <v>215211</v>
      </c>
      <c r="M284" s="6" t="s">
        <v>52</v>
      </c>
      <c r="N284" s="8">
        <f t="shared" si="5"/>
        <v>0.1100083174187193</v>
      </c>
    </row>
    <row r="285" spans="1:14" hidden="1" x14ac:dyDescent="0.25">
      <c r="A285" s="1" t="s">
        <v>327</v>
      </c>
      <c r="B285" s="4" t="s">
        <v>47</v>
      </c>
      <c r="C285" s="5">
        <v>45786</v>
      </c>
      <c r="D285" s="4" t="s">
        <v>39</v>
      </c>
      <c r="E285" s="4" t="s">
        <v>43</v>
      </c>
      <c r="F285" s="4" t="s">
        <v>44</v>
      </c>
      <c r="G285" s="4">
        <v>8988</v>
      </c>
      <c r="H285" s="4">
        <v>228</v>
      </c>
      <c r="I285" s="4">
        <v>766</v>
      </c>
      <c r="J285" s="4">
        <v>652</v>
      </c>
      <c r="K285" s="4">
        <v>63789</v>
      </c>
      <c r="L285" s="4">
        <v>219785</v>
      </c>
      <c r="M285" s="4" t="s">
        <v>29</v>
      </c>
      <c r="N285" s="9">
        <f t="shared" si="5"/>
        <v>4.541711217781013E-2</v>
      </c>
    </row>
    <row r="286" spans="1:14" hidden="1" x14ac:dyDescent="0.25">
      <c r="A286" s="2" t="s">
        <v>328</v>
      </c>
      <c r="B286" s="6" t="s">
        <v>14</v>
      </c>
      <c r="C286" s="7">
        <v>45552</v>
      </c>
      <c r="D286" s="6" t="s">
        <v>31</v>
      </c>
      <c r="E286" s="6" t="s">
        <v>40</v>
      </c>
      <c r="F286" s="6" t="s">
        <v>41</v>
      </c>
      <c r="G286" s="6">
        <v>20410</v>
      </c>
      <c r="H286" s="6">
        <v>1332</v>
      </c>
      <c r="I286" s="6">
        <v>472</v>
      </c>
      <c r="J286" s="6">
        <v>1202</v>
      </c>
      <c r="K286" s="6">
        <v>9418</v>
      </c>
      <c r="L286" s="6">
        <v>200806</v>
      </c>
      <c r="M286" s="6" t="s">
        <v>18</v>
      </c>
      <c r="N286" s="8">
        <f t="shared" si="5"/>
        <v>0.11062418453631864</v>
      </c>
    </row>
    <row r="287" spans="1:14" hidden="1" x14ac:dyDescent="0.25">
      <c r="A287" s="1" t="s">
        <v>329</v>
      </c>
      <c r="B287" s="4" t="s">
        <v>47</v>
      </c>
      <c r="C287" s="5">
        <v>45491</v>
      </c>
      <c r="D287" s="4" t="s">
        <v>31</v>
      </c>
      <c r="E287" s="4" t="s">
        <v>16</v>
      </c>
      <c r="F287" s="4" t="s">
        <v>17</v>
      </c>
      <c r="G287" s="4">
        <v>16594</v>
      </c>
      <c r="H287" s="4">
        <v>809</v>
      </c>
      <c r="I287" s="4">
        <v>784</v>
      </c>
      <c r="J287" s="4">
        <v>1655</v>
      </c>
      <c r="K287" s="4">
        <v>35505</v>
      </c>
      <c r="L287" s="4">
        <v>112588</v>
      </c>
      <c r="M287" s="4" t="s">
        <v>29</v>
      </c>
      <c r="N287" s="9">
        <f t="shared" si="5"/>
        <v>0.16153586527871533</v>
      </c>
    </row>
    <row r="288" spans="1:14" hidden="1" x14ac:dyDescent="0.25">
      <c r="A288" s="2" t="s">
        <v>330</v>
      </c>
      <c r="B288" s="6" t="s">
        <v>14</v>
      </c>
      <c r="C288" s="7">
        <v>45919</v>
      </c>
      <c r="D288" s="6" t="s">
        <v>26</v>
      </c>
      <c r="E288" s="6" t="s">
        <v>43</v>
      </c>
      <c r="F288" s="6" t="s">
        <v>44</v>
      </c>
      <c r="G288" s="6">
        <v>22128</v>
      </c>
      <c r="H288" s="6">
        <v>1004</v>
      </c>
      <c r="I288" s="6">
        <v>690</v>
      </c>
      <c r="J288" s="6">
        <v>2048</v>
      </c>
      <c r="K288" s="6">
        <v>19443</v>
      </c>
      <c r="L288" s="6">
        <v>103646</v>
      </c>
      <c r="M288" s="6" t="s">
        <v>23</v>
      </c>
      <c r="N288" s="8">
        <f t="shared" si="5"/>
        <v>0.22984003241803833</v>
      </c>
    </row>
    <row r="289" spans="1:14" x14ac:dyDescent="0.25">
      <c r="A289" s="24" t="s">
        <v>229</v>
      </c>
      <c r="B289" s="24" t="s">
        <v>25</v>
      </c>
      <c r="C289" s="25">
        <v>45668</v>
      </c>
      <c r="D289" s="24" t="s">
        <v>15</v>
      </c>
      <c r="E289" s="24" t="s">
        <v>21</v>
      </c>
      <c r="F289" s="24" t="s">
        <v>22</v>
      </c>
      <c r="G289" s="24">
        <v>21181</v>
      </c>
      <c r="H289" s="24">
        <v>1242</v>
      </c>
      <c r="I289" s="24">
        <v>963</v>
      </c>
      <c r="J289" s="24">
        <v>1689</v>
      </c>
      <c r="K289" s="24">
        <v>49329</v>
      </c>
      <c r="L289" s="24">
        <v>69165</v>
      </c>
      <c r="M289" s="24" t="s">
        <v>18</v>
      </c>
      <c r="N289" s="48">
        <f t="shared" si="5"/>
        <v>0.33811899081905589</v>
      </c>
    </row>
    <row r="290" spans="1:14" hidden="1" x14ac:dyDescent="0.25">
      <c r="A290" s="17" t="s">
        <v>332</v>
      </c>
      <c r="B290" s="18" t="s">
        <v>25</v>
      </c>
      <c r="C290" s="19">
        <v>45764</v>
      </c>
      <c r="D290" s="18" t="s">
        <v>26</v>
      </c>
      <c r="E290" s="18" t="s">
        <v>43</v>
      </c>
      <c r="F290" s="18" t="s">
        <v>44</v>
      </c>
      <c r="G290" s="18">
        <v>2009</v>
      </c>
      <c r="H290" s="18">
        <v>1037</v>
      </c>
      <c r="I290" s="18">
        <v>344</v>
      </c>
      <c r="J290" s="18">
        <v>2277</v>
      </c>
      <c r="K290" s="18">
        <v>85743</v>
      </c>
      <c r="L290" s="18">
        <v>58743</v>
      </c>
      <c r="M290" s="18" t="s">
        <v>34</v>
      </c>
      <c r="N290" s="20">
        <f t="shared" ref="N290:N302" si="6">(G290+H290+I290)/L290</f>
        <v>5.7709003625963942E-2</v>
      </c>
    </row>
    <row r="291" spans="1:14" hidden="1" x14ac:dyDescent="0.25">
      <c r="A291" s="1" t="s">
        <v>333</v>
      </c>
      <c r="B291" s="4" t="s">
        <v>25</v>
      </c>
      <c r="C291" s="5">
        <v>45624</v>
      </c>
      <c r="D291" s="4" t="s">
        <v>39</v>
      </c>
      <c r="E291" s="4" t="s">
        <v>40</v>
      </c>
      <c r="F291" s="4" t="s">
        <v>41</v>
      </c>
      <c r="G291" s="4">
        <v>18644</v>
      </c>
      <c r="H291" s="4">
        <v>1369</v>
      </c>
      <c r="I291" s="4">
        <v>887</v>
      </c>
      <c r="J291" s="4">
        <v>1256</v>
      </c>
      <c r="K291" s="4">
        <v>43415</v>
      </c>
      <c r="L291" s="4">
        <v>88368</v>
      </c>
      <c r="M291" s="4" t="s">
        <v>29</v>
      </c>
      <c r="N291" s="9">
        <f t="shared" si="6"/>
        <v>0.23651095419156257</v>
      </c>
    </row>
    <row r="292" spans="1:14" hidden="1" x14ac:dyDescent="0.25">
      <c r="A292" s="2" t="s">
        <v>334</v>
      </c>
      <c r="B292" s="6" t="s">
        <v>20</v>
      </c>
      <c r="C292" s="7">
        <v>45920</v>
      </c>
      <c r="D292" s="6" t="s">
        <v>15</v>
      </c>
      <c r="E292" s="6" t="s">
        <v>37</v>
      </c>
      <c r="F292" s="6"/>
      <c r="G292" s="6">
        <v>24422</v>
      </c>
      <c r="H292" s="6">
        <v>327</v>
      </c>
      <c r="I292" s="6">
        <v>481</v>
      </c>
      <c r="J292" s="6">
        <v>2371</v>
      </c>
      <c r="K292" s="6">
        <v>35340</v>
      </c>
      <c r="L292" s="6">
        <v>245244</v>
      </c>
      <c r="M292" s="6" t="s">
        <v>23</v>
      </c>
      <c r="N292" s="8">
        <f t="shared" si="6"/>
        <v>0.10287713460879777</v>
      </c>
    </row>
    <row r="293" spans="1:14" hidden="1" x14ac:dyDescent="0.25">
      <c r="A293" s="1" t="s">
        <v>335</v>
      </c>
      <c r="B293" s="4" t="s">
        <v>25</v>
      </c>
      <c r="C293" s="5">
        <v>45602</v>
      </c>
      <c r="D293" s="4" t="s">
        <v>15</v>
      </c>
      <c r="E293" s="4" t="s">
        <v>40</v>
      </c>
      <c r="F293" s="4" t="s">
        <v>41</v>
      </c>
      <c r="G293" s="4">
        <v>11865</v>
      </c>
      <c r="H293" s="4">
        <v>241</v>
      </c>
      <c r="I293" s="4">
        <v>319</v>
      </c>
      <c r="J293" s="4">
        <v>703</v>
      </c>
      <c r="K293" s="4">
        <v>69596</v>
      </c>
      <c r="L293" s="4">
        <v>177513</v>
      </c>
      <c r="M293" s="4" t="s">
        <v>34</v>
      </c>
      <c r="N293" s="9">
        <f t="shared" si="6"/>
        <v>6.999487361489018E-2</v>
      </c>
    </row>
    <row r="294" spans="1:14" hidden="1" x14ac:dyDescent="0.25">
      <c r="A294" s="2" t="s">
        <v>336</v>
      </c>
      <c r="B294" s="6" t="s">
        <v>14</v>
      </c>
      <c r="C294" s="7">
        <v>45613</v>
      </c>
      <c r="D294" s="6" t="s">
        <v>39</v>
      </c>
      <c r="E294" s="6" t="s">
        <v>40</v>
      </c>
      <c r="F294" s="6" t="s">
        <v>41</v>
      </c>
      <c r="G294" s="6">
        <v>4219</v>
      </c>
      <c r="H294" s="6">
        <v>240</v>
      </c>
      <c r="I294" s="6">
        <v>670</v>
      </c>
      <c r="J294" s="6">
        <v>815</v>
      </c>
      <c r="K294" s="6">
        <v>11978</v>
      </c>
      <c r="L294" s="6">
        <v>159735</v>
      </c>
      <c r="M294" s="6" t="s">
        <v>34</v>
      </c>
      <c r="N294" s="8">
        <f t="shared" si="6"/>
        <v>3.2109431245500357E-2</v>
      </c>
    </row>
    <row r="295" spans="1:14" hidden="1" x14ac:dyDescent="0.25">
      <c r="A295" s="1" t="s">
        <v>337</v>
      </c>
      <c r="B295" s="4" t="s">
        <v>25</v>
      </c>
      <c r="C295" s="5">
        <v>45791</v>
      </c>
      <c r="D295" s="4" t="s">
        <v>15</v>
      </c>
      <c r="E295" s="4" t="s">
        <v>32</v>
      </c>
      <c r="F295" s="4" t="s">
        <v>57</v>
      </c>
      <c r="G295" s="4">
        <v>9041</v>
      </c>
      <c r="H295" s="4">
        <v>1133</v>
      </c>
      <c r="I295" s="4">
        <v>612</v>
      </c>
      <c r="J295" s="4">
        <v>1687</v>
      </c>
      <c r="K295" s="4">
        <v>28102</v>
      </c>
      <c r="L295" s="4">
        <v>195683</v>
      </c>
      <c r="M295" s="4" t="s">
        <v>34</v>
      </c>
      <c r="N295" s="9">
        <f t="shared" si="6"/>
        <v>5.5119760020032396E-2</v>
      </c>
    </row>
    <row r="296" spans="1:14" hidden="1" x14ac:dyDescent="0.25">
      <c r="A296" s="2" t="s">
        <v>338</v>
      </c>
      <c r="B296" s="6" t="s">
        <v>47</v>
      </c>
      <c r="C296" s="7">
        <v>45462</v>
      </c>
      <c r="D296" s="6" t="s">
        <v>39</v>
      </c>
      <c r="E296" s="6" t="s">
        <v>62</v>
      </c>
      <c r="F296" s="6" t="s">
        <v>37</v>
      </c>
      <c r="G296" s="6">
        <v>20444</v>
      </c>
      <c r="H296" s="6">
        <v>233</v>
      </c>
      <c r="I296" s="6">
        <v>189</v>
      </c>
      <c r="J296" s="6">
        <v>2879</v>
      </c>
      <c r="K296" s="6">
        <v>28185</v>
      </c>
      <c r="L296" s="6">
        <v>159891</v>
      </c>
      <c r="M296" s="6" t="s">
        <v>34</v>
      </c>
      <c r="N296" s="8">
        <f t="shared" si="6"/>
        <v>0.13050140408153055</v>
      </c>
    </row>
    <row r="297" spans="1:14" hidden="1" x14ac:dyDescent="0.25">
      <c r="A297" s="1" t="s">
        <v>339</v>
      </c>
      <c r="B297" s="4" t="s">
        <v>47</v>
      </c>
      <c r="C297" s="5">
        <v>45783</v>
      </c>
      <c r="D297" s="4" t="s">
        <v>39</v>
      </c>
      <c r="E297" s="4" t="s">
        <v>16</v>
      </c>
      <c r="F297" s="4" t="s">
        <v>17</v>
      </c>
      <c r="G297" s="4">
        <v>7287</v>
      </c>
      <c r="H297" s="4">
        <v>1240</v>
      </c>
      <c r="I297" s="4">
        <v>686</v>
      </c>
      <c r="J297" s="4">
        <v>1255</v>
      </c>
      <c r="K297" s="4">
        <v>15403</v>
      </c>
      <c r="L297" s="4">
        <v>147971</v>
      </c>
      <c r="M297" s="4" t="s">
        <v>18</v>
      </c>
      <c r="N297" s="9">
        <f t="shared" si="6"/>
        <v>6.2262200025680704E-2</v>
      </c>
    </row>
    <row r="298" spans="1:14" hidden="1" x14ac:dyDescent="0.25">
      <c r="A298" s="2" t="s">
        <v>340</v>
      </c>
      <c r="B298" s="6" t="s">
        <v>20</v>
      </c>
      <c r="C298" s="7">
        <v>45699</v>
      </c>
      <c r="D298" s="6" t="s">
        <v>39</v>
      </c>
      <c r="E298" s="6" t="s">
        <v>122</v>
      </c>
      <c r="F298" s="6" t="s">
        <v>123</v>
      </c>
      <c r="G298" s="6">
        <v>3619</v>
      </c>
      <c r="H298" s="6">
        <v>1376</v>
      </c>
      <c r="I298" s="6">
        <v>410</v>
      </c>
      <c r="J298" s="6">
        <v>2499</v>
      </c>
      <c r="K298" s="6">
        <v>58146</v>
      </c>
      <c r="L298" s="6">
        <v>52149</v>
      </c>
      <c r="M298" s="6" t="s">
        <v>18</v>
      </c>
      <c r="N298" s="8">
        <f t="shared" si="6"/>
        <v>0.10364532397553165</v>
      </c>
    </row>
    <row r="299" spans="1:14" hidden="1" x14ac:dyDescent="0.25">
      <c r="A299" s="1" t="s">
        <v>341</v>
      </c>
      <c r="B299" s="4" t="s">
        <v>47</v>
      </c>
      <c r="C299" s="5">
        <v>45650</v>
      </c>
      <c r="D299" s="4" t="s">
        <v>15</v>
      </c>
      <c r="E299" s="4" t="s">
        <v>71</v>
      </c>
      <c r="F299" s="4"/>
      <c r="G299" s="4">
        <v>10512</v>
      </c>
      <c r="H299" s="4">
        <v>1197</v>
      </c>
      <c r="I299" s="4">
        <v>544</v>
      </c>
      <c r="J299" s="4">
        <v>2012</v>
      </c>
      <c r="K299" s="4">
        <v>10245</v>
      </c>
      <c r="L299" s="4">
        <v>140102</v>
      </c>
      <c r="M299" s="4" t="s">
        <v>18</v>
      </c>
      <c r="N299" s="9">
        <f t="shared" si="6"/>
        <v>8.745770938316369E-2</v>
      </c>
    </row>
    <row r="300" spans="1:14" hidden="1" x14ac:dyDescent="0.25">
      <c r="A300" s="2" t="s">
        <v>342</v>
      </c>
      <c r="B300" s="6" t="s">
        <v>14</v>
      </c>
      <c r="C300" s="7">
        <v>45924</v>
      </c>
      <c r="D300" s="6" t="s">
        <v>26</v>
      </c>
      <c r="E300" s="6" t="s">
        <v>48</v>
      </c>
      <c r="F300" s="6" t="s">
        <v>32</v>
      </c>
      <c r="G300" s="6">
        <v>3342</v>
      </c>
      <c r="H300" s="6">
        <v>787</v>
      </c>
      <c r="I300" s="6">
        <v>375</v>
      </c>
      <c r="J300" s="6">
        <v>907</v>
      </c>
      <c r="K300" s="6">
        <v>85823</v>
      </c>
      <c r="L300" s="6">
        <v>99189</v>
      </c>
      <c r="M300" s="6" t="s">
        <v>23</v>
      </c>
      <c r="N300" s="8">
        <f t="shared" si="6"/>
        <v>4.5408260996683103E-2</v>
      </c>
    </row>
    <row r="301" spans="1:14" hidden="1" x14ac:dyDescent="0.25">
      <c r="A301" s="1" t="s">
        <v>343</v>
      </c>
      <c r="B301" s="4" t="s">
        <v>25</v>
      </c>
      <c r="C301" s="5">
        <v>45925</v>
      </c>
      <c r="D301" s="4" t="s">
        <v>39</v>
      </c>
      <c r="E301" s="4" t="s">
        <v>62</v>
      </c>
      <c r="F301" s="4" t="s">
        <v>37</v>
      </c>
      <c r="G301" s="4">
        <v>12568</v>
      </c>
      <c r="H301" s="4">
        <v>541</v>
      </c>
      <c r="I301" s="4">
        <v>273</v>
      </c>
      <c r="J301" s="4">
        <v>2767</v>
      </c>
      <c r="K301" s="4">
        <v>22331</v>
      </c>
      <c r="L301" s="4">
        <v>192747</v>
      </c>
      <c r="M301" s="4" t="s">
        <v>23</v>
      </c>
      <c r="N301" s="9">
        <f t="shared" si="6"/>
        <v>6.9427799135654514E-2</v>
      </c>
    </row>
    <row r="302" spans="1:14" hidden="1" x14ac:dyDescent="0.25">
      <c r="A302" s="3" t="s">
        <v>344</v>
      </c>
      <c r="B302" s="10" t="s">
        <v>20</v>
      </c>
      <c r="C302" s="11">
        <v>45926</v>
      </c>
      <c r="D302" s="10" t="s">
        <v>31</v>
      </c>
      <c r="E302" s="10" t="s">
        <v>48</v>
      </c>
      <c r="F302" s="10" t="s">
        <v>32</v>
      </c>
      <c r="G302" s="10">
        <v>21216</v>
      </c>
      <c r="H302" s="10">
        <v>226</v>
      </c>
      <c r="I302" s="10">
        <v>187</v>
      </c>
      <c r="J302" s="10">
        <v>1573</v>
      </c>
      <c r="K302" s="10">
        <v>62688</v>
      </c>
      <c r="L302" s="10">
        <v>111031</v>
      </c>
      <c r="M302" s="10" t="s">
        <v>23</v>
      </c>
      <c r="N302" s="12">
        <f t="shared" si="6"/>
        <v>0.19480145184678152</v>
      </c>
    </row>
    <row r="306" spans="1:14" ht="15.75" x14ac:dyDescent="0.25">
      <c r="A306" s="69" t="s">
        <v>367</v>
      </c>
      <c r="B306" s="69"/>
      <c r="C306" s="69"/>
      <c r="D306" s="69"/>
      <c r="F306" s="70" t="s">
        <v>368</v>
      </c>
      <c r="G306" s="70"/>
      <c r="M306" s="71" t="s">
        <v>430</v>
      </c>
      <c r="N306" s="71"/>
    </row>
    <row r="307" spans="1:14" x14ac:dyDescent="0.25">
      <c r="A307" s="52" t="s">
        <v>362</v>
      </c>
      <c r="B307" s="52" t="s">
        <v>364</v>
      </c>
      <c r="C307" s="27" t="s">
        <v>365</v>
      </c>
      <c r="D307" s="27" t="s">
        <v>366</v>
      </c>
      <c r="F307" s="50" t="s">
        <v>362</v>
      </c>
      <c r="G307" s="51" t="s">
        <v>378</v>
      </c>
      <c r="M307" s="33" t="s">
        <v>362</v>
      </c>
      <c r="N307" s="29" t="s">
        <v>378</v>
      </c>
    </row>
    <row r="308" spans="1:14" x14ac:dyDescent="0.25">
      <c r="A308" s="31" t="s">
        <v>39</v>
      </c>
      <c r="B308" s="32">
        <v>1199672</v>
      </c>
      <c r="C308" s="32">
        <v>81330</v>
      </c>
      <c r="D308" s="32">
        <v>54382</v>
      </c>
      <c r="F308" s="28" t="s">
        <v>48</v>
      </c>
      <c r="G308" s="46">
        <v>1811.3103448275863</v>
      </c>
      <c r="M308" s="28" t="s">
        <v>48</v>
      </c>
      <c r="N308" s="46">
        <v>1811.3103448275863</v>
      </c>
    </row>
    <row r="309" spans="1:14" x14ac:dyDescent="0.25">
      <c r="A309" s="30" t="s">
        <v>25</v>
      </c>
      <c r="B309" s="29">
        <v>278757</v>
      </c>
      <c r="C309" s="29">
        <v>16508</v>
      </c>
      <c r="D309" s="29">
        <v>13676</v>
      </c>
      <c r="F309" s="28" t="s">
        <v>44</v>
      </c>
      <c r="G309" s="46">
        <v>1711.5135135135135</v>
      </c>
      <c r="M309" s="28" t="s">
        <v>43</v>
      </c>
      <c r="N309" s="46">
        <v>1711.5135135135135</v>
      </c>
    </row>
    <row r="310" spans="1:14" x14ac:dyDescent="0.25">
      <c r="A310" s="30" t="s">
        <v>20</v>
      </c>
      <c r="B310" s="29">
        <v>246297</v>
      </c>
      <c r="C310" s="29">
        <v>18856</v>
      </c>
      <c r="D310" s="29">
        <v>12611</v>
      </c>
      <c r="F310" s="28" t="s">
        <v>43</v>
      </c>
      <c r="G310" s="46">
        <v>1711.5135135135135</v>
      </c>
      <c r="M310" s="28" t="s">
        <v>44</v>
      </c>
      <c r="N310" s="46">
        <v>1711.5135135135135</v>
      </c>
    </row>
    <row r="311" spans="1:14" x14ac:dyDescent="0.25">
      <c r="A311" s="30" t="s">
        <v>47</v>
      </c>
      <c r="B311" s="29">
        <v>394886</v>
      </c>
      <c r="C311" s="29">
        <v>21298</v>
      </c>
      <c r="D311" s="29">
        <v>14381</v>
      </c>
      <c r="F311" s="28" t="s">
        <v>62</v>
      </c>
      <c r="G311" s="46">
        <v>1706.76</v>
      </c>
      <c r="M311" s="28" t="s">
        <v>62</v>
      </c>
      <c r="N311" s="46">
        <v>1706.76</v>
      </c>
    </row>
    <row r="312" spans="1:14" x14ac:dyDescent="0.25">
      <c r="A312" s="30" t="s">
        <v>14</v>
      </c>
      <c r="B312" s="29">
        <v>279732</v>
      </c>
      <c r="C312" s="29">
        <v>24668</v>
      </c>
      <c r="D312" s="29">
        <v>13714</v>
      </c>
      <c r="F312" s="28" t="s">
        <v>21</v>
      </c>
      <c r="G312" s="46">
        <v>1680.3571428571429</v>
      </c>
      <c r="M312" s="28" t="s">
        <v>21</v>
      </c>
      <c r="N312" s="46">
        <v>1680.3571428571429</v>
      </c>
    </row>
    <row r="313" spans="1:14" x14ac:dyDescent="0.25">
      <c r="A313" s="31" t="s">
        <v>15</v>
      </c>
      <c r="B313" s="32">
        <v>891508</v>
      </c>
      <c r="C313" s="32">
        <v>57094</v>
      </c>
      <c r="D313" s="32">
        <v>39063</v>
      </c>
      <c r="F313" s="28" t="s">
        <v>22</v>
      </c>
      <c r="G313" s="46">
        <v>1680.3571428571429</v>
      </c>
      <c r="M313" s="28" t="s">
        <v>22</v>
      </c>
      <c r="N313" s="46">
        <v>1680.3571428571429</v>
      </c>
    </row>
    <row r="314" spans="1:14" x14ac:dyDescent="0.25">
      <c r="A314" s="30" t="s">
        <v>25</v>
      </c>
      <c r="B314" s="29">
        <v>218031</v>
      </c>
      <c r="C314" s="29">
        <v>18753</v>
      </c>
      <c r="D314" s="29">
        <v>10389</v>
      </c>
      <c r="F314" s="28" t="s">
        <v>16</v>
      </c>
      <c r="G314" s="46">
        <v>1674.96</v>
      </c>
    </row>
    <row r="315" spans="1:14" x14ac:dyDescent="0.25">
      <c r="A315" s="30" t="s">
        <v>20</v>
      </c>
      <c r="B315" s="29">
        <v>329722</v>
      </c>
      <c r="C315" s="29">
        <v>19905</v>
      </c>
      <c r="D315" s="29">
        <v>14305</v>
      </c>
      <c r="F315" s="28" t="s">
        <v>17</v>
      </c>
      <c r="G315" s="46">
        <v>1674.96</v>
      </c>
      <c r="M315" s="58" t="s">
        <v>470</v>
      </c>
    </row>
    <row r="316" spans="1:14" x14ac:dyDescent="0.25">
      <c r="A316" s="30" t="s">
        <v>47</v>
      </c>
      <c r="B316" s="29">
        <v>148676</v>
      </c>
      <c r="C316" s="29">
        <v>7832</v>
      </c>
      <c r="D316" s="29">
        <v>6092</v>
      </c>
      <c r="F316" s="28" t="s">
        <v>37</v>
      </c>
      <c r="G316" s="46">
        <v>1662.3414634146341</v>
      </c>
    </row>
    <row r="317" spans="1:14" x14ac:dyDescent="0.25">
      <c r="A317" s="30" t="s">
        <v>14</v>
      </c>
      <c r="B317" s="29">
        <v>195079</v>
      </c>
      <c r="C317" s="29">
        <v>10604</v>
      </c>
      <c r="D317" s="29">
        <v>8277</v>
      </c>
      <c r="F317" s="28" t="s">
        <v>32</v>
      </c>
      <c r="G317" s="46">
        <v>1639.2249999999999</v>
      </c>
    </row>
    <row r="318" spans="1:14" x14ac:dyDescent="0.25">
      <c r="A318" s="31" t="s">
        <v>26</v>
      </c>
      <c r="B318" s="32">
        <v>922075</v>
      </c>
      <c r="C318" s="32">
        <v>62711</v>
      </c>
      <c r="D318" s="32">
        <v>37570</v>
      </c>
      <c r="F318" s="28" t="s">
        <v>27</v>
      </c>
      <c r="G318" s="46">
        <v>1592.72</v>
      </c>
    </row>
    <row r="319" spans="1:14" x14ac:dyDescent="0.25">
      <c r="A319" s="30" t="s">
        <v>25</v>
      </c>
      <c r="B319" s="29">
        <v>206053</v>
      </c>
      <c r="C319" s="29">
        <v>14750</v>
      </c>
      <c r="D319" s="29">
        <v>9295</v>
      </c>
      <c r="F319" s="28" t="s">
        <v>28</v>
      </c>
      <c r="G319" s="46">
        <v>1592.72</v>
      </c>
    </row>
    <row r="320" spans="1:14" x14ac:dyDescent="0.25">
      <c r="A320" s="30" t="s">
        <v>20</v>
      </c>
      <c r="B320" s="29">
        <v>279588</v>
      </c>
      <c r="C320" s="29">
        <v>17963</v>
      </c>
      <c r="D320" s="29">
        <v>11014</v>
      </c>
      <c r="F320" s="28" t="s">
        <v>57</v>
      </c>
      <c r="G320" s="46">
        <v>1579.4375</v>
      </c>
    </row>
    <row r="321" spans="1:7" x14ac:dyDescent="0.25">
      <c r="A321" s="30" t="s">
        <v>47</v>
      </c>
      <c r="B321" s="29">
        <v>249305</v>
      </c>
      <c r="C321" s="29">
        <v>15862</v>
      </c>
      <c r="D321" s="29">
        <v>9160</v>
      </c>
      <c r="F321" s="28" t="s">
        <v>33</v>
      </c>
      <c r="G321" s="46">
        <v>1477.2631578947369</v>
      </c>
    </row>
    <row r="322" spans="1:7" x14ac:dyDescent="0.25">
      <c r="A322" s="30" t="s">
        <v>14</v>
      </c>
      <c r="B322" s="29">
        <v>187129</v>
      </c>
      <c r="C322" s="29">
        <v>14136</v>
      </c>
      <c r="D322" s="29">
        <v>8101</v>
      </c>
      <c r="F322" s="28" t="s">
        <v>41</v>
      </c>
      <c r="G322" s="46">
        <v>1463.2941176470588</v>
      </c>
    </row>
    <row r="323" spans="1:7" x14ac:dyDescent="0.25">
      <c r="A323" s="31" t="s">
        <v>31</v>
      </c>
      <c r="B323" s="32">
        <v>1054188</v>
      </c>
      <c r="C323" s="32">
        <v>60151</v>
      </c>
      <c r="D323" s="32">
        <v>41373</v>
      </c>
      <c r="F323" s="28" t="s">
        <v>40</v>
      </c>
      <c r="G323" s="46">
        <v>1463.2941176470588</v>
      </c>
    </row>
    <row r="324" spans="1:7" x14ac:dyDescent="0.25">
      <c r="A324" s="30" t="s">
        <v>25</v>
      </c>
      <c r="B324" s="29">
        <v>244355</v>
      </c>
      <c r="C324" s="29">
        <v>13194</v>
      </c>
      <c r="D324" s="29">
        <v>7426</v>
      </c>
      <c r="F324" s="28" t="s">
        <v>122</v>
      </c>
      <c r="G324" s="46">
        <v>1459.3076923076924</v>
      </c>
    </row>
    <row r="325" spans="1:7" x14ac:dyDescent="0.25">
      <c r="A325" s="30" t="s">
        <v>20</v>
      </c>
      <c r="B325" s="29">
        <v>278759</v>
      </c>
      <c r="C325" s="29">
        <v>14236</v>
      </c>
      <c r="D325" s="29">
        <v>11770</v>
      </c>
      <c r="F325" s="28" t="s">
        <v>123</v>
      </c>
      <c r="G325" s="46">
        <v>1459.3076923076924</v>
      </c>
    </row>
    <row r="326" spans="1:7" x14ac:dyDescent="0.25">
      <c r="A326" s="30" t="s">
        <v>47</v>
      </c>
      <c r="B326" s="29">
        <v>244756</v>
      </c>
      <c r="C326" s="29">
        <v>14669</v>
      </c>
      <c r="D326" s="29">
        <v>9640</v>
      </c>
      <c r="F326" s="28" t="s">
        <v>71</v>
      </c>
      <c r="G326" s="46">
        <v>1289.4117647058824</v>
      </c>
    </row>
    <row r="327" spans="1:7" x14ac:dyDescent="0.25">
      <c r="A327" s="30" t="s">
        <v>14</v>
      </c>
      <c r="B327" s="29">
        <v>286318</v>
      </c>
      <c r="C327" s="29">
        <v>18052</v>
      </c>
      <c r="D327" s="29">
        <v>12537</v>
      </c>
    </row>
    <row r="328" spans="1:7" x14ac:dyDescent="0.25">
      <c r="A328" s="28" t="s">
        <v>363</v>
      </c>
      <c r="B328" s="29">
        <v>4067443</v>
      </c>
      <c r="C328" s="29">
        <v>261286</v>
      </c>
      <c r="D328" s="29">
        <v>172388</v>
      </c>
    </row>
  </sheetData>
  <autoFilter ref="N2:N302" xr:uid="{666404B7-8E7A-4BB6-A7F3-1BE24AD0E6F2}">
    <filterColumn colId="0">
      <top10 val="10" filterVal="0.33811899081905589"/>
    </filterColumn>
    <sortState xmlns:xlrd2="http://schemas.microsoft.com/office/spreadsheetml/2017/richdata2" ref="A15:N289">
      <sortCondition descending="1" ref="N2:N302"/>
    </sortState>
  </autoFilter>
  <mergeCells count="4">
    <mergeCell ref="A1:N1"/>
    <mergeCell ref="A306:D306"/>
    <mergeCell ref="F306:G306"/>
    <mergeCell ref="M306:N306"/>
  </mergeCells>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CE094-004C-4F15-8FDD-54B2ACD5FCB9}">
  <dimension ref="A1:I33"/>
  <sheetViews>
    <sheetView workbookViewId="0">
      <selection activeCell="B21" sqref="B21"/>
    </sheetView>
  </sheetViews>
  <sheetFormatPr defaultRowHeight="15" x14ac:dyDescent="0.25"/>
  <cols>
    <col min="1" max="1" width="13.140625" bestFit="1" customWidth="1"/>
    <col min="2" max="2" width="18.5703125" customWidth="1"/>
    <col min="3" max="5" width="18.85546875" bestFit="1" customWidth="1"/>
    <col min="6" max="6" width="18" bestFit="1" customWidth="1"/>
    <col min="7" max="7" width="12" bestFit="1" customWidth="1"/>
  </cols>
  <sheetData>
    <row r="1" spans="1:9" x14ac:dyDescent="0.25">
      <c r="A1" s="74" t="s">
        <v>440</v>
      </c>
      <c r="B1" s="74"/>
    </row>
    <row r="2" spans="1:9" x14ac:dyDescent="0.25">
      <c r="A2" s="33" t="s">
        <v>362</v>
      </c>
      <c r="B2" s="29" t="s">
        <v>431</v>
      </c>
    </row>
    <row r="3" spans="1:9" x14ac:dyDescent="0.25">
      <c r="A3" s="28" t="s">
        <v>20</v>
      </c>
      <c r="B3" s="29">
        <v>1255026</v>
      </c>
    </row>
    <row r="4" spans="1:9" x14ac:dyDescent="0.25">
      <c r="A4" s="28" t="s">
        <v>47</v>
      </c>
      <c r="B4" s="29">
        <v>1136557</v>
      </c>
    </row>
    <row r="5" spans="1:9" x14ac:dyDescent="0.25">
      <c r="A5" s="28" t="s">
        <v>14</v>
      </c>
      <c r="B5" s="29">
        <v>1058347</v>
      </c>
    </row>
    <row r="6" spans="1:9" x14ac:dyDescent="0.25">
      <c r="A6" s="28" t="s">
        <v>25</v>
      </c>
      <c r="B6" s="29">
        <v>1051187</v>
      </c>
    </row>
    <row r="8" spans="1:9" x14ac:dyDescent="0.25">
      <c r="A8" s="74" t="s">
        <v>436</v>
      </c>
      <c r="B8" s="74"/>
    </row>
    <row r="9" spans="1:9" x14ac:dyDescent="0.25">
      <c r="A9" s="33" t="s">
        <v>362</v>
      </c>
      <c r="B9" s="29" t="s">
        <v>369</v>
      </c>
    </row>
    <row r="10" spans="1:9" x14ac:dyDescent="0.25">
      <c r="A10" s="28" t="s">
        <v>25</v>
      </c>
      <c r="B10" s="45">
        <v>0.2929823270905052</v>
      </c>
    </row>
    <row r="11" spans="1:9" x14ac:dyDescent="0.25">
      <c r="A11" s="28" t="s">
        <v>47</v>
      </c>
      <c r="B11" s="45">
        <v>0.16021217582869862</v>
      </c>
    </row>
    <row r="12" spans="1:9" x14ac:dyDescent="0.25">
      <c r="A12" s="28" t="s">
        <v>20</v>
      </c>
      <c r="B12" s="45">
        <v>0.14051571163913937</v>
      </c>
    </row>
    <row r="13" spans="1:9" x14ac:dyDescent="0.25">
      <c r="A13" s="28" t="s">
        <v>14</v>
      </c>
      <c r="B13" s="45">
        <v>4.4748617581897847E-2</v>
      </c>
    </row>
    <row r="14" spans="1:9" x14ac:dyDescent="0.25">
      <c r="A14" s="28" t="s">
        <v>363</v>
      </c>
      <c r="B14" s="45">
        <v>0.63845883214024102</v>
      </c>
      <c r="D14" t="s">
        <v>456</v>
      </c>
      <c r="I14" t="s">
        <v>457</v>
      </c>
    </row>
    <row r="18" spans="1:6" x14ac:dyDescent="0.25">
      <c r="A18" s="74" t="s">
        <v>437</v>
      </c>
      <c r="B18" s="74"/>
      <c r="C18" s="74"/>
    </row>
    <row r="20" spans="1:6" ht="15.75" x14ac:dyDescent="0.25">
      <c r="A20" s="33" t="s">
        <v>362</v>
      </c>
      <c r="B20" s="29" t="s">
        <v>431</v>
      </c>
      <c r="D20" s="75" t="s">
        <v>434</v>
      </c>
      <c r="E20" s="75"/>
      <c r="F20" s="75"/>
    </row>
    <row r="21" spans="1:6" x14ac:dyDescent="0.25">
      <c r="A21" s="28" t="s">
        <v>14</v>
      </c>
      <c r="B21" s="29">
        <v>1058347</v>
      </c>
      <c r="D21" s="35" t="s">
        <v>1</v>
      </c>
      <c r="E21" s="35" t="s">
        <v>433</v>
      </c>
      <c r="F21" s="35" t="s">
        <v>432</v>
      </c>
    </row>
    <row r="22" spans="1:6" x14ac:dyDescent="0.25">
      <c r="A22" s="28" t="s">
        <v>47</v>
      </c>
      <c r="B22" s="29">
        <v>1136557</v>
      </c>
      <c r="D22" s="28" t="s">
        <v>14</v>
      </c>
      <c r="E22" s="29">
        <v>1058347</v>
      </c>
      <c r="F22" s="49">
        <v>128749</v>
      </c>
    </row>
    <row r="23" spans="1:6" x14ac:dyDescent="0.25">
      <c r="A23" s="28" t="s">
        <v>20</v>
      </c>
      <c r="B23" s="29">
        <v>1255026</v>
      </c>
      <c r="D23" s="28" t="s">
        <v>47</v>
      </c>
      <c r="E23" s="29">
        <v>1136557</v>
      </c>
      <c r="F23" s="49">
        <v>349633</v>
      </c>
    </row>
    <row r="24" spans="1:6" x14ac:dyDescent="0.25">
      <c r="A24" s="28" t="s">
        <v>25</v>
      </c>
      <c r="B24" s="29">
        <v>1051187</v>
      </c>
      <c r="D24" s="28" t="s">
        <v>20</v>
      </c>
      <c r="E24" s="29">
        <v>1255026</v>
      </c>
      <c r="F24" s="49">
        <v>607249</v>
      </c>
    </row>
    <row r="25" spans="1:6" x14ac:dyDescent="0.25">
      <c r="D25" s="28" t="s">
        <v>25</v>
      </c>
      <c r="E25" s="29">
        <v>1051187</v>
      </c>
      <c r="F25" s="49">
        <v>596089</v>
      </c>
    </row>
    <row r="27" spans="1:6" x14ac:dyDescent="0.25">
      <c r="A27" s="33" t="s">
        <v>362</v>
      </c>
      <c r="B27" s="29" t="s">
        <v>370</v>
      </c>
    </row>
    <row r="28" spans="1:6" x14ac:dyDescent="0.25">
      <c r="A28" s="28" t="s">
        <v>14</v>
      </c>
      <c r="B28" s="49">
        <v>128749</v>
      </c>
    </row>
    <row r="29" spans="1:6" x14ac:dyDescent="0.25">
      <c r="A29" s="28" t="s">
        <v>47</v>
      </c>
      <c r="B29" s="49">
        <v>349633</v>
      </c>
    </row>
    <row r="30" spans="1:6" x14ac:dyDescent="0.25">
      <c r="A30" s="28" t="s">
        <v>20</v>
      </c>
      <c r="B30" s="49">
        <v>607249</v>
      </c>
    </row>
    <row r="31" spans="1:6" x14ac:dyDescent="0.25">
      <c r="A31" s="28" t="s">
        <v>25</v>
      </c>
      <c r="B31" s="49">
        <v>596089</v>
      </c>
    </row>
    <row r="33" spans="1:2" x14ac:dyDescent="0.25">
      <c r="A33" s="72" t="s">
        <v>463</v>
      </c>
      <c r="B33" s="73"/>
    </row>
  </sheetData>
  <mergeCells count="5">
    <mergeCell ref="A33:B33"/>
    <mergeCell ref="A1:B1"/>
    <mergeCell ref="A8:B8"/>
    <mergeCell ref="D20:F20"/>
    <mergeCell ref="A18:C18"/>
  </mergeCells>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F18DD-BC0E-42DE-9C3A-E38D763F24A2}">
  <dimension ref="A2:H51"/>
  <sheetViews>
    <sheetView workbookViewId="0">
      <selection activeCell="H8" sqref="H8"/>
    </sheetView>
  </sheetViews>
  <sheetFormatPr defaultRowHeight="15" x14ac:dyDescent="0.25"/>
  <cols>
    <col min="1" max="1" width="19.85546875" bestFit="1" customWidth="1"/>
    <col min="2" max="2" width="22.28515625" customWidth="1"/>
    <col min="3" max="3" width="19.28515625" bestFit="1" customWidth="1"/>
    <col min="4" max="4" width="19.85546875" bestFit="1" customWidth="1"/>
    <col min="5" max="5" width="22.85546875" bestFit="1" customWidth="1"/>
    <col min="6" max="6" width="23.42578125" bestFit="1" customWidth="1"/>
    <col min="7" max="7" width="29.85546875" bestFit="1" customWidth="1"/>
    <col min="8" max="8" width="19.28515625" bestFit="1" customWidth="1"/>
  </cols>
  <sheetData>
    <row r="2" spans="1:8" ht="15.75" x14ac:dyDescent="0.25">
      <c r="A2" s="76" t="str">
        <f>PROPER("the most frequently used Apple hashtags")</f>
        <v>The Most Frequently Used Apple Hashtags</v>
      </c>
      <c r="B2" s="76"/>
      <c r="D2" s="74" t="s">
        <v>438</v>
      </c>
      <c r="E2" s="74"/>
      <c r="G2" s="74" t="s">
        <v>441</v>
      </c>
      <c r="H2" s="74"/>
    </row>
    <row r="3" spans="1:8" x14ac:dyDescent="0.25">
      <c r="A3" s="33" t="s">
        <v>362</v>
      </c>
      <c r="B3" s="29" t="s">
        <v>435</v>
      </c>
      <c r="D3" s="33" t="s">
        <v>362</v>
      </c>
      <c r="E3" s="29" t="s">
        <v>466</v>
      </c>
      <c r="G3" s="33" t="s">
        <v>362</v>
      </c>
      <c r="H3" s="29" t="s">
        <v>372</v>
      </c>
    </row>
    <row r="4" spans="1:8" x14ac:dyDescent="0.25">
      <c r="A4" s="28" t="s">
        <v>32</v>
      </c>
      <c r="B4" s="29">
        <v>80</v>
      </c>
      <c r="D4" s="28" t="s">
        <v>16</v>
      </c>
      <c r="E4" s="53">
        <v>15.935957516290408</v>
      </c>
      <c r="G4" s="28" t="s">
        <v>39</v>
      </c>
      <c r="H4" s="29"/>
    </row>
    <row r="5" spans="1:8" x14ac:dyDescent="0.25">
      <c r="A5" s="28" t="s">
        <v>37</v>
      </c>
      <c r="B5" s="29">
        <v>41</v>
      </c>
      <c r="D5" s="28" t="s">
        <v>17</v>
      </c>
      <c r="E5" s="53">
        <v>15.935957516290408</v>
      </c>
      <c r="G5" s="30" t="s">
        <v>358</v>
      </c>
      <c r="H5" s="29">
        <v>305.00198683935412</v>
      </c>
    </row>
    <row r="6" spans="1:8" x14ac:dyDescent="0.25">
      <c r="A6" s="28" t="s">
        <v>43</v>
      </c>
      <c r="B6" s="29">
        <v>37</v>
      </c>
      <c r="D6" s="28" t="s">
        <v>37</v>
      </c>
      <c r="E6" s="53">
        <v>14.819257670983694</v>
      </c>
      <c r="G6" s="30" t="s">
        <v>356</v>
      </c>
      <c r="H6" s="29">
        <v>296.57133744091061</v>
      </c>
    </row>
    <row r="7" spans="1:8" x14ac:dyDescent="0.25">
      <c r="A7" s="28" t="s">
        <v>44</v>
      </c>
      <c r="B7" s="29">
        <v>37</v>
      </c>
      <c r="D7" s="28" t="s">
        <v>41</v>
      </c>
      <c r="E7" s="53">
        <v>14.780720244282771</v>
      </c>
      <c r="G7" s="30" t="s">
        <v>360</v>
      </c>
      <c r="H7" s="29">
        <v>262.31891082419008</v>
      </c>
    </row>
    <row r="8" spans="1:8" x14ac:dyDescent="0.25">
      <c r="A8" s="28" t="s">
        <v>40</v>
      </c>
      <c r="B8" s="29">
        <v>34</v>
      </c>
      <c r="D8" s="28" t="s">
        <v>40</v>
      </c>
      <c r="E8" s="53">
        <v>14.780720244282771</v>
      </c>
      <c r="G8" s="30" t="s">
        <v>357</v>
      </c>
      <c r="H8" s="29">
        <v>242.4238570676853</v>
      </c>
    </row>
    <row r="9" spans="1:8" x14ac:dyDescent="0.25">
      <c r="A9" s="28" t="s">
        <v>41</v>
      </c>
      <c r="B9" s="29">
        <v>34</v>
      </c>
      <c r="D9" s="28" t="s">
        <v>57</v>
      </c>
      <c r="E9" s="53">
        <v>13.774528525667298</v>
      </c>
      <c r="G9" s="30" t="s">
        <v>359</v>
      </c>
      <c r="H9" s="29">
        <v>143.33744286032208</v>
      </c>
    </row>
    <row r="10" spans="1:8" x14ac:dyDescent="0.25">
      <c r="A10" s="28" t="s">
        <v>57</v>
      </c>
      <c r="B10" s="29">
        <v>32</v>
      </c>
      <c r="D10" s="28" t="s">
        <v>122</v>
      </c>
      <c r="E10" s="53">
        <v>13.561432174047471</v>
      </c>
      <c r="G10" s="28" t="s">
        <v>31</v>
      </c>
      <c r="H10" s="29"/>
    </row>
    <row r="11" spans="1:8" x14ac:dyDescent="0.25">
      <c r="A11" s="28" t="s">
        <v>48</v>
      </c>
      <c r="B11" s="29">
        <v>29</v>
      </c>
      <c r="D11" s="28" t="s">
        <v>123</v>
      </c>
      <c r="E11" s="53">
        <v>13.561432174047471</v>
      </c>
      <c r="G11" s="30" t="s">
        <v>358</v>
      </c>
      <c r="H11" s="29">
        <v>330.07118052722433</v>
      </c>
    </row>
    <row r="12" spans="1:8" x14ac:dyDescent="0.25">
      <c r="A12" s="28" t="s">
        <v>21</v>
      </c>
      <c r="B12" s="29">
        <v>28</v>
      </c>
      <c r="D12" s="28" t="s">
        <v>62</v>
      </c>
      <c r="E12" s="53">
        <v>13.377276656867487</v>
      </c>
      <c r="G12" s="30" t="s">
        <v>359</v>
      </c>
      <c r="H12" s="29">
        <v>303.99015457228364</v>
      </c>
    </row>
    <row r="13" spans="1:8" x14ac:dyDescent="0.25">
      <c r="A13" s="28" t="s">
        <v>22</v>
      </c>
      <c r="B13" s="29">
        <v>28</v>
      </c>
      <c r="D13" s="28" t="s">
        <v>21</v>
      </c>
      <c r="E13" s="53">
        <v>13.328923816859637</v>
      </c>
      <c r="G13" s="30" t="s">
        <v>360</v>
      </c>
      <c r="H13" s="29">
        <v>203.12694165206895</v>
      </c>
    </row>
    <row r="14" spans="1:8" x14ac:dyDescent="0.25">
      <c r="A14" s="28" t="s">
        <v>28</v>
      </c>
      <c r="B14" s="29">
        <v>25</v>
      </c>
      <c r="D14" s="28" t="s">
        <v>22</v>
      </c>
      <c r="E14" s="53">
        <v>13.328923816859637</v>
      </c>
      <c r="G14" s="30" t="s">
        <v>356</v>
      </c>
      <c r="H14" s="29">
        <v>157.20891616443492</v>
      </c>
    </row>
    <row r="15" spans="1:8" x14ac:dyDescent="0.25">
      <c r="A15" s="28" t="s">
        <v>62</v>
      </c>
      <c r="B15" s="29">
        <v>25</v>
      </c>
      <c r="D15" s="28" t="s">
        <v>32</v>
      </c>
      <c r="E15" s="53">
        <v>13.054496267915969</v>
      </c>
      <c r="G15" s="30" t="s">
        <v>357</v>
      </c>
      <c r="H15" s="29">
        <v>92.691714318450749</v>
      </c>
    </row>
    <row r="16" spans="1:8" x14ac:dyDescent="0.25">
      <c r="A16" s="28" t="s">
        <v>27</v>
      </c>
      <c r="B16" s="29">
        <v>25</v>
      </c>
      <c r="D16" s="28" t="s">
        <v>48</v>
      </c>
      <c r="E16" s="53">
        <v>12.725524994064985</v>
      </c>
      <c r="G16" s="28" t="s">
        <v>26</v>
      </c>
      <c r="H16" s="29"/>
    </row>
    <row r="17" spans="1:8" x14ac:dyDescent="0.25">
      <c r="A17" s="28" t="s">
        <v>16</v>
      </c>
      <c r="B17" s="29">
        <v>25</v>
      </c>
      <c r="D17" s="28" t="s">
        <v>43</v>
      </c>
      <c r="E17" s="53">
        <v>12.703510103411048</v>
      </c>
      <c r="G17" s="30" t="s">
        <v>360</v>
      </c>
      <c r="H17" s="29">
        <v>226.30825999018057</v>
      </c>
    </row>
    <row r="18" spans="1:8" x14ac:dyDescent="0.25">
      <c r="A18" s="28" t="s">
        <v>17</v>
      </c>
      <c r="B18" s="29">
        <v>25</v>
      </c>
      <c r="D18" s="28" t="s">
        <v>44</v>
      </c>
      <c r="E18" s="53">
        <v>12.703510103411048</v>
      </c>
      <c r="G18" s="30" t="s">
        <v>356</v>
      </c>
      <c r="H18" s="29">
        <v>193.71835064825362</v>
      </c>
    </row>
    <row r="19" spans="1:8" x14ac:dyDescent="0.25">
      <c r="A19" s="28" t="s">
        <v>33</v>
      </c>
      <c r="B19" s="29">
        <v>19</v>
      </c>
      <c r="D19" s="28" t="s">
        <v>27</v>
      </c>
      <c r="E19" s="53">
        <v>12.379916837022265</v>
      </c>
      <c r="G19" s="30" t="s">
        <v>358</v>
      </c>
      <c r="H19" s="29">
        <v>177.86828301587005</v>
      </c>
    </row>
    <row r="20" spans="1:8" x14ac:dyDescent="0.25">
      <c r="A20" s="28" t="s">
        <v>71</v>
      </c>
      <c r="B20" s="29">
        <v>17</v>
      </c>
      <c r="D20" s="28" t="s">
        <v>28</v>
      </c>
      <c r="E20" s="53">
        <v>12.379916837022265</v>
      </c>
      <c r="G20" s="30" t="s">
        <v>359</v>
      </c>
      <c r="H20" s="29">
        <v>149.47569512379488</v>
      </c>
    </row>
    <row r="21" spans="1:8" x14ac:dyDescent="0.25">
      <c r="A21" s="28" t="s">
        <v>122</v>
      </c>
      <c r="B21" s="29">
        <v>13</v>
      </c>
      <c r="D21" s="28" t="s">
        <v>33</v>
      </c>
      <c r="E21" s="53">
        <v>12.343924409686295</v>
      </c>
      <c r="G21" s="30" t="s">
        <v>357</v>
      </c>
      <c r="H21" s="29">
        <v>131.03348788148782</v>
      </c>
    </row>
    <row r="22" spans="1:8" x14ac:dyDescent="0.25">
      <c r="A22" s="28" t="s">
        <v>123</v>
      </c>
      <c r="B22" s="29">
        <v>13</v>
      </c>
      <c r="D22" s="28" t="s">
        <v>71</v>
      </c>
      <c r="E22" s="53">
        <v>11.890803934075519</v>
      </c>
      <c r="G22" s="28" t="s">
        <v>15</v>
      </c>
      <c r="H22" s="29"/>
    </row>
    <row r="23" spans="1:8" x14ac:dyDescent="0.25">
      <c r="G23" s="30" t="s">
        <v>358</v>
      </c>
      <c r="H23" s="29">
        <v>238.03197951694452</v>
      </c>
    </row>
    <row r="24" spans="1:8" x14ac:dyDescent="0.25">
      <c r="G24" s="30" t="s">
        <v>360</v>
      </c>
      <c r="H24" s="29">
        <v>225.38956910210737</v>
      </c>
    </row>
    <row r="25" spans="1:8" x14ac:dyDescent="0.25">
      <c r="G25" s="30" t="s">
        <v>356</v>
      </c>
      <c r="H25" s="29">
        <v>150.10062979106863</v>
      </c>
    </row>
    <row r="26" spans="1:8" x14ac:dyDescent="0.25">
      <c r="G26" s="30" t="s">
        <v>357</v>
      </c>
      <c r="H26" s="29">
        <v>140.72786499284874</v>
      </c>
    </row>
    <row r="27" spans="1:8" x14ac:dyDescent="0.25">
      <c r="G27" s="30" t="s">
        <v>359</v>
      </c>
      <c r="H27" s="29">
        <v>114.67607659273899</v>
      </c>
    </row>
    <row r="29" spans="1:8" x14ac:dyDescent="0.25">
      <c r="A29" s="77" t="s">
        <v>458</v>
      </c>
      <c r="B29" s="77"/>
      <c r="D29" s="78" t="s">
        <v>459</v>
      </c>
      <c r="E29" s="78"/>
    </row>
    <row r="30" spans="1:8" x14ac:dyDescent="0.25">
      <c r="A30" s="33" t="s">
        <v>362</v>
      </c>
      <c r="B30" s="29" t="s">
        <v>372</v>
      </c>
    </row>
    <row r="31" spans="1:8" x14ac:dyDescent="0.25">
      <c r="A31" s="28" t="s">
        <v>25</v>
      </c>
      <c r="B31" s="53">
        <v>973.46736318736248</v>
      </c>
    </row>
    <row r="32" spans="1:8" x14ac:dyDescent="0.25">
      <c r="A32" s="30" t="s">
        <v>39</v>
      </c>
      <c r="B32" s="53">
        <v>307.15927181251215</v>
      </c>
    </row>
    <row r="33" spans="1:2" x14ac:dyDescent="0.25">
      <c r="A33" s="30" t="s">
        <v>31</v>
      </c>
      <c r="B33" s="53">
        <v>258.7025132505936</v>
      </c>
    </row>
    <row r="34" spans="1:2" x14ac:dyDescent="0.25">
      <c r="A34" s="30" t="s">
        <v>15</v>
      </c>
      <c r="B34" s="53">
        <v>207.55030146583795</v>
      </c>
    </row>
    <row r="35" spans="1:2" x14ac:dyDescent="0.25">
      <c r="A35" s="30" t="s">
        <v>26</v>
      </c>
      <c r="B35" s="53">
        <v>200.05527665841882</v>
      </c>
    </row>
    <row r="36" spans="1:2" x14ac:dyDescent="0.25">
      <c r="A36" s="28" t="s">
        <v>20</v>
      </c>
      <c r="B36" s="53">
        <v>1115.8003221826716</v>
      </c>
    </row>
    <row r="37" spans="1:2" x14ac:dyDescent="0.25">
      <c r="A37" s="30" t="s">
        <v>15</v>
      </c>
      <c r="B37" s="53">
        <v>323.23958647455402</v>
      </c>
    </row>
    <row r="38" spans="1:2" x14ac:dyDescent="0.25">
      <c r="A38" s="30" t="s">
        <v>31</v>
      </c>
      <c r="B38" s="53">
        <v>306.88186730578775</v>
      </c>
    </row>
    <row r="39" spans="1:2" x14ac:dyDescent="0.25">
      <c r="A39" s="30" t="s">
        <v>39</v>
      </c>
      <c r="B39" s="53">
        <v>245.01618064862498</v>
      </c>
    </row>
    <row r="40" spans="1:2" x14ac:dyDescent="0.25">
      <c r="A40" s="30" t="s">
        <v>26</v>
      </c>
      <c r="B40" s="53">
        <v>240.6626877537048</v>
      </c>
    </row>
    <row r="41" spans="1:2" x14ac:dyDescent="0.25">
      <c r="A41" s="28" t="s">
        <v>47</v>
      </c>
      <c r="B41" s="53">
        <v>1030.5141916034149</v>
      </c>
    </row>
    <row r="42" spans="1:2" x14ac:dyDescent="0.25">
      <c r="A42" s="30" t="s">
        <v>39</v>
      </c>
      <c r="B42" s="53">
        <v>402.94083362028499</v>
      </c>
    </row>
    <row r="43" spans="1:2" x14ac:dyDescent="0.25">
      <c r="A43" s="30" t="s">
        <v>26</v>
      </c>
      <c r="B43" s="53">
        <v>231.96106104466617</v>
      </c>
    </row>
    <row r="44" spans="1:2" x14ac:dyDescent="0.25">
      <c r="A44" s="30" t="s">
        <v>31</v>
      </c>
      <c r="B44" s="53">
        <v>224.75499840662539</v>
      </c>
    </row>
    <row r="45" spans="1:2" x14ac:dyDescent="0.25">
      <c r="A45" s="30" t="s">
        <v>15</v>
      </c>
      <c r="B45" s="53">
        <v>170.8572985318383</v>
      </c>
    </row>
    <row r="46" spans="1:2" x14ac:dyDescent="0.25">
      <c r="A46" s="28" t="s">
        <v>14</v>
      </c>
      <c r="B46" s="53">
        <v>964.29076194877121</v>
      </c>
    </row>
    <row r="47" spans="1:2" x14ac:dyDescent="0.25">
      <c r="A47" s="30" t="s">
        <v>31</v>
      </c>
      <c r="B47" s="53">
        <v>296.7495282714558</v>
      </c>
    </row>
    <row r="48" spans="1:2" x14ac:dyDescent="0.25">
      <c r="A48" s="30" t="s">
        <v>39</v>
      </c>
      <c r="B48" s="53">
        <v>294.53724895104023</v>
      </c>
    </row>
    <row r="49" spans="1:2" x14ac:dyDescent="0.25">
      <c r="A49" s="30" t="s">
        <v>26</v>
      </c>
      <c r="B49" s="53">
        <v>205.72505120279715</v>
      </c>
    </row>
    <row r="50" spans="1:2" x14ac:dyDescent="0.25">
      <c r="A50" s="30" t="s">
        <v>15</v>
      </c>
      <c r="B50" s="53">
        <v>167.278933523478</v>
      </c>
    </row>
    <row r="51" spans="1:2" x14ac:dyDescent="0.25">
      <c r="A51" s="28" t="s">
        <v>363</v>
      </c>
      <c r="B51" s="53">
        <v>4084.07263892222</v>
      </c>
    </row>
  </sheetData>
  <mergeCells count="5">
    <mergeCell ref="A2:B2"/>
    <mergeCell ref="D2:E2"/>
    <mergeCell ref="G2:H2"/>
    <mergeCell ref="A29:B29"/>
    <mergeCell ref="D29:E29"/>
  </mergeCells>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7A00-DE88-4477-8265-ADC398933E75}">
  <dimension ref="A2:J45"/>
  <sheetViews>
    <sheetView topLeftCell="A19" workbookViewId="0">
      <selection activeCell="C40" sqref="C40"/>
    </sheetView>
  </sheetViews>
  <sheetFormatPr defaultRowHeight="15" x14ac:dyDescent="0.25"/>
  <cols>
    <col min="1" max="1" width="28.85546875" bestFit="1" customWidth="1"/>
    <col min="2" max="2" width="22.5703125" bestFit="1" customWidth="1"/>
    <col min="3" max="3" width="22.140625" bestFit="1" customWidth="1"/>
    <col min="4" max="4" width="16.140625" bestFit="1" customWidth="1"/>
    <col min="5" max="5" width="15.5703125" bestFit="1" customWidth="1"/>
    <col min="6" max="6" width="12.5703125" bestFit="1" customWidth="1"/>
    <col min="7" max="7" width="16.140625" bestFit="1" customWidth="1"/>
    <col min="8" max="8" width="23.5703125" bestFit="1" customWidth="1"/>
    <col min="9" max="9" width="23.7109375" bestFit="1" customWidth="1"/>
    <col min="10" max="10" width="17.85546875" bestFit="1" customWidth="1"/>
  </cols>
  <sheetData>
    <row r="2" spans="1:10" x14ac:dyDescent="0.25">
      <c r="A2" s="74" t="s">
        <v>439</v>
      </c>
      <c r="B2" s="74"/>
      <c r="C2" s="74"/>
      <c r="D2" s="74"/>
      <c r="E2" s="74"/>
      <c r="F2" s="74"/>
      <c r="G2" s="74"/>
    </row>
    <row r="3" spans="1:10" x14ac:dyDescent="0.25">
      <c r="A3" s="33" t="s">
        <v>362</v>
      </c>
      <c r="B3" s="29" t="s">
        <v>373</v>
      </c>
      <c r="C3" s="29" t="s">
        <v>375</v>
      </c>
      <c r="D3" s="29" t="s">
        <v>374</v>
      </c>
      <c r="E3" s="29" t="s">
        <v>376</v>
      </c>
      <c r="F3" s="29" t="s">
        <v>377</v>
      </c>
      <c r="G3" s="29" t="s">
        <v>378</v>
      </c>
    </row>
    <row r="4" spans="1:10" x14ac:dyDescent="0.25">
      <c r="A4" s="28" t="s">
        <v>23</v>
      </c>
      <c r="B4" s="29">
        <v>10331022</v>
      </c>
      <c r="C4" s="29">
        <v>149724.95652173914</v>
      </c>
      <c r="D4" s="29">
        <v>957050</v>
      </c>
      <c r="E4" s="29">
        <v>13870.289855072464</v>
      </c>
      <c r="F4" s="29">
        <v>114854</v>
      </c>
      <c r="G4" s="29">
        <v>1664.5507246376812</v>
      </c>
    </row>
    <row r="5" spans="1:10" x14ac:dyDescent="0.25">
      <c r="A5" s="28" t="s">
        <v>18</v>
      </c>
      <c r="B5" s="29">
        <v>9407749</v>
      </c>
      <c r="C5" s="29">
        <v>136344.18840579709</v>
      </c>
      <c r="D5" s="29">
        <v>888529</v>
      </c>
      <c r="E5" s="29">
        <v>12877.231884057972</v>
      </c>
      <c r="F5" s="29">
        <v>106775</v>
      </c>
      <c r="G5" s="29">
        <v>1547.463768115942</v>
      </c>
    </row>
    <row r="6" spans="1:10" x14ac:dyDescent="0.25">
      <c r="A6" s="28" t="s">
        <v>34</v>
      </c>
      <c r="B6" s="29">
        <v>8901334</v>
      </c>
      <c r="C6" s="29">
        <v>150870.06779661018</v>
      </c>
      <c r="D6" s="29">
        <v>843431</v>
      </c>
      <c r="E6" s="29">
        <v>14295.440677966102</v>
      </c>
      <c r="F6" s="29">
        <v>96543</v>
      </c>
      <c r="G6" s="29">
        <v>1636.3220338983051</v>
      </c>
    </row>
    <row r="7" spans="1:10" x14ac:dyDescent="0.25">
      <c r="A7" s="28" t="s">
        <v>52</v>
      </c>
      <c r="B7" s="29">
        <v>6698763</v>
      </c>
      <c r="C7" s="29">
        <v>145625.28260869565</v>
      </c>
      <c r="D7" s="29">
        <v>585970</v>
      </c>
      <c r="E7" s="29">
        <v>12738.478260869566</v>
      </c>
      <c r="F7" s="29">
        <v>74667</v>
      </c>
      <c r="G7" s="29">
        <v>1623.195652173913</v>
      </c>
    </row>
    <row r="8" spans="1:10" x14ac:dyDescent="0.25">
      <c r="A8" s="28" t="s">
        <v>29</v>
      </c>
      <c r="B8" s="29">
        <v>9222999</v>
      </c>
      <c r="C8" s="29">
        <v>161807</v>
      </c>
      <c r="D8" s="29">
        <v>792463</v>
      </c>
      <c r="E8" s="29">
        <v>13902.859649122807</v>
      </c>
      <c r="F8" s="29">
        <v>89166</v>
      </c>
      <c r="G8" s="29">
        <v>1564.3157894736842</v>
      </c>
    </row>
    <row r="9" spans="1:10" x14ac:dyDescent="0.25">
      <c r="A9" s="28" t="s">
        <v>363</v>
      </c>
      <c r="B9" s="29">
        <v>44561867</v>
      </c>
      <c r="C9" s="29">
        <v>148539.55666666667</v>
      </c>
      <c r="D9" s="29">
        <v>4067443</v>
      </c>
      <c r="E9" s="29">
        <v>13558.143333333333</v>
      </c>
      <c r="F9" s="29">
        <v>482005</v>
      </c>
      <c r="G9" s="29">
        <v>1606.6833333333334</v>
      </c>
    </row>
    <row r="12" spans="1:10" ht="15.75" x14ac:dyDescent="0.25">
      <c r="A12" s="76" t="s">
        <v>448</v>
      </c>
      <c r="B12" s="76"/>
      <c r="C12" s="76"/>
      <c r="D12" s="76"/>
      <c r="E12" s="76"/>
      <c r="F12" s="76"/>
      <c r="G12" s="76"/>
      <c r="H12" s="76"/>
      <c r="I12" s="76"/>
      <c r="J12" s="76"/>
    </row>
    <row r="13" spans="1:10" x14ac:dyDescent="0.25">
      <c r="A13" s="54" t="s">
        <v>351</v>
      </c>
      <c r="B13" s="54" t="s">
        <v>352</v>
      </c>
      <c r="C13" s="54" t="s">
        <v>353</v>
      </c>
      <c r="D13" s="54" t="s">
        <v>442</v>
      </c>
      <c r="E13" s="54" t="s">
        <v>443</v>
      </c>
      <c r="F13" s="54" t="s">
        <v>444</v>
      </c>
      <c r="G13" s="54" t="s">
        <v>445</v>
      </c>
      <c r="H13" s="54" t="s">
        <v>446</v>
      </c>
      <c r="I13" s="54" t="s">
        <v>447</v>
      </c>
      <c r="J13" s="54" t="s">
        <v>448</v>
      </c>
    </row>
    <row r="14" spans="1:10" x14ac:dyDescent="0.25">
      <c r="A14" s="29" t="s">
        <v>34</v>
      </c>
      <c r="B14" s="41">
        <v>45458</v>
      </c>
      <c r="C14" s="41">
        <v>45488</v>
      </c>
      <c r="D14" s="29">
        <f>(C14-B14)+1</f>
        <v>31</v>
      </c>
      <c r="E14" s="41">
        <f>B14-D14</f>
        <v>45427</v>
      </c>
      <c r="F14" s="29">
        <f>SUMIFS(Likes,Date,"&gt;="&amp;'Campaign Effectiveness'!B14,Date,"&lt;="&amp;'Campaign Effectiveness'!C14)+SUMIFS(Comments,Date,"&gt;="&amp;'Campaign Effectiveness'!B14,Date,"&lt;="&amp;'Campaign Effectiveness'!C14)+SUMIFS(Shares,Date,"&gt;="&amp;'Campaign Effectiveness'!B14,Date,"&lt;="&amp;'Campaign Effectiveness'!C14)</f>
        <v>331108</v>
      </c>
      <c r="G14" s="29">
        <f>SUMIFS(Likes,Date,"&gt;="&amp;'Campaign Effectiveness'!E14,Date,"&lt;="&amp;'Campaign Effectiveness'!B14)+SUMIFS(Comments,Date,"&gt;="&amp;'Campaign Effectiveness'!E14,Date,"&lt;="&amp;'Campaign Effectiveness'!B14)+SUMIFS(Shares,Date,"&gt;="&amp;'Campaign Effectiveness'!E14,Date,"&lt;="&amp;'Campaign Effectiveness'!B14)</f>
        <v>236231</v>
      </c>
      <c r="H14" s="53">
        <f>F14/D14</f>
        <v>10680.903225806451</v>
      </c>
      <c r="I14" s="29">
        <f>G14/D14</f>
        <v>7620.3548387096771</v>
      </c>
      <c r="J14" s="45">
        <f>(H14-I14)/H14</f>
        <v>0.28654396752721162</v>
      </c>
    </row>
    <row r="15" spans="1:10" x14ac:dyDescent="0.25">
      <c r="A15" s="29" t="s">
        <v>52</v>
      </c>
      <c r="B15" s="41">
        <v>45566</v>
      </c>
      <c r="C15" s="41">
        <v>45596</v>
      </c>
      <c r="D15" s="29">
        <f t="shared" ref="D15:D18" si="0">(C15-B15)+1</f>
        <v>31</v>
      </c>
      <c r="E15" s="41">
        <f t="shared" ref="E15:E18" si="1">B15-D15</f>
        <v>45535</v>
      </c>
      <c r="F15" s="29">
        <f>SUMIFS(Likes,Date,"&gt;="&amp;'Campaign Effectiveness'!B15,Date,"&lt;="&amp;'Campaign Effectiveness'!C15)+SUMIFS(Comments,Date,"&gt;="&amp;'Campaign Effectiveness'!B15,Date,"&lt;="&amp;'Campaign Effectiveness'!C15)+SUMIFS(Shares,Date,"&gt;="&amp;'Campaign Effectiveness'!B15,Date,"&lt;="&amp;'Campaign Effectiveness'!C15)</f>
        <v>409967</v>
      </c>
      <c r="G15" s="29">
        <f>SUMIFS(Likes,Date,"&gt;="&amp;'Campaign Effectiveness'!E15,Date,"&lt;="&amp;'Campaign Effectiveness'!B15)+SUMIFS(Comments,Date,"&gt;="&amp;'Campaign Effectiveness'!E15,Date,"&lt;="&amp;'Campaign Effectiveness'!B15)+SUMIFS(Shares,Date,"&gt;="&amp;'Campaign Effectiveness'!E15,Date,"&lt;="&amp;'Campaign Effectiveness'!B15)</f>
        <v>127344</v>
      </c>
      <c r="H15" s="53">
        <f t="shared" ref="H15:H18" si="2">F15/D15</f>
        <v>13224.741935483871</v>
      </c>
      <c r="I15" s="29">
        <f t="shared" ref="I15:I18" si="3">G15/D15</f>
        <v>4107.8709677419356</v>
      </c>
      <c r="J15" s="45">
        <f t="shared" ref="J15:J18" si="4">(H15-I15)/H15</f>
        <v>0.6893798769169226</v>
      </c>
    </row>
    <row r="16" spans="1:10" x14ac:dyDescent="0.25">
      <c r="A16" s="29" t="s">
        <v>18</v>
      </c>
      <c r="B16" s="41">
        <v>45651</v>
      </c>
      <c r="C16" s="41">
        <v>45667</v>
      </c>
      <c r="D16" s="29">
        <f t="shared" si="0"/>
        <v>17</v>
      </c>
      <c r="E16" s="41">
        <f t="shared" si="1"/>
        <v>45634</v>
      </c>
      <c r="F16" s="29">
        <f>SUMIFS(Likes,Date,"&gt;="&amp;'Campaign Effectiveness'!B16,Date,"&lt;="&amp;'Campaign Effectiveness'!C16)+SUMIFS(Comments,Date,"&gt;="&amp;'Campaign Effectiveness'!B16,Date,"&lt;="&amp;'Campaign Effectiveness'!C16)+SUMIFS(Shares,Date,"&gt;="&amp;'Campaign Effectiveness'!B16,Date,"&lt;="&amp;'Campaign Effectiveness'!C16)</f>
        <v>88599</v>
      </c>
      <c r="G16" s="29">
        <f>SUMIFS(Likes,Date,"&gt;="&amp;'Campaign Effectiveness'!E16,Date,"&lt;="&amp;'Campaign Effectiveness'!B16)+SUMIFS(Comments,Date,"&gt;="&amp;'Campaign Effectiveness'!E16,Date,"&lt;="&amp;'Campaign Effectiveness'!B16)+SUMIFS(Shares,Date,"&gt;="&amp;'Campaign Effectiveness'!E16,Date,"&lt;="&amp;'Campaign Effectiveness'!B16)</f>
        <v>197099</v>
      </c>
      <c r="H16" s="53">
        <f t="shared" si="2"/>
        <v>5211.7058823529414</v>
      </c>
      <c r="I16" s="29">
        <f t="shared" si="3"/>
        <v>11594.058823529413</v>
      </c>
      <c r="J16" s="45">
        <f t="shared" si="4"/>
        <v>-1.2246187880224382</v>
      </c>
    </row>
    <row r="17" spans="1:10" x14ac:dyDescent="0.25">
      <c r="A17" s="29" t="s">
        <v>29</v>
      </c>
      <c r="B17" s="41">
        <v>45717</v>
      </c>
      <c r="C17" s="41">
        <v>45747</v>
      </c>
      <c r="D17" s="29">
        <f t="shared" si="0"/>
        <v>31</v>
      </c>
      <c r="E17" s="41">
        <f t="shared" si="1"/>
        <v>45686</v>
      </c>
      <c r="F17" s="29">
        <f>SUMIFS(Likes,Date,"&gt;="&amp;'Campaign Effectiveness'!B17,Date,"&lt;="&amp;'Campaign Effectiveness'!C17)+SUMIFS(Comments,Date,"&gt;="&amp;'Campaign Effectiveness'!B17,Date,"&lt;="&amp;'Campaign Effectiveness'!C17)+SUMIFS(Shares,Date,"&gt;="&amp;'Campaign Effectiveness'!B17,Date,"&lt;="&amp;'Campaign Effectiveness'!C17)</f>
        <v>370695</v>
      </c>
      <c r="G17" s="29">
        <f>SUMIFS(Likes,Date,"&gt;="&amp;'Campaign Effectiveness'!E17,Date,"&lt;="&amp;'Campaign Effectiveness'!B17)+SUMIFS(Comments,Date,"&gt;="&amp;'Campaign Effectiveness'!E17,Date,"&lt;="&amp;'Campaign Effectiveness'!B17)+SUMIFS(Shares,Date,"&gt;="&amp;'Campaign Effectiveness'!E17,Date,"&lt;="&amp;'Campaign Effectiveness'!B17)</f>
        <v>274312</v>
      </c>
      <c r="H17" s="53">
        <f t="shared" si="2"/>
        <v>11957.903225806451</v>
      </c>
      <c r="I17" s="29">
        <f t="shared" si="3"/>
        <v>8848.7741935483864</v>
      </c>
      <c r="J17" s="45">
        <f t="shared" si="4"/>
        <v>0.2600062045617017</v>
      </c>
    </row>
    <row r="18" spans="1:10" x14ac:dyDescent="0.25">
      <c r="A18" s="29" t="s">
        <v>23</v>
      </c>
      <c r="B18" s="41">
        <v>45901</v>
      </c>
      <c r="C18" s="41">
        <v>45930</v>
      </c>
      <c r="D18" s="29">
        <f t="shared" si="0"/>
        <v>30</v>
      </c>
      <c r="E18" s="41">
        <f t="shared" si="1"/>
        <v>45871</v>
      </c>
      <c r="F18" s="29">
        <f>SUMIFS(Likes,Date,"&gt;="&amp;'Campaign Effectiveness'!B18,Date,"&lt;="&amp;'Campaign Effectiveness'!C18)+SUMIFS(Comments,Date,"&gt;="&amp;'Campaign Effectiveness'!B18,Date,"&lt;="&amp;'Campaign Effectiveness'!C18)+SUMIFS(Shares,Date,"&gt;="&amp;'Campaign Effectiveness'!B18,Date,"&lt;="&amp;'Campaign Effectiveness'!C18)</f>
        <v>826669</v>
      </c>
      <c r="G18" s="29">
        <f>SUMIFS(Likes,Date,"&gt;="&amp;'Campaign Effectiveness'!E18,Date,"&lt;="&amp;'Campaign Effectiveness'!B18)+SUMIFS(Comments,Date,"&gt;="&amp;'Campaign Effectiveness'!E18,Date,"&lt;="&amp;'Campaign Effectiveness'!B18)+SUMIFS(Shares,Date,"&gt;="&amp;'Campaign Effectiveness'!E18,Date,"&lt;="&amp;'Campaign Effectiveness'!B18)</f>
        <v>0</v>
      </c>
      <c r="H18" s="53">
        <f t="shared" si="2"/>
        <v>27555.633333333335</v>
      </c>
      <c r="I18" s="29">
        <f t="shared" si="3"/>
        <v>0</v>
      </c>
      <c r="J18" s="45">
        <f t="shared" si="4"/>
        <v>1</v>
      </c>
    </row>
    <row r="22" spans="1:10" ht="15.75" x14ac:dyDescent="0.25">
      <c r="A22" s="76" t="s">
        <v>452</v>
      </c>
      <c r="B22" s="76"/>
    </row>
    <row r="23" spans="1:10" x14ac:dyDescent="0.25">
      <c r="A23" s="33" t="s">
        <v>362</v>
      </c>
      <c r="B23" s="29" t="s">
        <v>450</v>
      </c>
    </row>
    <row r="24" spans="1:10" x14ac:dyDescent="0.25">
      <c r="A24" s="28" t="s">
        <v>23</v>
      </c>
      <c r="B24" s="29">
        <v>1051098</v>
      </c>
    </row>
    <row r="25" spans="1:10" x14ac:dyDescent="0.25">
      <c r="A25" s="28" t="s">
        <v>18</v>
      </c>
      <c r="B25" s="29">
        <v>991433</v>
      </c>
    </row>
    <row r="26" spans="1:10" x14ac:dyDescent="0.25">
      <c r="A26" s="28" t="s">
        <v>34</v>
      </c>
      <c r="B26" s="29">
        <v>926462</v>
      </c>
    </row>
    <row r="27" spans="1:10" x14ac:dyDescent="0.25">
      <c r="A27" s="28" t="s">
        <v>52</v>
      </c>
      <c r="B27" s="29">
        <v>652233</v>
      </c>
    </row>
    <row r="28" spans="1:10" x14ac:dyDescent="0.25">
      <c r="A28" s="28" t="s">
        <v>29</v>
      </c>
      <c r="B28" s="29">
        <v>879891</v>
      </c>
    </row>
    <row r="30" spans="1:10" ht="15.75" x14ac:dyDescent="0.25">
      <c r="A30" s="76" t="s">
        <v>453</v>
      </c>
      <c r="B30" s="76"/>
      <c r="C30" s="76"/>
      <c r="D30" s="76"/>
    </row>
    <row r="31" spans="1:10" x14ac:dyDescent="0.25">
      <c r="A31" s="54" t="s">
        <v>351</v>
      </c>
      <c r="B31" s="54" t="s">
        <v>350</v>
      </c>
      <c r="C31" s="54" t="s">
        <v>449</v>
      </c>
      <c r="D31" s="54" t="s">
        <v>451</v>
      </c>
    </row>
    <row r="32" spans="1:10" x14ac:dyDescent="0.25">
      <c r="A32" s="29" t="s">
        <v>18</v>
      </c>
      <c r="B32" s="49">
        <v>55000</v>
      </c>
      <c r="C32" s="29">
        <v>926462</v>
      </c>
      <c r="D32" s="53">
        <f>C32/B32</f>
        <v>16.844763636363638</v>
      </c>
    </row>
    <row r="33" spans="1:4" x14ac:dyDescent="0.25">
      <c r="A33" s="29" t="s">
        <v>52</v>
      </c>
      <c r="B33" s="49">
        <v>60000</v>
      </c>
      <c r="C33" s="29">
        <v>991433</v>
      </c>
      <c r="D33" s="53">
        <f>C33/B33</f>
        <v>16.523883333333334</v>
      </c>
    </row>
    <row r="34" spans="1:4" x14ac:dyDescent="0.25">
      <c r="A34" s="29" t="s">
        <v>29</v>
      </c>
      <c r="B34" s="49">
        <v>40000</v>
      </c>
      <c r="C34" s="29">
        <v>652233</v>
      </c>
      <c r="D34" s="53">
        <f>C34/B34</f>
        <v>16.305824999999999</v>
      </c>
    </row>
    <row r="35" spans="1:4" x14ac:dyDescent="0.25">
      <c r="A35" s="29" t="s">
        <v>34</v>
      </c>
      <c r="B35" s="49">
        <v>85000</v>
      </c>
      <c r="C35" s="29">
        <v>1051098</v>
      </c>
      <c r="D35" s="53">
        <f>C35/B35</f>
        <v>12.365858823529411</v>
      </c>
    </row>
    <row r="36" spans="1:4" x14ac:dyDescent="0.25">
      <c r="A36" s="29" t="s">
        <v>23</v>
      </c>
      <c r="B36" s="49">
        <v>75000</v>
      </c>
      <c r="C36" s="29">
        <v>879891</v>
      </c>
      <c r="D36" s="53">
        <f>C36/B36</f>
        <v>11.73188</v>
      </c>
    </row>
    <row r="39" spans="1:4" ht="15.75" x14ac:dyDescent="0.25">
      <c r="A39" s="76" t="s">
        <v>455</v>
      </c>
      <c r="B39" s="76"/>
    </row>
    <row r="40" spans="1:4" x14ac:dyDescent="0.25">
      <c r="A40" s="57" t="s">
        <v>351</v>
      </c>
      <c r="B40" s="57" t="s">
        <v>454</v>
      </c>
    </row>
    <row r="41" spans="1:4" x14ac:dyDescent="0.25">
      <c r="A41" s="29" t="s">
        <v>29</v>
      </c>
      <c r="B41" s="29">
        <v>107259</v>
      </c>
    </row>
    <row r="42" spans="1:4" x14ac:dyDescent="0.25">
      <c r="A42" s="29" t="s">
        <v>34</v>
      </c>
      <c r="B42" s="29">
        <v>106800</v>
      </c>
    </row>
    <row r="43" spans="1:4" x14ac:dyDescent="0.25">
      <c r="A43" s="29" t="s">
        <v>52</v>
      </c>
      <c r="B43" s="29">
        <v>99093</v>
      </c>
    </row>
    <row r="44" spans="1:4" x14ac:dyDescent="0.25">
      <c r="A44" s="29" t="s">
        <v>18</v>
      </c>
      <c r="B44" s="29">
        <v>50927</v>
      </c>
    </row>
    <row r="45" spans="1:4" x14ac:dyDescent="0.25">
      <c r="A45" s="29" t="s">
        <v>23</v>
      </c>
      <c r="B45" s="29">
        <v>0</v>
      </c>
    </row>
  </sheetData>
  <sortState xmlns:xlrd2="http://schemas.microsoft.com/office/spreadsheetml/2017/richdata2" ref="A40:B45">
    <sortCondition descending="1" ref="B44:B45"/>
  </sortState>
  <mergeCells count="5">
    <mergeCell ref="A2:G2"/>
    <mergeCell ref="A12:J12"/>
    <mergeCell ref="A22:B22"/>
    <mergeCell ref="A30:D30"/>
    <mergeCell ref="A39:B39"/>
  </mergeCell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5304B-1799-428E-8921-C5DA9BBCF869}">
  <dimension ref="A1:E55"/>
  <sheetViews>
    <sheetView topLeftCell="A10" workbookViewId="0">
      <selection sqref="A1:E1"/>
    </sheetView>
  </sheetViews>
  <sheetFormatPr defaultRowHeight="15" x14ac:dyDescent="0.25"/>
  <cols>
    <col min="1" max="1" width="10.140625" customWidth="1"/>
    <col min="2" max="2" width="9.7109375" bestFit="1" customWidth="1"/>
    <col min="3" max="3" width="8.5703125" bestFit="1" customWidth="1"/>
    <col min="4" max="4" width="7.42578125" bestFit="1" customWidth="1"/>
    <col min="5" max="5" width="8.85546875" bestFit="1" customWidth="1"/>
    <col min="6" max="6" width="11.28515625" bestFit="1" customWidth="1"/>
  </cols>
  <sheetData>
    <row r="1" spans="1:5" x14ac:dyDescent="0.25">
      <c r="A1" s="79" t="s">
        <v>462</v>
      </c>
      <c r="B1" s="79"/>
      <c r="C1" s="79"/>
      <c r="D1" s="79"/>
      <c r="E1" s="80"/>
    </row>
    <row r="2" spans="1:5" x14ac:dyDescent="0.25">
      <c r="A2" s="33" t="s">
        <v>468</v>
      </c>
      <c r="B2" s="29"/>
      <c r="C2" s="29"/>
      <c r="D2" s="29"/>
      <c r="E2" s="29"/>
    </row>
    <row r="3" spans="1:5" x14ac:dyDescent="0.25">
      <c r="A3" s="29"/>
      <c r="B3" s="29" t="s">
        <v>25</v>
      </c>
      <c r="C3" s="29" t="s">
        <v>20</v>
      </c>
      <c r="D3" s="29" t="s">
        <v>47</v>
      </c>
      <c r="E3" s="29" t="s">
        <v>14</v>
      </c>
    </row>
    <row r="4" spans="1:5" x14ac:dyDescent="0.25">
      <c r="A4" s="28" t="s">
        <v>460</v>
      </c>
      <c r="B4" s="29">
        <v>184130</v>
      </c>
      <c r="C4" s="29">
        <v>154042</v>
      </c>
      <c r="D4" s="29">
        <v>176448</v>
      </c>
      <c r="E4" s="29">
        <v>157994</v>
      </c>
    </row>
    <row r="5" spans="1:5" x14ac:dyDescent="0.25">
      <c r="A5" s="30" t="s">
        <v>398</v>
      </c>
      <c r="B5" s="29">
        <v>3777</v>
      </c>
      <c r="C5" s="29">
        <v>0</v>
      </c>
      <c r="D5" s="29">
        <v>7432</v>
      </c>
      <c r="E5" s="29">
        <v>15994</v>
      </c>
    </row>
    <row r="6" spans="1:5" x14ac:dyDescent="0.25">
      <c r="A6" s="30" t="s">
        <v>399</v>
      </c>
      <c r="B6" s="29">
        <v>7215</v>
      </c>
      <c r="C6" s="29">
        <v>0</v>
      </c>
      <c r="D6" s="29">
        <v>8369</v>
      </c>
      <c r="E6" s="29">
        <v>7478</v>
      </c>
    </row>
    <row r="7" spans="1:5" x14ac:dyDescent="0.25">
      <c r="A7" s="30" t="s">
        <v>400</v>
      </c>
      <c r="B7" s="29">
        <v>13130</v>
      </c>
      <c r="C7" s="29">
        <v>6728</v>
      </c>
      <c r="D7" s="29">
        <v>6073</v>
      </c>
      <c r="E7" s="29">
        <v>0</v>
      </c>
    </row>
    <row r="8" spans="1:5" x14ac:dyDescent="0.25">
      <c r="A8" s="30" t="s">
        <v>401</v>
      </c>
      <c r="B8" s="29">
        <v>4885</v>
      </c>
      <c r="C8" s="29">
        <v>0</v>
      </c>
      <c r="D8" s="29">
        <v>15084</v>
      </c>
      <c r="E8" s="29">
        <v>8653</v>
      </c>
    </row>
    <row r="9" spans="1:5" x14ac:dyDescent="0.25">
      <c r="A9" s="30" t="s">
        <v>402</v>
      </c>
      <c r="B9" s="29">
        <v>5928</v>
      </c>
      <c r="C9" s="29">
        <v>5442</v>
      </c>
      <c r="D9" s="29">
        <v>8463</v>
      </c>
      <c r="E9" s="29">
        <v>0</v>
      </c>
    </row>
    <row r="10" spans="1:5" x14ac:dyDescent="0.25">
      <c r="A10" s="30" t="s">
        <v>403</v>
      </c>
      <c r="B10" s="29">
        <v>0</v>
      </c>
      <c r="C10" s="29">
        <v>11378</v>
      </c>
      <c r="D10" s="29">
        <v>7151</v>
      </c>
      <c r="E10" s="29">
        <v>0</v>
      </c>
    </row>
    <row r="11" spans="1:5" x14ac:dyDescent="0.25">
      <c r="A11" s="30" t="s">
        <v>404</v>
      </c>
      <c r="B11" s="29">
        <v>4967</v>
      </c>
      <c r="C11" s="29">
        <v>0</v>
      </c>
      <c r="D11" s="29">
        <v>7092</v>
      </c>
      <c r="E11" s="29">
        <v>1826</v>
      </c>
    </row>
    <row r="12" spans="1:5" x14ac:dyDescent="0.25">
      <c r="A12" s="30" t="s">
        <v>405</v>
      </c>
      <c r="B12" s="29">
        <v>0</v>
      </c>
      <c r="C12" s="29">
        <v>15403</v>
      </c>
      <c r="D12" s="29">
        <v>7733</v>
      </c>
      <c r="E12" s="29">
        <v>9082</v>
      </c>
    </row>
    <row r="13" spans="1:5" x14ac:dyDescent="0.25">
      <c r="A13" s="30" t="s">
        <v>406</v>
      </c>
      <c r="B13" s="29">
        <v>0</v>
      </c>
      <c r="C13" s="29">
        <v>7537</v>
      </c>
      <c r="D13" s="29">
        <v>6039</v>
      </c>
      <c r="E13" s="29">
        <v>3445</v>
      </c>
    </row>
    <row r="14" spans="1:5" x14ac:dyDescent="0.25">
      <c r="A14" s="30" t="s">
        <v>407</v>
      </c>
      <c r="B14" s="29">
        <v>3213</v>
      </c>
      <c r="C14" s="29">
        <v>4847</v>
      </c>
      <c r="D14" s="29">
        <v>3497</v>
      </c>
      <c r="E14" s="29">
        <v>2543</v>
      </c>
    </row>
    <row r="15" spans="1:5" x14ac:dyDescent="0.25">
      <c r="A15" s="30" t="s">
        <v>408</v>
      </c>
      <c r="B15" s="29">
        <v>6853</v>
      </c>
      <c r="C15" s="29">
        <v>0</v>
      </c>
      <c r="D15" s="29">
        <v>12800</v>
      </c>
      <c r="E15" s="29">
        <v>7033</v>
      </c>
    </row>
    <row r="16" spans="1:5" x14ac:dyDescent="0.25">
      <c r="A16" s="30" t="s">
        <v>409</v>
      </c>
      <c r="B16" s="29">
        <v>13835</v>
      </c>
      <c r="C16" s="29">
        <v>0</v>
      </c>
      <c r="D16" s="29">
        <v>0</v>
      </c>
      <c r="E16" s="29">
        <v>9427</v>
      </c>
    </row>
    <row r="17" spans="1:5" x14ac:dyDescent="0.25">
      <c r="A17" s="30" t="s">
        <v>410</v>
      </c>
      <c r="B17" s="29">
        <v>8231</v>
      </c>
      <c r="C17" s="29">
        <v>1513</v>
      </c>
      <c r="D17" s="29">
        <v>5753</v>
      </c>
      <c r="E17" s="29">
        <v>5303</v>
      </c>
    </row>
    <row r="18" spans="1:5" x14ac:dyDescent="0.25">
      <c r="A18" s="30" t="s">
        <v>411</v>
      </c>
      <c r="B18" s="29">
        <v>7396</v>
      </c>
      <c r="C18" s="29">
        <v>8228</v>
      </c>
      <c r="D18" s="29">
        <v>6593</v>
      </c>
      <c r="E18" s="29">
        <v>0</v>
      </c>
    </row>
    <row r="19" spans="1:5" x14ac:dyDescent="0.25">
      <c r="A19" s="30" t="s">
        <v>412</v>
      </c>
      <c r="B19" s="29">
        <v>7442</v>
      </c>
      <c r="C19" s="29">
        <v>6121</v>
      </c>
      <c r="D19" s="29">
        <v>0</v>
      </c>
      <c r="E19" s="29">
        <v>11613</v>
      </c>
    </row>
    <row r="20" spans="1:5" x14ac:dyDescent="0.25">
      <c r="A20" s="30" t="s">
        <v>413</v>
      </c>
      <c r="B20" s="29">
        <v>0</v>
      </c>
      <c r="C20" s="29">
        <v>2199</v>
      </c>
      <c r="D20" s="29">
        <v>3925</v>
      </c>
      <c r="E20" s="29">
        <v>9308</v>
      </c>
    </row>
    <row r="21" spans="1:5" x14ac:dyDescent="0.25">
      <c r="A21" s="30" t="s">
        <v>414</v>
      </c>
      <c r="B21" s="29">
        <v>13040</v>
      </c>
      <c r="C21" s="29">
        <v>0</v>
      </c>
      <c r="D21" s="29">
        <v>4942</v>
      </c>
      <c r="E21" s="29">
        <v>0</v>
      </c>
    </row>
    <row r="22" spans="1:5" x14ac:dyDescent="0.25">
      <c r="A22" s="30" t="s">
        <v>415</v>
      </c>
      <c r="B22" s="29">
        <v>9904</v>
      </c>
      <c r="C22" s="29">
        <v>0</v>
      </c>
      <c r="D22" s="29">
        <v>8530</v>
      </c>
      <c r="E22" s="29">
        <v>0</v>
      </c>
    </row>
    <row r="23" spans="1:5" x14ac:dyDescent="0.25">
      <c r="A23" s="30" t="s">
        <v>416</v>
      </c>
      <c r="B23" s="29">
        <v>4808</v>
      </c>
      <c r="C23" s="29">
        <v>2421</v>
      </c>
      <c r="D23" s="29">
        <v>0</v>
      </c>
      <c r="E23" s="29">
        <v>10348</v>
      </c>
    </row>
    <row r="24" spans="1:5" x14ac:dyDescent="0.25">
      <c r="A24" s="30" t="s">
        <v>417</v>
      </c>
      <c r="B24" s="29">
        <v>0</v>
      </c>
      <c r="C24" s="29">
        <v>0</v>
      </c>
      <c r="D24" s="29">
        <v>16256</v>
      </c>
      <c r="E24" s="29">
        <v>7115</v>
      </c>
    </row>
    <row r="25" spans="1:5" x14ac:dyDescent="0.25">
      <c r="A25" s="30" t="s">
        <v>418</v>
      </c>
      <c r="B25" s="29">
        <v>23973</v>
      </c>
      <c r="C25" s="29">
        <v>0</v>
      </c>
      <c r="D25" s="29">
        <v>0</v>
      </c>
      <c r="E25" s="29">
        <v>6918</v>
      </c>
    </row>
    <row r="26" spans="1:5" x14ac:dyDescent="0.25">
      <c r="A26" s="30" t="s">
        <v>419</v>
      </c>
      <c r="B26" s="29">
        <v>0</v>
      </c>
      <c r="C26" s="29">
        <v>14812</v>
      </c>
      <c r="D26" s="29">
        <v>0</v>
      </c>
      <c r="E26" s="29">
        <v>12442</v>
      </c>
    </row>
    <row r="27" spans="1:5" x14ac:dyDescent="0.25">
      <c r="A27" s="30" t="s">
        <v>420</v>
      </c>
      <c r="B27" s="29">
        <v>0</v>
      </c>
      <c r="C27" s="29">
        <v>4942</v>
      </c>
      <c r="D27" s="29">
        <v>8687</v>
      </c>
      <c r="E27" s="29">
        <v>3056</v>
      </c>
    </row>
    <row r="28" spans="1:5" x14ac:dyDescent="0.25">
      <c r="A28" s="30" t="s">
        <v>421</v>
      </c>
      <c r="B28" s="29">
        <v>0</v>
      </c>
      <c r="C28" s="29">
        <v>4882</v>
      </c>
      <c r="D28" s="29">
        <v>9649</v>
      </c>
      <c r="E28" s="29">
        <v>5220</v>
      </c>
    </row>
    <row r="29" spans="1:5" x14ac:dyDescent="0.25">
      <c r="A29" s="30" t="s">
        <v>422</v>
      </c>
      <c r="B29" s="29">
        <v>5206</v>
      </c>
      <c r="C29" s="29">
        <v>9648</v>
      </c>
      <c r="D29" s="29">
        <v>6384</v>
      </c>
      <c r="E29" s="29">
        <v>0</v>
      </c>
    </row>
    <row r="30" spans="1:5" x14ac:dyDescent="0.25">
      <c r="A30" s="30" t="s">
        <v>423</v>
      </c>
      <c r="B30" s="29">
        <v>14537</v>
      </c>
      <c r="C30" s="29">
        <v>8945</v>
      </c>
      <c r="D30" s="29">
        <v>0</v>
      </c>
      <c r="E30" s="29">
        <v>5143</v>
      </c>
    </row>
    <row r="31" spans="1:5" x14ac:dyDescent="0.25">
      <c r="A31" s="30" t="s">
        <v>424</v>
      </c>
      <c r="B31" s="29">
        <v>8999</v>
      </c>
      <c r="C31" s="29">
        <v>5402</v>
      </c>
      <c r="D31" s="29">
        <v>0</v>
      </c>
      <c r="E31" s="29">
        <v>3929</v>
      </c>
    </row>
    <row r="32" spans="1:5" x14ac:dyDescent="0.25">
      <c r="A32" s="30" t="s">
        <v>425</v>
      </c>
      <c r="B32" s="29">
        <v>3461</v>
      </c>
      <c r="C32" s="29">
        <v>949</v>
      </c>
      <c r="D32" s="29">
        <v>6642</v>
      </c>
      <c r="E32" s="29">
        <v>4790</v>
      </c>
    </row>
    <row r="33" spans="1:5" x14ac:dyDescent="0.25">
      <c r="A33" s="30" t="s">
        <v>426</v>
      </c>
      <c r="B33" s="29">
        <v>4802</v>
      </c>
      <c r="C33" s="29">
        <v>8527</v>
      </c>
      <c r="D33" s="29">
        <v>6275</v>
      </c>
      <c r="E33" s="29">
        <v>0</v>
      </c>
    </row>
    <row r="34" spans="1:5" x14ac:dyDescent="0.25">
      <c r="A34" s="30" t="s">
        <v>427</v>
      </c>
      <c r="B34" s="29">
        <v>4314</v>
      </c>
      <c r="C34" s="29">
        <v>7541</v>
      </c>
      <c r="D34" s="29">
        <v>0</v>
      </c>
      <c r="E34" s="29">
        <v>7328</v>
      </c>
    </row>
    <row r="35" spans="1:5" x14ac:dyDescent="0.25">
      <c r="A35" s="30" t="s">
        <v>428</v>
      </c>
      <c r="B35" s="29">
        <v>4214</v>
      </c>
      <c r="C35" s="29">
        <v>16577</v>
      </c>
      <c r="D35" s="29">
        <v>3079</v>
      </c>
      <c r="E35" s="29">
        <v>0</v>
      </c>
    </row>
    <row r="36" spans="1:5" x14ac:dyDescent="0.25">
      <c r="A36" s="28" t="s">
        <v>461</v>
      </c>
      <c r="B36" s="29">
        <v>77732</v>
      </c>
      <c r="C36" s="29">
        <v>136445</v>
      </c>
      <c r="D36" s="29">
        <v>126959</v>
      </c>
      <c r="E36" s="29">
        <v>72648</v>
      </c>
    </row>
    <row r="37" spans="1:5" x14ac:dyDescent="0.25">
      <c r="A37" s="30" t="s">
        <v>379</v>
      </c>
      <c r="B37" s="29">
        <v>0</v>
      </c>
      <c r="C37" s="29">
        <v>9254</v>
      </c>
      <c r="D37" s="29">
        <v>9202</v>
      </c>
      <c r="E37" s="29">
        <v>8601</v>
      </c>
    </row>
    <row r="38" spans="1:5" x14ac:dyDescent="0.25">
      <c r="A38" s="30" t="s">
        <v>380</v>
      </c>
      <c r="B38" s="29">
        <v>2919</v>
      </c>
      <c r="C38" s="29">
        <v>7471</v>
      </c>
      <c r="D38" s="29">
        <v>7346</v>
      </c>
      <c r="E38" s="29">
        <v>1001</v>
      </c>
    </row>
    <row r="39" spans="1:5" x14ac:dyDescent="0.25">
      <c r="A39" s="30" t="s">
        <v>381</v>
      </c>
      <c r="B39" s="29">
        <v>0</v>
      </c>
      <c r="C39" s="29">
        <v>0</v>
      </c>
      <c r="D39" s="29">
        <v>20155</v>
      </c>
      <c r="E39" s="29">
        <v>7654</v>
      </c>
    </row>
    <row r="40" spans="1:5" x14ac:dyDescent="0.25">
      <c r="A40" s="30" t="s">
        <v>382</v>
      </c>
      <c r="B40" s="29">
        <v>3643</v>
      </c>
      <c r="C40" s="29">
        <v>7260</v>
      </c>
      <c r="D40" s="29">
        <v>11789</v>
      </c>
      <c r="E40" s="29">
        <v>0</v>
      </c>
    </row>
    <row r="41" spans="1:5" x14ac:dyDescent="0.25">
      <c r="A41" s="30" t="s">
        <v>383</v>
      </c>
      <c r="B41" s="29">
        <v>0</v>
      </c>
      <c r="C41" s="29">
        <v>0</v>
      </c>
      <c r="D41" s="29">
        <v>16086</v>
      </c>
      <c r="E41" s="29">
        <v>12447</v>
      </c>
    </row>
    <row r="42" spans="1:5" x14ac:dyDescent="0.25">
      <c r="A42" s="30" t="s">
        <v>384</v>
      </c>
      <c r="B42" s="29">
        <v>0</v>
      </c>
      <c r="C42" s="29">
        <v>12622</v>
      </c>
      <c r="D42" s="29">
        <v>1020</v>
      </c>
      <c r="E42" s="29">
        <v>0</v>
      </c>
    </row>
    <row r="43" spans="1:5" x14ac:dyDescent="0.25">
      <c r="A43" s="30" t="s">
        <v>385</v>
      </c>
      <c r="B43" s="29">
        <v>11468</v>
      </c>
      <c r="C43" s="29">
        <v>5101</v>
      </c>
      <c r="D43" s="29">
        <v>1290</v>
      </c>
      <c r="E43" s="29">
        <v>0</v>
      </c>
    </row>
    <row r="44" spans="1:5" x14ac:dyDescent="0.25">
      <c r="A44" s="30" t="s">
        <v>386</v>
      </c>
      <c r="B44" s="29">
        <v>15087</v>
      </c>
      <c r="C44" s="29">
        <v>0</v>
      </c>
      <c r="D44" s="29">
        <v>0</v>
      </c>
      <c r="E44" s="29">
        <v>15359</v>
      </c>
    </row>
    <row r="45" spans="1:5" x14ac:dyDescent="0.25">
      <c r="A45" s="30" t="s">
        <v>387</v>
      </c>
      <c r="B45" s="29">
        <v>0</v>
      </c>
      <c r="C45" s="29">
        <v>7432</v>
      </c>
      <c r="D45" s="29">
        <v>6326</v>
      </c>
      <c r="E45" s="29">
        <v>6631</v>
      </c>
    </row>
    <row r="46" spans="1:5" x14ac:dyDescent="0.25">
      <c r="A46" s="30" t="s">
        <v>388</v>
      </c>
      <c r="B46" s="29">
        <v>2994</v>
      </c>
      <c r="C46" s="29">
        <v>2535</v>
      </c>
      <c r="D46" s="29">
        <v>8723</v>
      </c>
      <c r="E46" s="29">
        <v>3555</v>
      </c>
    </row>
    <row r="47" spans="1:5" x14ac:dyDescent="0.25">
      <c r="A47" s="30" t="s">
        <v>389</v>
      </c>
      <c r="B47" s="29">
        <v>8292</v>
      </c>
      <c r="C47" s="29">
        <v>19728</v>
      </c>
      <c r="D47" s="29">
        <v>0</v>
      </c>
      <c r="E47" s="29">
        <v>0</v>
      </c>
    </row>
    <row r="48" spans="1:5" x14ac:dyDescent="0.25">
      <c r="A48" s="30" t="s">
        <v>390</v>
      </c>
      <c r="B48" s="29">
        <v>0</v>
      </c>
      <c r="C48" s="29">
        <v>21227</v>
      </c>
      <c r="D48" s="29">
        <v>0</v>
      </c>
      <c r="E48" s="29">
        <v>4189</v>
      </c>
    </row>
    <row r="49" spans="1:5" x14ac:dyDescent="0.25">
      <c r="A49" s="30" t="s">
        <v>391</v>
      </c>
      <c r="B49" s="29">
        <v>6128</v>
      </c>
      <c r="C49" s="29">
        <v>1660</v>
      </c>
      <c r="D49" s="29">
        <v>6272</v>
      </c>
      <c r="E49" s="29">
        <v>1567</v>
      </c>
    </row>
    <row r="50" spans="1:5" x14ac:dyDescent="0.25">
      <c r="A50" s="30" t="s">
        <v>392</v>
      </c>
      <c r="B50" s="29">
        <v>1425</v>
      </c>
      <c r="C50" s="29">
        <v>4542</v>
      </c>
      <c r="D50" s="29">
        <v>8319</v>
      </c>
      <c r="E50" s="29">
        <v>6434</v>
      </c>
    </row>
    <row r="51" spans="1:5" x14ac:dyDescent="0.25">
      <c r="A51" s="30" t="s">
        <v>393</v>
      </c>
      <c r="B51" s="29">
        <v>0</v>
      </c>
      <c r="C51" s="29">
        <v>24995</v>
      </c>
      <c r="D51" s="29">
        <v>0</v>
      </c>
      <c r="E51" s="29">
        <v>0</v>
      </c>
    </row>
    <row r="52" spans="1:5" x14ac:dyDescent="0.25">
      <c r="A52" s="30" t="s">
        <v>394</v>
      </c>
      <c r="B52" s="29">
        <v>15012</v>
      </c>
      <c r="C52" s="29">
        <v>0</v>
      </c>
      <c r="D52" s="29">
        <v>7058</v>
      </c>
      <c r="E52" s="29">
        <v>0</v>
      </c>
    </row>
    <row r="53" spans="1:5" x14ac:dyDescent="0.25">
      <c r="A53" s="30" t="s">
        <v>395</v>
      </c>
      <c r="B53" s="29">
        <v>0</v>
      </c>
      <c r="C53" s="29">
        <v>1512</v>
      </c>
      <c r="D53" s="29">
        <v>15937</v>
      </c>
      <c r="E53" s="29">
        <v>0</v>
      </c>
    </row>
    <row r="54" spans="1:5" x14ac:dyDescent="0.25">
      <c r="A54" s="30" t="s">
        <v>396</v>
      </c>
      <c r="B54" s="29">
        <v>7959</v>
      </c>
      <c r="C54" s="29">
        <v>2960</v>
      </c>
      <c r="D54" s="29">
        <v>0</v>
      </c>
      <c r="E54" s="29">
        <v>5210</v>
      </c>
    </row>
    <row r="55" spans="1:5" x14ac:dyDescent="0.25">
      <c r="A55" s="30" t="s">
        <v>397</v>
      </c>
      <c r="B55" s="29">
        <v>2805</v>
      </c>
      <c r="C55" s="29">
        <v>8146</v>
      </c>
      <c r="D55" s="29">
        <v>7436</v>
      </c>
      <c r="E55" s="29">
        <v>0</v>
      </c>
    </row>
  </sheetData>
  <mergeCells count="1">
    <mergeCell ref="A1:E1"/>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DA943-2781-42B7-9732-67CD908E531D}">
  <dimension ref="A1:B201"/>
  <sheetViews>
    <sheetView tabSelected="1" workbookViewId="0">
      <selection activeCell="I29" sqref="I29"/>
    </sheetView>
  </sheetViews>
  <sheetFormatPr defaultRowHeight="15" x14ac:dyDescent="0.25"/>
  <cols>
    <col min="1" max="1" width="10.7109375" bestFit="1" customWidth="1"/>
    <col min="2" max="2" width="15.5703125" customWidth="1"/>
  </cols>
  <sheetData>
    <row r="1" spans="1:2" x14ac:dyDescent="0.25">
      <c r="A1" s="32" t="s">
        <v>350</v>
      </c>
      <c r="B1" s="32" t="s">
        <v>454</v>
      </c>
    </row>
    <row r="2" spans="1:2" x14ac:dyDescent="0.25">
      <c r="A2" s="49">
        <v>23944</v>
      </c>
      <c r="B2" s="29">
        <v>3777</v>
      </c>
    </row>
    <row r="3" spans="1:2" x14ac:dyDescent="0.25">
      <c r="A3" s="49">
        <v>29873</v>
      </c>
      <c r="B3" s="29">
        <v>7432</v>
      </c>
    </row>
    <row r="4" spans="1:2" x14ac:dyDescent="0.25">
      <c r="A4" s="49">
        <v>50372</v>
      </c>
      <c r="B4" s="29">
        <v>8123</v>
      </c>
    </row>
    <row r="5" spans="1:2" x14ac:dyDescent="0.25">
      <c r="A5" s="49">
        <v>33928</v>
      </c>
      <c r="B5" s="29">
        <v>7871</v>
      </c>
    </row>
    <row r="6" spans="1:2" x14ac:dyDescent="0.25">
      <c r="A6" s="49">
        <v>25379</v>
      </c>
      <c r="B6" s="29">
        <v>7215</v>
      </c>
    </row>
    <row r="7" spans="1:2" x14ac:dyDescent="0.25">
      <c r="A7" s="49">
        <v>46751</v>
      </c>
      <c r="B7" s="29">
        <v>7478</v>
      </c>
    </row>
    <row r="8" spans="1:2" x14ac:dyDescent="0.25">
      <c r="A8" s="49">
        <v>44546</v>
      </c>
      <c r="B8" s="29">
        <v>4934</v>
      </c>
    </row>
    <row r="9" spans="1:2" x14ac:dyDescent="0.25">
      <c r="A9" s="49">
        <v>34286</v>
      </c>
      <c r="B9" s="29">
        <v>3435</v>
      </c>
    </row>
    <row r="10" spans="1:2" x14ac:dyDescent="0.25">
      <c r="A10" s="49">
        <v>15110</v>
      </c>
      <c r="B10" s="29">
        <v>7452</v>
      </c>
    </row>
    <row r="11" spans="1:2" x14ac:dyDescent="0.25">
      <c r="A11" s="49">
        <v>22087</v>
      </c>
      <c r="B11" s="29">
        <v>6073</v>
      </c>
    </row>
    <row r="12" spans="1:2" x14ac:dyDescent="0.25">
      <c r="A12" s="49">
        <v>33762</v>
      </c>
      <c r="B12" s="29">
        <v>6728</v>
      </c>
    </row>
    <row r="13" spans="1:2" x14ac:dyDescent="0.25">
      <c r="A13" s="49">
        <v>27081</v>
      </c>
      <c r="B13" s="29">
        <v>5678</v>
      </c>
    </row>
    <row r="14" spans="1:2" x14ac:dyDescent="0.25">
      <c r="A14" s="49">
        <v>44947</v>
      </c>
      <c r="B14" s="29">
        <v>8654</v>
      </c>
    </row>
    <row r="15" spans="1:2" x14ac:dyDescent="0.25">
      <c r="A15" s="49">
        <v>19596</v>
      </c>
      <c r="B15" s="29">
        <v>4885</v>
      </c>
    </row>
    <row r="16" spans="1:2" x14ac:dyDescent="0.25">
      <c r="A16" s="49">
        <v>48019</v>
      </c>
      <c r="B16" s="29">
        <v>8653</v>
      </c>
    </row>
    <row r="17" spans="1:2" x14ac:dyDescent="0.25">
      <c r="A17" s="49">
        <v>52003</v>
      </c>
      <c r="B17" s="29">
        <v>6430</v>
      </c>
    </row>
    <row r="18" spans="1:2" x14ac:dyDescent="0.25">
      <c r="A18" s="49">
        <v>28313</v>
      </c>
      <c r="B18" s="29">
        <v>5442</v>
      </c>
    </row>
    <row r="19" spans="1:2" x14ac:dyDescent="0.25">
      <c r="A19" s="49">
        <v>57639</v>
      </c>
      <c r="B19" s="29">
        <v>8463</v>
      </c>
    </row>
    <row r="20" spans="1:2" x14ac:dyDescent="0.25">
      <c r="A20" s="49">
        <v>11013</v>
      </c>
      <c r="B20" s="29">
        <v>3202</v>
      </c>
    </row>
    <row r="21" spans="1:2" x14ac:dyDescent="0.25">
      <c r="A21" s="49">
        <v>59378</v>
      </c>
      <c r="B21" s="29">
        <v>2726</v>
      </c>
    </row>
    <row r="22" spans="1:2" x14ac:dyDescent="0.25">
      <c r="A22" s="49">
        <v>33705</v>
      </c>
      <c r="B22" s="29">
        <v>7151</v>
      </c>
    </row>
    <row r="23" spans="1:2" x14ac:dyDescent="0.25">
      <c r="A23" s="49">
        <v>11828</v>
      </c>
      <c r="B23" s="29">
        <v>1918</v>
      </c>
    </row>
    <row r="24" spans="1:2" x14ac:dyDescent="0.25">
      <c r="A24" s="49">
        <v>17909</v>
      </c>
      <c r="B24" s="29">
        <v>6236</v>
      </c>
    </row>
    <row r="25" spans="1:2" x14ac:dyDescent="0.25">
      <c r="A25" s="49">
        <v>48356</v>
      </c>
      <c r="B25" s="29">
        <v>3224</v>
      </c>
    </row>
    <row r="26" spans="1:2" x14ac:dyDescent="0.25">
      <c r="A26" s="49">
        <v>23109</v>
      </c>
      <c r="B26" s="29">
        <v>3586</v>
      </c>
    </row>
    <row r="27" spans="1:2" x14ac:dyDescent="0.25">
      <c r="A27" s="49">
        <v>12023</v>
      </c>
      <c r="B27" s="29">
        <v>7092</v>
      </c>
    </row>
    <row r="28" spans="1:2" x14ac:dyDescent="0.25">
      <c r="A28" s="49">
        <v>24537</v>
      </c>
      <c r="B28" s="29">
        <v>1826</v>
      </c>
    </row>
    <row r="29" spans="1:2" x14ac:dyDescent="0.25">
      <c r="A29" s="49">
        <v>36661</v>
      </c>
      <c r="B29" s="29">
        <v>1381</v>
      </c>
    </row>
    <row r="30" spans="1:2" x14ac:dyDescent="0.25">
      <c r="A30" s="49">
        <v>48659</v>
      </c>
      <c r="B30" s="29">
        <v>7429</v>
      </c>
    </row>
    <row r="31" spans="1:2" x14ac:dyDescent="0.25">
      <c r="A31" s="49">
        <v>43848</v>
      </c>
      <c r="B31" s="29">
        <v>7733</v>
      </c>
    </row>
    <row r="32" spans="1:2" x14ac:dyDescent="0.25">
      <c r="A32" s="49">
        <v>47804</v>
      </c>
      <c r="B32" s="29">
        <v>7974</v>
      </c>
    </row>
    <row r="33" spans="1:2" x14ac:dyDescent="0.25">
      <c r="A33" s="49">
        <v>25379</v>
      </c>
      <c r="B33" s="29">
        <v>9082</v>
      </c>
    </row>
    <row r="34" spans="1:2" x14ac:dyDescent="0.25">
      <c r="A34" s="49">
        <v>37766</v>
      </c>
      <c r="B34" s="29">
        <v>1741</v>
      </c>
    </row>
    <row r="35" spans="1:2" x14ac:dyDescent="0.25">
      <c r="A35" s="49">
        <v>53590</v>
      </c>
      <c r="B35" s="29">
        <v>5796</v>
      </c>
    </row>
    <row r="36" spans="1:2" x14ac:dyDescent="0.25">
      <c r="A36" s="49">
        <v>12563</v>
      </c>
      <c r="B36" s="29">
        <v>3445</v>
      </c>
    </row>
    <row r="37" spans="1:2" x14ac:dyDescent="0.25">
      <c r="A37" s="49">
        <v>46060</v>
      </c>
      <c r="B37" s="29">
        <v>6039</v>
      </c>
    </row>
    <row r="38" spans="1:2" x14ac:dyDescent="0.25">
      <c r="A38" s="49">
        <v>39197</v>
      </c>
      <c r="B38" s="29">
        <v>3213</v>
      </c>
    </row>
    <row r="39" spans="1:2" x14ac:dyDescent="0.25">
      <c r="A39" s="49">
        <v>13586</v>
      </c>
      <c r="B39" s="29">
        <v>3497</v>
      </c>
    </row>
    <row r="40" spans="1:2" x14ac:dyDescent="0.25">
      <c r="A40" s="49">
        <v>26087</v>
      </c>
      <c r="B40" s="29">
        <v>2543</v>
      </c>
    </row>
    <row r="41" spans="1:2" x14ac:dyDescent="0.25">
      <c r="A41" s="49">
        <v>58868</v>
      </c>
      <c r="B41" s="29">
        <v>4847</v>
      </c>
    </row>
    <row r="42" spans="1:2" x14ac:dyDescent="0.25">
      <c r="A42" s="49">
        <v>33225</v>
      </c>
      <c r="B42" s="29">
        <v>5795</v>
      </c>
    </row>
    <row r="43" spans="1:2" x14ac:dyDescent="0.25">
      <c r="A43" s="49">
        <v>39750</v>
      </c>
      <c r="B43" s="29">
        <v>6853</v>
      </c>
    </row>
    <row r="44" spans="1:2" x14ac:dyDescent="0.25">
      <c r="A44" s="49">
        <v>16643</v>
      </c>
      <c r="B44" s="29">
        <v>7033</v>
      </c>
    </row>
    <row r="45" spans="1:2" x14ac:dyDescent="0.25">
      <c r="A45" s="49">
        <v>37523</v>
      </c>
      <c r="B45" s="29">
        <v>7005</v>
      </c>
    </row>
    <row r="46" spans="1:2" x14ac:dyDescent="0.25">
      <c r="A46" s="49">
        <v>46727</v>
      </c>
      <c r="B46" s="29">
        <v>6920</v>
      </c>
    </row>
    <row r="47" spans="1:2" x14ac:dyDescent="0.25">
      <c r="A47" s="49">
        <v>21005</v>
      </c>
      <c r="B47" s="29">
        <v>5071</v>
      </c>
    </row>
    <row r="48" spans="1:2" x14ac:dyDescent="0.25">
      <c r="A48" s="49">
        <v>53543</v>
      </c>
      <c r="B48" s="29">
        <v>6915</v>
      </c>
    </row>
    <row r="49" spans="1:2" x14ac:dyDescent="0.25">
      <c r="A49" s="49">
        <v>10161</v>
      </c>
      <c r="B49" s="29">
        <v>4356</v>
      </c>
    </row>
    <row r="50" spans="1:2" x14ac:dyDescent="0.25">
      <c r="A50" s="49">
        <v>26029</v>
      </c>
      <c r="B50" s="29">
        <v>1513</v>
      </c>
    </row>
    <row r="51" spans="1:2" x14ac:dyDescent="0.25">
      <c r="A51" s="49">
        <v>59745</v>
      </c>
      <c r="B51" s="29">
        <v>5753</v>
      </c>
    </row>
    <row r="52" spans="1:2" x14ac:dyDescent="0.25">
      <c r="A52" s="49">
        <v>24226</v>
      </c>
      <c r="B52" s="29">
        <v>8231</v>
      </c>
    </row>
    <row r="53" spans="1:2" x14ac:dyDescent="0.25">
      <c r="A53" s="49">
        <v>38731</v>
      </c>
      <c r="B53" s="29">
        <v>5303</v>
      </c>
    </row>
    <row r="54" spans="1:2" x14ac:dyDescent="0.25">
      <c r="A54" s="49">
        <v>53922</v>
      </c>
      <c r="B54" s="29">
        <v>5520</v>
      </c>
    </row>
    <row r="55" spans="1:2" x14ac:dyDescent="0.25">
      <c r="A55" s="49">
        <v>54848</v>
      </c>
      <c r="B55" s="29">
        <v>1876</v>
      </c>
    </row>
    <row r="56" spans="1:2" x14ac:dyDescent="0.25">
      <c r="A56" s="49">
        <v>13390</v>
      </c>
      <c r="B56" s="29">
        <v>6593</v>
      </c>
    </row>
    <row r="57" spans="1:2" x14ac:dyDescent="0.25">
      <c r="A57" s="49">
        <v>15997</v>
      </c>
      <c r="B57" s="29">
        <v>8228</v>
      </c>
    </row>
    <row r="58" spans="1:2" x14ac:dyDescent="0.25">
      <c r="A58" s="49">
        <v>22693</v>
      </c>
      <c r="B58" s="29">
        <v>7442</v>
      </c>
    </row>
    <row r="59" spans="1:2" x14ac:dyDescent="0.25">
      <c r="A59" s="49">
        <v>59815</v>
      </c>
      <c r="B59" s="29">
        <v>9118</v>
      </c>
    </row>
    <row r="60" spans="1:2" x14ac:dyDescent="0.25">
      <c r="A60" s="49">
        <v>52092</v>
      </c>
      <c r="B60" s="29">
        <v>2495</v>
      </c>
    </row>
    <row r="61" spans="1:2" x14ac:dyDescent="0.25">
      <c r="A61" s="49">
        <v>10541</v>
      </c>
      <c r="B61" s="29">
        <v>6121</v>
      </c>
    </row>
    <row r="62" spans="1:2" x14ac:dyDescent="0.25">
      <c r="A62" s="49">
        <v>31817</v>
      </c>
      <c r="B62" s="29">
        <v>7224</v>
      </c>
    </row>
    <row r="63" spans="1:2" x14ac:dyDescent="0.25">
      <c r="A63" s="49">
        <v>47861</v>
      </c>
      <c r="B63" s="29">
        <v>2199</v>
      </c>
    </row>
    <row r="64" spans="1:2" x14ac:dyDescent="0.25">
      <c r="A64" s="49">
        <v>23428</v>
      </c>
      <c r="B64" s="29">
        <v>2084</v>
      </c>
    </row>
    <row r="65" spans="1:2" x14ac:dyDescent="0.25">
      <c r="A65" s="49">
        <v>53934</v>
      </c>
      <c r="B65" s="29">
        <v>3925</v>
      </c>
    </row>
    <row r="66" spans="1:2" x14ac:dyDescent="0.25">
      <c r="A66" s="49">
        <v>58831</v>
      </c>
      <c r="B66" s="29">
        <v>1309</v>
      </c>
    </row>
    <row r="67" spans="1:2" x14ac:dyDescent="0.25">
      <c r="A67" s="49">
        <v>20258</v>
      </c>
      <c r="B67" s="29">
        <v>4942</v>
      </c>
    </row>
    <row r="68" spans="1:2" x14ac:dyDescent="0.25">
      <c r="A68" s="49">
        <v>26044</v>
      </c>
      <c r="B68" s="29">
        <v>4027</v>
      </c>
    </row>
    <row r="69" spans="1:2" x14ac:dyDescent="0.25">
      <c r="A69" s="49">
        <v>39411</v>
      </c>
      <c r="B69" s="29">
        <v>7704</v>
      </c>
    </row>
    <row r="70" spans="1:2" x14ac:dyDescent="0.25">
      <c r="A70" s="49">
        <v>15469</v>
      </c>
      <c r="B70" s="29">
        <v>8361</v>
      </c>
    </row>
    <row r="71" spans="1:2" x14ac:dyDescent="0.25">
      <c r="A71" s="49">
        <v>38854</v>
      </c>
      <c r="B71" s="29">
        <v>5698</v>
      </c>
    </row>
    <row r="72" spans="1:2" x14ac:dyDescent="0.25">
      <c r="A72" s="49">
        <v>16256</v>
      </c>
      <c r="B72" s="29">
        <v>1543</v>
      </c>
    </row>
    <row r="73" spans="1:2" x14ac:dyDescent="0.25">
      <c r="A73" s="49">
        <v>20720</v>
      </c>
      <c r="B73" s="29">
        <v>2832</v>
      </c>
    </row>
    <row r="74" spans="1:2" x14ac:dyDescent="0.25">
      <c r="A74" s="49">
        <v>43937</v>
      </c>
      <c r="B74" s="29">
        <v>2421</v>
      </c>
    </row>
    <row r="75" spans="1:2" x14ac:dyDescent="0.25">
      <c r="A75" s="49">
        <v>43598</v>
      </c>
      <c r="B75" s="29">
        <v>6201</v>
      </c>
    </row>
    <row r="76" spans="1:2" x14ac:dyDescent="0.25">
      <c r="A76" s="49">
        <v>11651</v>
      </c>
      <c r="B76" s="29">
        <v>4147</v>
      </c>
    </row>
    <row r="77" spans="1:2" x14ac:dyDescent="0.25">
      <c r="A77" s="49">
        <v>29194</v>
      </c>
      <c r="B77" s="29">
        <v>4808</v>
      </c>
    </row>
    <row r="78" spans="1:2" x14ac:dyDescent="0.25">
      <c r="A78" s="49">
        <v>35051</v>
      </c>
      <c r="B78" s="29">
        <v>7767</v>
      </c>
    </row>
    <row r="79" spans="1:2" x14ac:dyDescent="0.25">
      <c r="A79" s="49">
        <v>37386</v>
      </c>
      <c r="B79" s="29">
        <v>7115</v>
      </c>
    </row>
    <row r="80" spans="1:2" x14ac:dyDescent="0.25">
      <c r="A80" s="49">
        <v>19518</v>
      </c>
      <c r="B80" s="29">
        <v>3011</v>
      </c>
    </row>
    <row r="81" spans="1:2" x14ac:dyDescent="0.25">
      <c r="A81" s="49">
        <v>56026</v>
      </c>
      <c r="B81" s="29">
        <v>5478</v>
      </c>
    </row>
    <row r="82" spans="1:2" x14ac:dyDescent="0.25">
      <c r="A82" s="49">
        <v>26184</v>
      </c>
      <c r="B82" s="29">
        <v>7565</v>
      </c>
    </row>
    <row r="83" spans="1:2" x14ac:dyDescent="0.25">
      <c r="A83" s="49">
        <v>43787</v>
      </c>
      <c r="B83" s="29">
        <v>6918</v>
      </c>
    </row>
    <row r="84" spans="1:2" x14ac:dyDescent="0.25">
      <c r="A84" s="49">
        <v>31621</v>
      </c>
      <c r="B84" s="29">
        <v>7921</v>
      </c>
    </row>
    <row r="85" spans="1:2" x14ac:dyDescent="0.25">
      <c r="A85" s="49">
        <v>20028</v>
      </c>
      <c r="B85" s="29">
        <v>8487</v>
      </c>
    </row>
    <row r="86" spans="1:2" x14ac:dyDescent="0.25">
      <c r="A86" s="49">
        <v>22448</v>
      </c>
      <c r="B86" s="29">
        <v>6439</v>
      </c>
    </row>
    <row r="87" spans="1:2" x14ac:dyDescent="0.25">
      <c r="A87" s="49">
        <v>55253</v>
      </c>
      <c r="B87" s="29">
        <v>6003</v>
      </c>
    </row>
    <row r="88" spans="1:2" x14ac:dyDescent="0.25">
      <c r="A88" s="49">
        <v>44051</v>
      </c>
      <c r="B88" s="29">
        <v>6452</v>
      </c>
    </row>
    <row r="89" spans="1:2" x14ac:dyDescent="0.25">
      <c r="A89" s="49">
        <v>59811</v>
      </c>
      <c r="B89" s="29">
        <v>8360</v>
      </c>
    </row>
    <row r="90" spans="1:2" x14ac:dyDescent="0.25">
      <c r="A90" s="49">
        <v>40447</v>
      </c>
      <c r="B90" s="29">
        <v>7218</v>
      </c>
    </row>
    <row r="91" spans="1:2" x14ac:dyDescent="0.25">
      <c r="A91" s="49">
        <v>28394</v>
      </c>
      <c r="B91" s="29">
        <v>3056</v>
      </c>
    </row>
    <row r="92" spans="1:2" x14ac:dyDescent="0.25">
      <c r="A92" s="49">
        <v>44501</v>
      </c>
      <c r="B92" s="29">
        <v>4942</v>
      </c>
    </row>
    <row r="93" spans="1:2" x14ac:dyDescent="0.25">
      <c r="A93" s="49">
        <v>40254</v>
      </c>
      <c r="B93" s="29">
        <v>1469</v>
      </c>
    </row>
    <row r="94" spans="1:2" x14ac:dyDescent="0.25">
      <c r="A94" s="49">
        <v>28509</v>
      </c>
      <c r="B94" s="29">
        <v>1017</v>
      </c>
    </row>
    <row r="95" spans="1:2" x14ac:dyDescent="0.25">
      <c r="A95" s="49">
        <v>58998</v>
      </c>
      <c r="B95" s="29">
        <v>8632</v>
      </c>
    </row>
    <row r="96" spans="1:2" x14ac:dyDescent="0.25">
      <c r="A96" s="49">
        <v>24472</v>
      </c>
      <c r="B96" s="29">
        <v>4882</v>
      </c>
    </row>
    <row r="97" spans="1:2" x14ac:dyDescent="0.25">
      <c r="A97" s="49">
        <v>55657</v>
      </c>
      <c r="B97" s="29">
        <v>5220</v>
      </c>
    </row>
    <row r="98" spans="1:2" x14ac:dyDescent="0.25">
      <c r="A98" s="49">
        <v>13471</v>
      </c>
      <c r="B98" s="29">
        <v>5206</v>
      </c>
    </row>
    <row r="99" spans="1:2" x14ac:dyDescent="0.25">
      <c r="A99" s="49">
        <v>51796</v>
      </c>
      <c r="B99" s="29">
        <v>6384</v>
      </c>
    </row>
    <row r="100" spans="1:2" x14ac:dyDescent="0.25">
      <c r="A100" s="49">
        <v>40268</v>
      </c>
      <c r="B100" s="29">
        <v>3179</v>
      </c>
    </row>
    <row r="101" spans="1:2" x14ac:dyDescent="0.25">
      <c r="A101" s="49">
        <v>18329</v>
      </c>
      <c r="B101" s="29">
        <v>6469</v>
      </c>
    </row>
    <row r="102" spans="1:2" x14ac:dyDescent="0.25">
      <c r="A102" s="49">
        <v>44865</v>
      </c>
      <c r="B102" s="29">
        <v>8485</v>
      </c>
    </row>
    <row r="103" spans="1:2" x14ac:dyDescent="0.25">
      <c r="A103" s="49">
        <v>56850</v>
      </c>
      <c r="B103" s="29">
        <v>6052</v>
      </c>
    </row>
    <row r="104" spans="1:2" x14ac:dyDescent="0.25">
      <c r="A104" s="49">
        <v>56698</v>
      </c>
      <c r="B104" s="29">
        <v>8945</v>
      </c>
    </row>
    <row r="105" spans="1:2" x14ac:dyDescent="0.25">
      <c r="A105" s="49">
        <v>38272</v>
      </c>
      <c r="B105" s="29">
        <v>5143</v>
      </c>
    </row>
    <row r="106" spans="1:2" x14ac:dyDescent="0.25">
      <c r="A106" s="49">
        <v>52845</v>
      </c>
      <c r="B106" s="29">
        <v>1369</v>
      </c>
    </row>
    <row r="107" spans="1:2" x14ac:dyDescent="0.25">
      <c r="A107" s="49">
        <v>16397</v>
      </c>
      <c r="B107" s="29">
        <v>5402</v>
      </c>
    </row>
    <row r="108" spans="1:2" x14ac:dyDescent="0.25">
      <c r="A108" s="49">
        <v>42373</v>
      </c>
      <c r="B108" s="29">
        <v>7630</v>
      </c>
    </row>
    <row r="109" spans="1:2" x14ac:dyDescent="0.25">
      <c r="A109" s="49">
        <v>45525</v>
      </c>
      <c r="B109" s="29">
        <v>3929</v>
      </c>
    </row>
    <row r="110" spans="1:2" x14ac:dyDescent="0.25">
      <c r="A110" s="49">
        <v>34570</v>
      </c>
      <c r="B110" s="29">
        <v>6642</v>
      </c>
    </row>
    <row r="111" spans="1:2" x14ac:dyDescent="0.25">
      <c r="A111" s="49">
        <v>28284</v>
      </c>
      <c r="B111" s="29">
        <v>3461</v>
      </c>
    </row>
    <row r="112" spans="1:2" x14ac:dyDescent="0.25">
      <c r="A112" s="49">
        <v>28994</v>
      </c>
      <c r="B112" s="29">
        <v>4790</v>
      </c>
    </row>
    <row r="113" spans="1:2" x14ac:dyDescent="0.25">
      <c r="A113" s="49">
        <v>33284</v>
      </c>
      <c r="B113" s="29">
        <v>949</v>
      </c>
    </row>
    <row r="114" spans="1:2" x14ac:dyDescent="0.25">
      <c r="A114" s="49">
        <v>27833</v>
      </c>
      <c r="B114" s="29">
        <v>3592</v>
      </c>
    </row>
    <row r="115" spans="1:2" x14ac:dyDescent="0.25">
      <c r="A115" s="49">
        <v>35122</v>
      </c>
      <c r="B115" s="29">
        <v>1210</v>
      </c>
    </row>
    <row r="116" spans="1:2" x14ac:dyDescent="0.25">
      <c r="A116" s="49">
        <v>15017</v>
      </c>
      <c r="B116" s="29">
        <v>8527</v>
      </c>
    </row>
    <row r="117" spans="1:2" x14ac:dyDescent="0.25">
      <c r="A117" s="49">
        <v>26370</v>
      </c>
      <c r="B117" s="29">
        <v>6275</v>
      </c>
    </row>
    <row r="118" spans="1:2" x14ac:dyDescent="0.25">
      <c r="A118" s="49">
        <v>39252</v>
      </c>
      <c r="B118" s="29">
        <v>1367</v>
      </c>
    </row>
    <row r="119" spans="1:2" x14ac:dyDescent="0.25">
      <c r="A119" s="49">
        <v>17999</v>
      </c>
      <c r="B119" s="29">
        <v>4314</v>
      </c>
    </row>
    <row r="120" spans="1:2" x14ac:dyDescent="0.25">
      <c r="A120" s="49">
        <v>32436</v>
      </c>
      <c r="B120" s="29">
        <v>6174</v>
      </c>
    </row>
    <row r="121" spans="1:2" x14ac:dyDescent="0.25">
      <c r="A121" s="49">
        <v>52963</v>
      </c>
      <c r="B121" s="29">
        <v>7328</v>
      </c>
    </row>
    <row r="122" spans="1:2" x14ac:dyDescent="0.25">
      <c r="A122" s="49">
        <v>12096</v>
      </c>
      <c r="B122" s="29">
        <v>8200</v>
      </c>
    </row>
    <row r="123" spans="1:2" x14ac:dyDescent="0.25">
      <c r="A123" s="49">
        <v>58201</v>
      </c>
      <c r="B123" s="29">
        <v>4214</v>
      </c>
    </row>
    <row r="124" spans="1:2" x14ac:dyDescent="0.25">
      <c r="A124" s="49">
        <v>35279</v>
      </c>
      <c r="B124" s="29">
        <v>8377</v>
      </c>
    </row>
    <row r="125" spans="1:2" x14ac:dyDescent="0.25">
      <c r="A125" s="49">
        <v>53363</v>
      </c>
      <c r="B125" s="29">
        <v>3079</v>
      </c>
    </row>
    <row r="126" spans="1:2" x14ac:dyDescent="0.25">
      <c r="A126" s="49">
        <v>58709</v>
      </c>
      <c r="B126" s="29">
        <v>9254</v>
      </c>
    </row>
    <row r="127" spans="1:2" x14ac:dyDescent="0.25">
      <c r="A127" s="49">
        <v>36201</v>
      </c>
      <c r="B127" s="29">
        <v>7668</v>
      </c>
    </row>
    <row r="128" spans="1:2" x14ac:dyDescent="0.25">
      <c r="A128" s="49">
        <v>29715</v>
      </c>
      <c r="B128" s="29">
        <v>8601</v>
      </c>
    </row>
    <row r="129" spans="1:2" x14ac:dyDescent="0.25">
      <c r="A129" s="49">
        <v>39309</v>
      </c>
      <c r="B129" s="29">
        <v>1534</v>
      </c>
    </row>
    <row r="130" spans="1:2" x14ac:dyDescent="0.25">
      <c r="A130" s="49">
        <v>25078</v>
      </c>
      <c r="B130" s="29">
        <v>7471</v>
      </c>
    </row>
    <row r="131" spans="1:2" x14ac:dyDescent="0.25">
      <c r="A131" s="49">
        <v>15105</v>
      </c>
      <c r="B131" s="29">
        <v>2919</v>
      </c>
    </row>
    <row r="132" spans="1:2" x14ac:dyDescent="0.25">
      <c r="A132" s="49">
        <v>39312</v>
      </c>
      <c r="B132" s="29">
        <v>7346</v>
      </c>
    </row>
    <row r="133" spans="1:2" x14ac:dyDescent="0.25">
      <c r="A133" s="49">
        <v>12839</v>
      </c>
      <c r="B133" s="29">
        <v>1001</v>
      </c>
    </row>
    <row r="134" spans="1:2" x14ac:dyDescent="0.25">
      <c r="A134" s="49">
        <v>13384</v>
      </c>
      <c r="B134" s="29">
        <v>8518</v>
      </c>
    </row>
    <row r="135" spans="1:2" x14ac:dyDescent="0.25">
      <c r="A135" s="49">
        <v>53619</v>
      </c>
      <c r="B135" s="29">
        <v>7421</v>
      </c>
    </row>
    <row r="136" spans="1:2" x14ac:dyDescent="0.25">
      <c r="A136" s="49">
        <v>52821</v>
      </c>
      <c r="B136" s="29">
        <v>4216</v>
      </c>
    </row>
    <row r="137" spans="1:2" x14ac:dyDescent="0.25">
      <c r="A137" s="49">
        <v>23493</v>
      </c>
      <c r="B137" s="29">
        <v>7654</v>
      </c>
    </row>
    <row r="138" spans="1:2" x14ac:dyDescent="0.25">
      <c r="A138" s="49">
        <v>27069</v>
      </c>
      <c r="B138" s="29">
        <v>7260</v>
      </c>
    </row>
    <row r="139" spans="1:2" x14ac:dyDescent="0.25">
      <c r="A139" s="49">
        <v>56907</v>
      </c>
      <c r="B139" s="29">
        <v>6361</v>
      </c>
    </row>
    <row r="140" spans="1:2" x14ac:dyDescent="0.25">
      <c r="A140" s="49">
        <v>17531</v>
      </c>
      <c r="B140" s="29">
        <v>5428</v>
      </c>
    </row>
    <row r="141" spans="1:2" x14ac:dyDescent="0.25">
      <c r="A141" s="49">
        <v>47051</v>
      </c>
      <c r="B141" s="29">
        <v>3643</v>
      </c>
    </row>
    <row r="142" spans="1:2" x14ac:dyDescent="0.25">
      <c r="A142" s="49">
        <v>17736</v>
      </c>
      <c r="B142" s="29">
        <v>3805</v>
      </c>
    </row>
    <row r="143" spans="1:2" x14ac:dyDescent="0.25">
      <c r="A143" s="49">
        <v>17710</v>
      </c>
      <c r="B143" s="29">
        <v>8128</v>
      </c>
    </row>
    <row r="144" spans="1:2" x14ac:dyDescent="0.25">
      <c r="A144" s="49">
        <v>11619</v>
      </c>
      <c r="B144" s="29">
        <v>8642</v>
      </c>
    </row>
    <row r="145" spans="1:2" x14ac:dyDescent="0.25">
      <c r="A145" s="49">
        <v>23975</v>
      </c>
      <c r="B145" s="29">
        <v>7958</v>
      </c>
    </row>
    <row r="146" spans="1:2" x14ac:dyDescent="0.25">
      <c r="A146" s="49">
        <v>55603</v>
      </c>
      <c r="B146" s="29">
        <v>3420</v>
      </c>
    </row>
    <row r="147" spans="1:2" x14ac:dyDescent="0.25">
      <c r="A147" s="49">
        <v>33252</v>
      </c>
      <c r="B147" s="29">
        <v>2525</v>
      </c>
    </row>
    <row r="148" spans="1:2" x14ac:dyDescent="0.25">
      <c r="A148" s="49">
        <v>25261</v>
      </c>
      <c r="B148" s="29">
        <v>1020</v>
      </c>
    </row>
    <row r="149" spans="1:2" x14ac:dyDescent="0.25">
      <c r="A149" s="49">
        <v>11431</v>
      </c>
      <c r="B149" s="29">
        <v>6677</v>
      </c>
    </row>
    <row r="150" spans="1:2" x14ac:dyDescent="0.25">
      <c r="A150" s="49">
        <v>19067</v>
      </c>
      <c r="B150" s="29">
        <v>1290</v>
      </c>
    </row>
    <row r="151" spans="1:2" x14ac:dyDescent="0.25">
      <c r="A151" s="49">
        <v>47481</v>
      </c>
      <c r="B151" s="29">
        <v>5101</v>
      </c>
    </row>
    <row r="152" spans="1:2" x14ac:dyDescent="0.25">
      <c r="A152" s="49">
        <v>37037</v>
      </c>
      <c r="B152" s="29">
        <v>5439</v>
      </c>
    </row>
    <row r="153" spans="1:2" x14ac:dyDescent="0.25">
      <c r="A153" s="49">
        <v>19557</v>
      </c>
      <c r="B153" s="29">
        <v>6029</v>
      </c>
    </row>
    <row r="154" spans="1:2" x14ac:dyDescent="0.25">
      <c r="A154" s="49">
        <v>19435</v>
      </c>
      <c r="B154" s="29">
        <v>9125</v>
      </c>
    </row>
    <row r="155" spans="1:2" x14ac:dyDescent="0.25">
      <c r="A155" s="49">
        <v>47766</v>
      </c>
      <c r="B155" s="29">
        <v>8979</v>
      </c>
    </row>
    <row r="156" spans="1:2" x14ac:dyDescent="0.25">
      <c r="A156" s="49">
        <v>10162</v>
      </c>
      <c r="B156" s="29">
        <v>6380</v>
      </c>
    </row>
    <row r="157" spans="1:2" x14ac:dyDescent="0.25">
      <c r="A157" s="49">
        <v>44742</v>
      </c>
      <c r="B157" s="29">
        <v>5962</v>
      </c>
    </row>
    <row r="158" spans="1:2" x14ac:dyDescent="0.25">
      <c r="A158" s="49">
        <v>29675</v>
      </c>
      <c r="B158" s="29">
        <v>6631</v>
      </c>
    </row>
    <row r="159" spans="1:2" x14ac:dyDescent="0.25">
      <c r="A159" s="49">
        <v>18461</v>
      </c>
      <c r="B159" s="29">
        <v>7432</v>
      </c>
    </row>
    <row r="160" spans="1:2" x14ac:dyDescent="0.25">
      <c r="A160" s="49">
        <v>27015</v>
      </c>
      <c r="B160" s="29">
        <v>2081</v>
      </c>
    </row>
    <row r="161" spans="1:2" x14ac:dyDescent="0.25">
      <c r="A161" s="49">
        <v>42591</v>
      </c>
      <c r="B161" s="29">
        <v>4245</v>
      </c>
    </row>
    <row r="162" spans="1:2" x14ac:dyDescent="0.25">
      <c r="A162" s="49">
        <v>38047</v>
      </c>
      <c r="B162" s="29">
        <v>8723</v>
      </c>
    </row>
    <row r="163" spans="1:2" x14ac:dyDescent="0.25">
      <c r="A163" s="49">
        <v>44782</v>
      </c>
      <c r="B163" s="29">
        <v>2994</v>
      </c>
    </row>
    <row r="164" spans="1:2" x14ac:dyDescent="0.25">
      <c r="A164" s="49">
        <v>19833</v>
      </c>
      <c r="B164" s="29">
        <v>3555</v>
      </c>
    </row>
    <row r="165" spans="1:2" x14ac:dyDescent="0.25">
      <c r="A165" s="49">
        <v>17896</v>
      </c>
      <c r="B165" s="29">
        <v>2535</v>
      </c>
    </row>
    <row r="166" spans="1:2" x14ac:dyDescent="0.25">
      <c r="A166" s="49">
        <v>42972</v>
      </c>
      <c r="B166" s="29">
        <v>7509</v>
      </c>
    </row>
    <row r="167" spans="1:2" x14ac:dyDescent="0.25">
      <c r="A167" s="49">
        <v>59733</v>
      </c>
      <c r="B167" s="29">
        <v>8292</v>
      </c>
    </row>
    <row r="168" spans="1:2" x14ac:dyDescent="0.25">
      <c r="A168" s="49">
        <v>51800</v>
      </c>
      <c r="B168" s="29">
        <v>4852</v>
      </c>
    </row>
    <row r="169" spans="1:2" x14ac:dyDescent="0.25">
      <c r="A169" s="49">
        <v>40508</v>
      </c>
      <c r="B169" s="29">
        <v>7367</v>
      </c>
    </row>
    <row r="170" spans="1:2" x14ac:dyDescent="0.25">
      <c r="A170" s="49">
        <v>15347</v>
      </c>
      <c r="B170" s="29">
        <v>9044</v>
      </c>
    </row>
    <row r="171" spans="1:2" x14ac:dyDescent="0.25">
      <c r="A171" s="49">
        <v>40314</v>
      </c>
      <c r="B171" s="29">
        <v>2848</v>
      </c>
    </row>
    <row r="172" spans="1:2" x14ac:dyDescent="0.25">
      <c r="A172" s="49">
        <v>12643</v>
      </c>
      <c r="B172" s="29">
        <v>4189</v>
      </c>
    </row>
    <row r="173" spans="1:2" x14ac:dyDescent="0.25">
      <c r="A173" s="49">
        <v>50785</v>
      </c>
      <c r="B173" s="29">
        <v>9335</v>
      </c>
    </row>
    <row r="174" spans="1:2" x14ac:dyDescent="0.25">
      <c r="A174" s="49">
        <v>28681</v>
      </c>
      <c r="B174" s="29">
        <v>6272</v>
      </c>
    </row>
    <row r="175" spans="1:2" x14ac:dyDescent="0.25">
      <c r="A175" s="49">
        <v>48328</v>
      </c>
      <c r="B175" s="29">
        <v>6128</v>
      </c>
    </row>
    <row r="176" spans="1:2" x14ac:dyDescent="0.25">
      <c r="A176" s="49">
        <v>25892</v>
      </c>
      <c r="B176" s="29">
        <v>1567</v>
      </c>
    </row>
    <row r="177" spans="1:2" x14ac:dyDescent="0.25">
      <c r="A177" s="49">
        <v>57299</v>
      </c>
      <c r="B177" s="29">
        <v>1660</v>
      </c>
    </row>
    <row r="178" spans="1:2" x14ac:dyDescent="0.25">
      <c r="A178" s="49">
        <v>27073</v>
      </c>
      <c r="B178" s="29">
        <v>6434</v>
      </c>
    </row>
    <row r="179" spans="1:2" x14ac:dyDescent="0.25">
      <c r="A179" s="49">
        <v>46768</v>
      </c>
      <c r="B179" s="29">
        <v>4542</v>
      </c>
    </row>
    <row r="180" spans="1:2" x14ac:dyDescent="0.25">
      <c r="A180" s="49">
        <v>40682</v>
      </c>
      <c r="B180" s="29">
        <v>8319</v>
      </c>
    </row>
    <row r="181" spans="1:2" x14ac:dyDescent="0.25">
      <c r="A181" s="49">
        <v>42262</v>
      </c>
      <c r="B181" s="29">
        <v>1425</v>
      </c>
    </row>
    <row r="182" spans="1:2" x14ac:dyDescent="0.25">
      <c r="A182" s="49">
        <v>41358</v>
      </c>
      <c r="B182" s="29">
        <v>7849</v>
      </c>
    </row>
    <row r="183" spans="1:2" x14ac:dyDescent="0.25">
      <c r="A183" s="49">
        <v>24289</v>
      </c>
      <c r="B183" s="29">
        <v>6368</v>
      </c>
    </row>
    <row r="184" spans="1:2" x14ac:dyDescent="0.25">
      <c r="A184" s="49">
        <v>59823</v>
      </c>
      <c r="B184" s="29">
        <v>4788</v>
      </c>
    </row>
    <row r="185" spans="1:2" x14ac:dyDescent="0.25">
      <c r="A185" s="49">
        <v>17927</v>
      </c>
      <c r="B185" s="29">
        <v>5990</v>
      </c>
    </row>
    <row r="186" spans="1:2" x14ac:dyDescent="0.25">
      <c r="A186" s="49">
        <v>58330</v>
      </c>
      <c r="B186" s="29">
        <v>5491</v>
      </c>
    </row>
    <row r="187" spans="1:2" x14ac:dyDescent="0.25">
      <c r="A187" s="49">
        <v>11171</v>
      </c>
      <c r="B187" s="29">
        <v>6425</v>
      </c>
    </row>
    <row r="188" spans="1:2" x14ac:dyDescent="0.25">
      <c r="A188" s="49">
        <v>21918</v>
      </c>
      <c r="B188" s="29">
        <v>7058</v>
      </c>
    </row>
    <row r="189" spans="1:2" x14ac:dyDescent="0.25">
      <c r="A189" s="49">
        <v>51903</v>
      </c>
      <c r="B189" s="29">
        <v>3096</v>
      </c>
    </row>
    <row r="190" spans="1:2" x14ac:dyDescent="0.25">
      <c r="A190" s="49">
        <v>49110</v>
      </c>
      <c r="B190" s="29">
        <v>1512</v>
      </c>
    </row>
    <row r="191" spans="1:2" x14ac:dyDescent="0.25">
      <c r="A191" s="49">
        <v>21929</v>
      </c>
      <c r="B191" s="29">
        <v>2926</v>
      </c>
    </row>
    <row r="192" spans="1:2" x14ac:dyDescent="0.25">
      <c r="A192" s="49">
        <v>12539</v>
      </c>
      <c r="B192" s="29">
        <v>7555</v>
      </c>
    </row>
    <row r="193" spans="1:2" x14ac:dyDescent="0.25">
      <c r="A193" s="49">
        <v>46727</v>
      </c>
      <c r="B193" s="29">
        <v>5456</v>
      </c>
    </row>
    <row r="194" spans="1:2" x14ac:dyDescent="0.25">
      <c r="A194" s="49">
        <v>55951</v>
      </c>
      <c r="B194" s="29">
        <v>893</v>
      </c>
    </row>
    <row r="195" spans="1:2" x14ac:dyDescent="0.25">
      <c r="A195" s="49">
        <v>32669</v>
      </c>
      <c r="B195" s="29">
        <v>5210</v>
      </c>
    </row>
    <row r="196" spans="1:2" x14ac:dyDescent="0.25">
      <c r="A196" s="49">
        <v>15432</v>
      </c>
      <c r="B196" s="29">
        <v>2067</v>
      </c>
    </row>
    <row r="197" spans="1:2" x14ac:dyDescent="0.25">
      <c r="A197" s="49">
        <v>30644</v>
      </c>
      <c r="B197" s="29">
        <v>7959</v>
      </c>
    </row>
    <row r="198" spans="1:2" x14ac:dyDescent="0.25">
      <c r="A198" s="49">
        <v>28745</v>
      </c>
      <c r="B198" s="29">
        <v>2805</v>
      </c>
    </row>
    <row r="199" spans="1:2" x14ac:dyDescent="0.25">
      <c r="A199" s="49">
        <v>38228</v>
      </c>
      <c r="B199" s="29">
        <v>7025</v>
      </c>
    </row>
    <row r="200" spans="1:2" x14ac:dyDescent="0.25">
      <c r="A200" s="49">
        <v>44521</v>
      </c>
      <c r="B200" s="29">
        <v>1121</v>
      </c>
    </row>
    <row r="201" spans="1:2" x14ac:dyDescent="0.25">
      <c r="A201" s="49">
        <v>41703</v>
      </c>
      <c r="B201" s="29">
        <v>7436</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F4730-2EEF-4C10-AF0C-EDDAD53672D2}">
  <dimension ref="A1:I2"/>
  <sheetViews>
    <sheetView workbookViewId="0">
      <selection sqref="A1:I2"/>
    </sheetView>
  </sheetViews>
  <sheetFormatPr defaultRowHeight="15" x14ac:dyDescent="0.25"/>
  <sheetData>
    <row r="1" spans="1:9" x14ac:dyDescent="0.25">
      <c r="A1" s="81" t="s">
        <v>471</v>
      </c>
      <c r="B1" s="81"/>
      <c r="C1" s="81"/>
      <c r="D1" s="81"/>
      <c r="E1" s="81"/>
      <c r="F1" s="81"/>
      <c r="G1" s="81"/>
      <c r="H1" s="81"/>
      <c r="I1" s="81"/>
    </row>
    <row r="2" spans="1:9" x14ac:dyDescent="0.25">
      <c r="A2" s="81"/>
      <c r="B2" s="81"/>
      <c r="C2" s="81"/>
      <c r="D2" s="81"/>
      <c r="E2" s="81"/>
      <c r="F2" s="81"/>
      <c r="G2" s="81"/>
      <c r="H2" s="81"/>
      <c r="I2" s="81"/>
    </row>
  </sheetData>
  <mergeCells count="1">
    <mergeCell ref="A1:I2"/>
  </mergeCells>
  <hyperlinks>
    <hyperlink ref="A1" r:id="rId1" xr:uid="{B2161FF1-3624-4855-AACE-567D0960A5E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49E5712C-6A52-4003-8C38-D510DE72705B}">
  <ds:schemaRefs/>
</ds:datastoreItem>
</file>

<file path=customXml/itemProps2.xml><?xml version="1.0" encoding="utf-8"?>
<ds:datastoreItem xmlns:ds="http://schemas.openxmlformats.org/officeDocument/2006/customXml" ds:itemID="{BA59E0EB-9948-4680-B9AC-ECD2EAFC1C72}">
  <ds:schemaRefs/>
</ds:datastoreItem>
</file>

<file path=customXml/itemProps3.xml><?xml version="1.0" encoding="utf-8"?>
<ds:datastoreItem xmlns:ds="http://schemas.openxmlformats.org/officeDocument/2006/customXml" ds:itemID="{D9DAC2D9-209F-42BC-81C1-AFFFE81076AE}">
  <ds:schemaRefs/>
</ds:datastoreItem>
</file>

<file path=customXml/itemProps4.xml><?xml version="1.0" encoding="utf-8"?>
<ds:datastoreItem xmlns:ds="http://schemas.openxmlformats.org/officeDocument/2006/customXml" ds:itemID="{B05912B9-3AA0-4CC2-BA9B-C700E77F21E7}">
  <ds:schemaRefs/>
</ds:datastoreItem>
</file>

<file path=customXml/itemProps5.xml><?xml version="1.0" encoding="utf-8"?>
<ds:datastoreItem xmlns:ds="http://schemas.openxmlformats.org/officeDocument/2006/customXml" ds:itemID="{54C60391-A98D-4180-A30A-56AF6C347114}">
  <ds:schemaRefs/>
</ds:datastoreItem>
</file>

<file path=customXml/itemProps6.xml><?xml version="1.0" encoding="utf-8"?>
<ds:datastoreItem xmlns:ds="http://schemas.openxmlformats.org/officeDocument/2006/customXml" ds:itemID="{A6BBB1B2-CFCA-4472-BB06-5A069D1620A9}">
  <ds:schemaRefs/>
</ds:datastoreItem>
</file>

<file path=customXml/itemProps7.xml><?xml version="1.0" encoding="utf-8"?>
<ds:datastoreItem xmlns:ds="http://schemas.openxmlformats.org/officeDocument/2006/customXml" ds:itemID="{BF2E5395-62E7-4DFA-8AF0-E616713A85EF}">
  <ds:schemaRefs/>
</ds:datastoreItem>
</file>

<file path=customXml/itemProps8.xml><?xml version="1.0" encoding="utf-8"?>
<ds:datastoreItem xmlns:ds="http://schemas.openxmlformats.org/officeDocument/2006/customXml" ds:itemID="{286A5664-082C-4B01-848D-F2F8AB4BE6DF}">
  <ds:schemaRefs/>
</ds:datastoreItem>
</file>

<file path=customXml/itemProps9.xml><?xml version="1.0" encoding="utf-8"?>
<ds:datastoreItem xmlns:ds="http://schemas.openxmlformats.org/officeDocument/2006/customXml" ds:itemID="{F5377D3F-1F97-43FE-AF48-29D21D060CF3}">
  <ds:schemaRefs/>
</ds:datastoreItem>
</file>

<file path=customXml/itemProps10.xml><?xml version="1.0" encoding="utf-8"?>
<ds:datastoreItem xmlns:ds="http://schemas.openxmlformats.org/officeDocument/2006/customXml" ds:itemID="{269340B7-118B-4D43-BC9F-25CA99410EC8}">
  <ds:schemaRefs/>
</ds:datastoreItem>
</file>

<file path=customXml/itemProps11.xml><?xml version="1.0" encoding="utf-8"?>
<ds:datastoreItem xmlns:ds="http://schemas.openxmlformats.org/officeDocument/2006/customXml" ds:itemID="{63E87D87-00FC-4CC4-ACAD-989A1776544D}">
  <ds:schemaRefs>
    <ds:schemaRef ds:uri="http://schemas.microsoft.com/DataMashup"/>
  </ds:schemaRefs>
</ds:datastoreItem>
</file>

<file path=customXml/itemProps12.xml><?xml version="1.0" encoding="utf-8"?>
<ds:datastoreItem xmlns:ds="http://schemas.openxmlformats.org/officeDocument/2006/customXml" ds:itemID="{76C40CF7-DE61-4E2D-B030-323CF2AFAF15}">
  <ds:schemaRefs/>
</ds:datastoreItem>
</file>

<file path=customXml/itemProps13.xml><?xml version="1.0" encoding="utf-8"?>
<ds:datastoreItem xmlns:ds="http://schemas.openxmlformats.org/officeDocument/2006/customXml" ds:itemID="{3EE368D0-32B0-46E8-ABDF-A0D5646B8D4D}">
  <ds:schemaRefs/>
</ds:datastoreItem>
</file>

<file path=customXml/itemProps14.xml><?xml version="1.0" encoding="utf-8"?>
<ds:datastoreItem xmlns:ds="http://schemas.openxmlformats.org/officeDocument/2006/customXml" ds:itemID="{13A1F02B-79A9-45F1-9347-764AEF6D2149}">
  <ds:schemaRefs/>
</ds:datastoreItem>
</file>

<file path=customXml/itemProps15.xml><?xml version="1.0" encoding="utf-8"?>
<ds:datastoreItem xmlns:ds="http://schemas.openxmlformats.org/officeDocument/2006/customXml" ds:itemID="{C5F1D83F-0DCE-48B6-8577-DF1654974B7D}">
  <ds:schemaRefs/>
</ds:datastoreItem>
</file>

<file path=customXml/itemProps16.xml><?xml version="1.0" encoding="utf-8"?>
<ds:datastoreItem xmlns:ds="http://schemas.openxmlformats.org/officeDocument/2006/customXml" ds:itemID="{2E834FC6-CA7C-4980-BEDD-DFD6FE52DD89}">
  <ds:schemaRefs/>
</ds:datastoreItem>
</file>

<file path=customXml/itemProps17.xml><?xml version="1.0" encoding="utf-8"?>
<ds:datastoreItem xmlns:ds="http://schemas.openxmlformats.org/officeDocument/2006/customXml" ds:itemID="{C66FB7FD-0545-4AF2-B3CD-0F9861F759EF}">
  <ds:schemaRefs/>
</ds:datastoreItem>
</file>

<file path=customXml/itemProps18.xml><?xml version="1.0" encoding="utf-8"?>
<ds:datastoreItem xmlns:ds="http://schemas.openxmlformats.org/officeDocument/2006/customXml" ds:itemID="{F48175FC-AF4F-4D26-A44A-A6B9EA066E6D}">
  <ds:schemaRefs/>
</ds:datastoreItem>
</file>

<file path=customXml/itemProps19.xml><?xml version="1.0" encoding="utf-8"?>
<ds:datastoreItem xmlns:ds="http://schemas.openxmlformats.org/officeDocument/2006/customXml" ds:itemID="{C2CF68B8-4D10-44C9-ACF1-6C987E269587}">
  <ds:schemaRefs/>
</ds:datastoreItem>
</file>

<file path=customXml/itemProps20.xml><?xml version="1.0" encoding="utf-8"?>
<ds:datastoreItem xmlns:ds="http://schemas.openxmlformats.org/officeDocument/2006/customXml" ds:itemID="{C122AF60-1AF4-450F-9346-CB7482F666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14</vt:i4>
      </vt:variant>
    </vt:vector>
  </HeadingPairs>
  <TitlesOfParts>
    <vt:vector size="25" baseType="lpstr">
      <vt:lpstr>Posts</vt:lpstr>
      <vt:lpstr>Hashtags</vt:lpstr>
      <vt:lpstr>Campaign Metadata</vt:lpstr>
      <vt:lpstr>Engagement Summary</vt:lpstr>
      <vt:lpstr>Engagement Analysis</vt:lpstr>
      <vt:lpstr>Platform Analysis</vt:lpstr>
      <vt:lpstr>Content Strategy</vt:lpstr>
      <vt:lpstr>Campaign Effectiveness</vt:lpstr>
      <vt:lpstr>Follower Retention</vt:lpstr>
      <vt:lpstr>Correlation</vt:lpstr>
      <vt:lpstr>Video links</vt:lpstr>
      <vt:lpstr>Campaign</vt:lpstr>
      <vt:lpstr>Clicks</vt:lpstr>
      <vt:lpstr>Comments</vt:lpstr>
      <vt:lpstr>ContentType</vt:lpstr>
      <vt:lpstr>Date</vt:lpstr>
      <vt:lpstr>Engagement_Rate</vt:lpstr>
      <vt:lpstr>Hashtags.1</vt:lpstr>
      <vt:lpstr>Hashtags.2</vt:lpstr>
      <vt:lpstr>Impressions</vt:lpstr>
      <vt:lpstr>Likes</vt:lpstr>
      <vt:lpstr>Platform</vt:lpstr>
      <vt:lpstr>PostID</vt:lpstr>
      <vt:lpstr>Reach</vt:lpstr>
      <vt:lpstr>Shares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2025-11-09T14:04:33Z</dcterms:created>
  <dcterms:modified xsi:type="dcterms:W3CDTF">2025-11-17T17:31:04Z</dcterms:modified>
</cp:coreProperties>
</file>